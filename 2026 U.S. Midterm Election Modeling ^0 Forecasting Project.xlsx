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https://d.docs.live.net/600985b71b22ff27/"/>
    </mc:Choice>
  </mc:AlternateContent>
  <xr:revisionPtr revIDLastSave="0" documentId="8_{CD5ECE64-FBB6-3B4A-A1F8-B0BFD8944FE8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HOUSE DASHBOARD" sheetId="1" r:id="rId1"/>
    <sheet name="SENATE DASHBOARD" sheetId="3" r:id="rId2"/>
    <sheet name="GOVERNOR DASHBOARD" sheetId="5" r:id="rId3"/>
    <sheet name="HOUSE DATA" sheetId="2" r:id="rId4"/>
    <sheet name="SENATE DATA" sheetId="4" r:id="rId5"/>
    <sheet name="GOVERNOR DATA" sheetId="6" r:id="rId6"/>
    <sheet name="CLOSE RACES" sheetId="7" r:id="rId7"/>
    <sheet name="METHODS AND SOURCES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7" l="1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C33" i="4"/>
  <c r="B33" i="4"/>
  <c r="C11" i="4"/>
  <c r="B11" i="4"/>
  <c r="B39" i="3"/>
  <c r="P3" i="4"/>
  <c r="S71" i="5"/>
  <c r="Q71" i="5"/>
  <c r="P71" i="5"/>
  <c r="J71" i="5"/>
  <c r="F71" i="5"/>
  <c r="E71" i="5"/>
  <c r="D71" i="5"/>
  <c r="B71" i="5"/>
  <c r="A71" i="5"/>
  <c r="S70" i="5"/>
  <c r="Q70" i="5"/>
  <c r="P70" i="5"/>
  <c r="J70" i="5"/>
  <c r="F70" i="5"/>
  <c r="E70" i="5"/>
  <c r="D70" i="5"/>
  <c r="B70" i="5"/>
  <c r="A70" i="5"/>
  <c r="S69" i="5"/>
  <c r="Q69" i="5"/>
  <c r="P69" i="5"/>
  <c r="J69" i="5"/>
  <c r="F69" i="5"/>
  <c r="E69" i="5"/>
  <c r="D69" i="5"/>
  <c r="G69" i="5"/>
  <c r="B69" i="5"/>
  <c r="A69" i="5"/>
  <c r="S68" i="5"/>
  <c r="Q68" i="5"/>
  <c r="P68" i="5"/>
  <c r="J68" i="5"/>
  <c r="F68" i="5"/>
  <c r="E68" i="5"/>
  <c r="D68" i="5"/>
  <c r="B68" i="5"/>
  <c r="A68" i="5"/>
  <c r="S67" i="5"/>
  <c r="Q67" i="5"/>
  <c r="P67" i="5"/>
  <c r="J67" i="5"/>
  <c r="F67" i="5"/>
  <c r="E67" i="5"/>
  <c r="D67" i="5"/>
  <c r="B67" i="5"/>
  <c r="A67" i="5"/>
  <c r="S66" i="5"/>
  <c r="Q66" i="5"/>
  <c r="P66" i="5"/>
  <c r="J66" i="5"/>
  <c r="F66" i="5"/>
  <c r="E66" i="5"/>
  <c r="G66" i="5"/>
  <c r="D66" i="5"/>
  <c r="B66" i="5"/>
  <c r="A66" i="5"/>
  <c r="Q65" i="5"/>
  <c r="P65" i="5"/>
  <c r="J65" i="5"/>
  <c r="F65" i="5"/>
  <c r="E65" i="5"/>
  <c r="D65" i="5"/>
  <c r="G65" i="5"/>
  <c r="B65" i="5"/>
  <c r="S65" i="5"/>
  <c r="A65" i="5"/>
  <c r="S64" i="5"/>
  <c r="Q64" i="5"/>
  <c r="P64" i="5"/>
  <c r="J64" i="5"/>
  <c r="F64" i="5"/>
  <c r="E64" i="5"/>
  <c r="D64" i="5"/>
  <c r="B64" i="5"/>
  <c r="A64" i="5"/>
  <c r="Q63" i="5"/>
  <c r="P63" i="5"/>
  <c r="J63" i="5"/>
  <c r="F63" i="5"/>
  <c r="E63" i="5"/>
  <c r="D63" i="5"/>
  <c r="B63" i="5"/>
  <c r="S63" i="5"/>
  <c r="A63" i="5"/>
  <c r="Q62" i="5"/>
  <c r="P62" i="5"/>
  <c r="J62" i="5"/>
  <c r="F62" i="5"/>
  <c r="E62" i="5"/>
  <c r="D62" i="5"/>
  <c r="B62" i="5"/>
  <c r="S62" i="5"/>
  <c r="A62" i="5"/>
  <c r="S61" i="5"/>
  <c r="Q61" i="5"/>
  <c r="P61" i="5"/>
  <c r="J61" i="5"/>
  <c r="F61" i="5"/>
  <c r="E61" i="5"/>
  <c r="D61" i="5"/>
  <c r="G61" i="5"/>
  <c r="B61" i="5"/>
  <c r="A61" i="5"/>
  <c r="Q60" i="5"/>
  <c r="P60" i="5"/>
  <c r="J60" i="5"/>
  <c r="F60" i="5"/>
  <c r="E60" i="5"/>
  <c r="D60" i="5"/>
  <c r="B60" i="5"/>
  <c r="A60" i="5"/>
  <c r="Q59" i="5"/>
  <c r="P59" i="5"/>
  <c r="J59" i="5"/>
  <c r="F59" i="5"/>
  <c r="E59" i="5"/>
  <c r="D59" i="5"/>
  <c r="G59" i="5"/>
  <c r="B59" i="5"/>
  <c r="S59" i="5"/>
  <c r="A59" i="5"/>
  <c r="Q58" i="5"/>
  <c r="P58" i="5"/>
  <c r="S58" i="5"/>
  <c r="J58" i="5"/>
  <c r="F58" i="5"/>
  <c r="E58" i="5"/>
  <c r="D58" i="5"/>
  <c r="G58" i="5"/>
  <c r="B58" i="5"/>
  <c r="A58" i="5"/>
  <c r="S57" i="5"/>
  <c r="Q57" i="5"/>
  <c r="P57" i="5"/>
  <c r="J57" i="5"/>
  <c r="F57" i="5"/>
  <c r="E57" i="5"/>
  <c r="D57" i="5"/>
  <c r="B57" i="5"/>
  <c r="A57" i="5"/>
  <c r="S56" i="5"/>
  <c r="Q56" i="5"/>
  <c r="P56" i="5"/>
  <c r="J56" i="5"/>
  <c r="F56" i="5"/>
  <c r="E56" i="5"/>
  <c r="D56" i="5"/>
  <c r="B56" i="5"/>
  <c r="A56" i="5"/>
  <c r="S55" i="5"/>
  <c r="Q55" i="5"/>
  <c r="P55" i="5"/>
  <c r="J55" i="5"/>
  <c r="F55" i="5"/>
  <c r="E55" i="5"/>
  <c r="D55" i="5"/>
  <c r="B55" i="5"/>
  <c r="A55" i="5"/>
  <c r="Q54" i="5"/>
  <c r="P54" i="5"/>
  <c r="J54" i="5"/>
  <c r="F54" i="5"/>
  <c r="E54" i="5"/>
  <c r="D54" i="5"/>
  <c r="B54" i="5"/>
  <c r="A54" i="5"/>
  <c r="Q53" i="5"/>
  <c r="P53" i="5"/>
  <c r="S53" i="5"/>
  <c r="J53" i="5"/>
  <c r="F53" i="5"/>
  <c r="E53" i="5"/>
  <c r="D53" i="5"/>
  <c r="B53" i="5"/>
  <c r="A53" i="5"/>
  <c r="Q52" i="5"/>
  <c r="P52" i="5"/>
  <c r="S52" i="5"/>
  <c r="J52" i="5"/>
  <c r="F52" i="5"/>
  <c r="E52" i="5"/>
  <c r="D52" i="5"/>
  <c r="B52" i="5"/>
  <c r="A52" i="5"/>
  <c r="Q51" i="5"/>
  <c r="P51" i="5"/>
  <c r="S51" i="5"/>
  <c r="J51" i="5"/>
  <c r="F51" i="5"/>
  <c r="E51" i="5"/>
  <c r="D51" i="5"/>
  <c r="B51" i="5"/>
  <c r="A51" i="5"/>
  <c r="S50" i="5"/>
  <c r="Q50" i="5"/>
  <c r="P50" i="5"/>
  <c r="J50" i="5"/>
  <c r="F50" i="5"/>
  <c r="E50" i="5"/>
  <c r="D50" i="5"/>
  <c r="B50" i="5"/>
  <c r="A50" i="5"/>
  <c r="S49" i="5"/>
  <c r="Q49" i="5"/>
  <c r="P49" i="5"/>
  <c r="J49" i="5"/>
  <c r="F49" i="5"/>
  <c r="E49" i="5"/>
  <c r="D49" i="5"/>
  <c r="B49" i="5"/>
  <c r="A49" i="5"/>
  <c r="S48" i="5"/>
  <c r="Q48" i="5"/>
  <c r="P48" i="5"/>
  <c r="J48" i="5"/>
  <c r="F48" i="5"/>
  <c r="E48" i="5"/>
  <c r="D48" i="5"/>
  <c r="G48" i="5"/>
  <c r="B48" i="5"/>
  <c r="A48" i="5"/>
  <c r="Q47" i="5"/>
  <c r="P47" i="5"/>
  <c r="J47" i="5"/>
  <c r="F47" i="5"/>
  <c r="E47" i="5"/>
  <c r="D47" i="5"/>
  <c r="B47" i="5"/>
  <c r="S47" i="5"/>
  <c r="A47" i="5"/>
  <c r="Q46" i="5"/>
  <c r="P46" i="5"/>
  <c r="S46" i="5"/>
  <c r="J46" i="5"/>
  <c r="F46" i="5"/>
  <c r="E46" i="5"/>
  <c r="D46" i="5"/>
  <c r="B46" i="5"/>
  <c r="A46" i="5"/>
  <c r="Q45" i="5"/>
  <c r="P45" i="5"/>
  <c r="J45" i="5"/>
  <c r="F45" i="5"/>
  <c r="E45" i="5"/>
  <c r="D45" i="5"/>
  <c r="G45" i="5"/>
  <c r="B45" i="5"/>
  <c r="S45" i="5"/>
  <c r="A45" i="5"/>
  <c r="Q44" i="5"/>
  <c r="P44" i="5"/>
  <c r="J44" i="5"/>
  <c r="F44" i="5"/>
  <c r="E44" i="5"/>
  <c r="D44" i="5"/>
  <c r="B44" i="5"/>
  <c r="S44" i="5"/>
  <c r="A44" i="5"/>
  <c r="S43" i="5"/>
  <c r="Q43" i="5"/>
  <c r="P43" i="5"/>
  <c r="J43" i="5"/>
  <c r="F43" i="5"/>
  <c r="E43" i="5"/>
  <c r="D43" i="5"/>
  <c r="B43" i="5"/>
  <c r="A43" i="5"/>
  <c r="S42" i="5"/>
  <c r="Q42" i="5"/>
  <c r="P42" i="5"/>
  <c r="J42" i="5"/>
  <c r="F42" i="5"/>
  <c r="E42" i="5"/>
  <c r="D42" i="5"/>
  <c r="G42" i="5"/>
  <c r="B42" i="5"/>
  <c r="A42" i="5"/>
  <c r="Q41" i="5"/>
  <c r="P41" i="5"/>
  <c r="J41" i="5"/>
  <c r="F41" i="5"/>
  <c r="E41" i="5"/>
  <c r="D41" i="5"/>
  <c r="G41" i="5"/>
  <c r="B41" i="5"/>
  <c r="S41" i="5"/>
  <c r="A41" i="5"/>
  <c r="Q40" i="5"/>
  <c r="P40" i="5"/>
  <c r="S40" i="5"/>
  <c r="J40" i="5"/>
  <c r="F40" i="5"/>
  <c r="E40" i="5"/>
  <c r="D40" i="5"/>
  <c r="G40" i="5"/>
  <c r="B40" i="5"/>
  <c r="A40" i="5"/>
  <c r="Q39" i="5"/>
  <c r="P39" i="5"/>
  <c r="J39" i="5"/>
  <c r="F39" i="5"/>
  <c r="E39" i="5"/>
  <c r="D39" i="5"/>
  <c r="G39" i="5"/>
  <c r="B39" i="5"/>
  <c r="S39" i="5"/>
  <c r="A39" i="5"/>
  <c r="Q38" i="5"/>
  <c r="P38" i="5"/>
  <c r="J38" i="5"/>
  <c r="F38" i="5"/>
  <c r="E38" i="5"/>
  <c r="D38" i="5"/>
  <c r="G38" i="5"/>
  <c r="B38" i="5"/>
  <c r="S38" i="5"/>
  <c r="A38" i="5"/>
  <c r="S37" i="5"/>
  <c r="Q37" i="5"/>
  <c r="P37" i="5"/>
  <c r="J37" i="5"/>
  <c r="F37" i="5"/>
  <c r="E37" i="5"/>
  <c r="D37" i="5"/>
  <c r="B37" i="5"/>
  <c r="A37" i="5"/>
  <c r="Q36" i="5"/>
  <c r="P36" i="5"/>
  <c r="J36" i="5"/>
  <c r="F36" i="5"/>
  <c r="E36" i="5"/>
  <c r="D36" i="5"/>
  <c r="B36" i="5"/>
  <c r="A36" i="5"/>
  <c r="B22" i="5"/>
  <c r="B21" i="5"/>
  <c r="B18" i="5"/>
  <c r="B17" i="5"/>
  <c r="B16" i="5"/>
  <c r="B15" i="5"/>
  <c r="B14" i="5"/>
  <c r="B11" i="5"/>
  <c r="B10" i="5"/>
  <c r="B9" i="5"/>
  <c r="B7" i="5"/>
  <c r="B5" i="5"/>
  <c r="Q66" i="3"/>
  <c r="P66" i="3"/>
  <c r="J66" i="3"/>
  <c r="F66" i="3"/>
  <c r="E66" i="3"/>
  <c r="G66" i="3"/>
  <c r="D66" i="3"/>
  <c r="B66" i="3"/>
  <c r="A66" i="3"/>
  <c r="Q65" i="3"/>
  <c r="P65" i="3"/>
  <c r="J65" i="3"/>
  <c r="F65" i="3"/>
  <c r="E65" i="3"/>
  <c r="D65" i="3"/>
  <c r="B65" i="3"/>
  <c r="S65" i="3"/>
  <c r="A65" i="3"/>
  <c r="Q64" i="3"/>
  <c r="P64" i="3"/>
  <c r="J64" i="3"/>
  <c r="F64" i="3"/>
  <c r="E64" i="3"/>
  <c r="D64" i="3"/>
  <c r="B64" i="3"/>
  <c r="A64" i="3"/>
  <c r="S63" i="3"/>
  <c r="Q63" i="3"/>
  <c r="P63" i="3"/>
  <c r="J63" i="3"/>
  <c r="F63" i="3"/>
  <c r="E63" i="3"/>
  <c r="D63" i="3"/>
  <c r="G63" i="3"/>
  <c r="B63" i="3"/>
  <c r="A63" i="3"/>
  <c r="Q62" i="3"/>
  <c r="P62" i="3"/>
  <c r="J62" i="3"/>
  <c r="F62" i="3"/>
  <c r="E62" i="3"/>
  <c r="D62" i="3"/>
  <c r="B62" i="3"/>
  <c r="A62" i="3"/>
  <c r="S61" i="3"/>
  <c r="Q61" i="3"/>
  <c r="P61" i="3"/>
  <c r="J61" i="3"/>
  <c r="F61" i="3"/>
  <c r="E61" i="3"/>
  <c r="D61" i="3"/>
  <c r="B61" i="3"/>
  <c r="A61" i="3"/>
  <c r="Q60" i="3"/>
  <c r="P60" i="3"/>
  <c r="J60" i="3"/>
  <c r="F60" i="3"/>
  <c r="E60" i="3"/>
  <c r="D60" i="3"/>
  <c r="B60" i="3"/>
  <c r="S60" i="3"/>
  <c r="A60" i="3"/>
  <c r="Q59" i="3"/>
  <c r="P59" i="3"/>
  <c r="J59" i="3"/>
  <c r="F59" i="3"/>
  <c r="E59" i="3"/>
  <c r="D59" i="3"/>
  <c r="B59" i="3"/>
  <c r="S59" i="3"/>
  <c r="A59" i="3"/>
  <c r="S58" i="3"/>
  <c r="Q58" i="3"/>
  <c r="P58" i="3"/>
  <c r="J58" i="3"/>
  <c r="F58" i="3"/>
  <c r="E58" i="3"/>
  <c r="D58" i="3"/>
  <c r="B58" i="3"/>
  <c r="A58" i="3"/>
  <c r="S57" i="3"/>
  <c r="Q57" i="3"/>
  <c r="P57" i="3"/>
  <c r="J57" i="3"/>
  <c r="F57" i="3"/>
  <c r="E57" i="3"/>
  <c r="D57" i="3"/>
  <c r="B57" i="3"/>
  <c r="A57" i="3"/>
  <c r="Q56" i="3"/>
  <c r="P56" i="3"/>
  <c r="J56" i="3"/>
  <c r="F56" i="3"/>
  <c r="E56" i="3"/>
  <c r="D56" i="3"/>
  <c r="G56" i="3"/>
  <c r="B56" i="3"/>
  <c r="S56" i="3"/>
  <c r="A56" i="3"/>
  <c r="S55" i="3"/>
  <c r="Q55" i="3"/>
  <c r="P55" i="3"/>
  <c r="J55" i="3"/>
  <c r="F55" i="3"/>
  <c r="E55" i="3"/>
  <c r="D55" i="3"/>
  <c r="B55" i="3"/>
  <c r="A55" i="3"/>
  <c r="Q54" i="3"/>
  <c r="P54" i="3"/>
  <c r="J54" i="3"/>
  <c r="F54" i="3"/>
  <c r="E54" i="3"/>
  <c r="D54" i="3"/>
  <c r="B54" i="3"/>
  <c r="S54" i="3"/>
  <c r="A54" i="3"/>
  <c r="Q53" i="3"/>
  <c r="P53" i="3"/>
  <c r="J53" i="3"/>
  <c r="F53" i="3"/>
  <c r="E53" i="3"/>
  <c r="D53" i="3"/>
  <c r="G53" i="3"/>
  <c r="B53" i="3"/>
  <c r="A53" i="3"/>
  <c r="Q52" i="3"/>
  <c r="P52" i="3"/>
  <c r="J52" i="3"/>
  <c r="F52" i="3"/>
  <c r="E52" i="3"/>
  <c r="D52" i="3"/>
  <c r="B52" i="3"/>
  <c r="A52" i="3"/>
  <c r="Q51" i="3"/>
  <c r="P51" i="3"/>
  <c r="J51" i="3"/>
  <c r="F51" i="3"/>
  <c r="E51" i="3"/>
  <c r="D51" i="3"/>
  <c r="B51" i="3"/>
  <c r="S51" i="3"/>
  <c r="A51" i="3"/>
  <c r="Q50" i="3"/>
  <c r="P50" i="3"/>
  <c r="S50" i="3"/>
  <c r="J50" i="3"/>
  <c r="F50" i="3"/>
  <c r="E50" i="3"/>
  <c r="D50" i="3"/>
  <c r="G50" i="3"/>
  <c r="B50" i="3"/>
  <c r="A50" i="3"/>
  <c r="S49" i="3"/>
  <c r="Q49" i="3"/>
  <c r="P49" i="3"/>
  <c r="J49" i="3"/>
  <c r="F49" i="3"/>
  <c r="E49" i="3"/>
  <c r="D49" i="3"/>
  <c r="B49" i="3"/>
  <c r="A49" i="3"/>
  <c r="S48" i="3"/>
  <c r="Q48" i="3"/>
  <c r="P48" i="3"/>
  <c r="J48" i="3"/>
  <c r="F48" i="3"/>
  <c r="E48" i="3"/>
  <c r="D48" i="3"/>
  <c r="B48" i="3"/>
  <c r="A48" i="3"/>
  <c r="S47" i="3"/>
  <c r="Q47" i="3"/>
  <c r="P47" i="3"/>
  <c r="J47" i="3"/>
  <c r="F47" i="3"/>
  <c r="E47" i="3"/>
  <c r="D47" i="3"/>
  <c r="B47" i="3"/>
  <c r="A47" i="3"/>
  <c r="Q46" i="3"/>
  <c r="P46" i="3"/>
  <c r="J46" i="3"/>
  <c r="F46" i="3"/>
  <c r="E46" i="3"/>
  <c r="D46" i="3"/>
  <c r="G46" i="3"/>
  <c r="B46" i="3"/>
  <c r="S46" i="3"/>
  <c r="A46" i="3"/>
  <c r="Q45" i="3"/>
  <c r="P45" i="3"/>
  <c r="J45" i="3"/>
  <c r="F45" i="3"/>
  <c r="E45" i="3"/>
  <c r="D45" i="3"/>
  <c r="B45" i="3"/>
  <c r="S45" i="3"/>
  <c r="A45" i="3"/>
  <c r="S44" i="3"/>
  <c r="Q44" i="3"/>
  <c r="P44" i="3"/>
  <c r="J44" i="3"/>
  <c r="F44" i="3"/>
  <c r="E44" i="3"/>
  <c r="D44" i="3"/>
  <c r="B44" i="3"/>
  <c r="A44" i="3"/>
  <c r="Q43" i="3"/>
  <c r="P43" i="3"/>
  <c r="J43" i="3"/>
  <c r="F43" i="3"/>
  <c r="E43" i="3"/>
  <c r="D43" i="3"/>
  <c r="G43" i="3"/>
  <c r="B43" i="3"/>
  <c r="S43" i="3"/>
  <c r="A43" i="3"/>
  <c r="Q42" i="3"/>
  <c r="P42" i="3"/>
  <c r="J42" i="3"/>
  <c r="F42" i="3"/>
  <c r="E42" i="3"/>
  <c r="D42" i="3"/>
  <c r="B42" i="3"/>
  <c r="S42" i="3"/>
  <c r="A42" i="3"/>
  <c r="S41" i="3"/>
  <c r="Q41" i="3"/>
  <c r="P41" i="3"/>
  <c r="J41" i="3"/>
  <c r="F41" i="3"/>
  <c r="E41" i="3"/>
  <c r="D41" i="3"/>
  <c r="B41" i="3"/>
  <c r="A41" i="3"/>
  <c r="Q40" i="3"/>
  <c r="P40" i="3"/>
  <c r="J40" i="3"/>
  <c r="F40" i="3"/>
  <c r="E40" i="3"/>
  <c r="D40" i="3"/>
  <c r="B40" i="3"/>
  <c r="S40" i="3"/>
  <c r="A40" i="3"/>
  <c r="Q39" i="3"/>
  <c r="P39" i="3"/>
  <c r="S39" i="3"/>
  <c r="J39" i="3"/>
  <c r="F39" i="3"/>
  <c r="E39" i="3"/>
  <c r="D39" i="3"/>
  <c r="A39" i="3"/>
  <c r="S38" i="3"/>
  <c r="Q38" i="3"/>
  <c r="P38" i="3"/>
  <c r="J38" i="3"/>
  <c r="F38" i="3"/>
  <c r="E38" i="3"/>
  <c r="D38" i="3"/>
  <c r="B38" i="3"/>
  <c r="A38" i="3"/>
  <c r="Q37" i="3"/>
  <c r="P37" i="3"/>
  <c r="J37" i="3"/>
  <c r="F37" i="3"/>
  <c r="E37" i="3"/>
  <c r="D37" i="3"/>
  <c r="B37" i="3"/>
  <c r="S37" i="3"/>
  <c r="A37" i="3"/>
  <c r="Q36" i="3"/>
  <c r="P36" i="3"/>
  <c r="J36" i="3"/>
  <c r="F36" i="3"/>
  <c r="E36" i="3"/>
  <c r="D36" i="3"/>
  <c r="B36" i="3"/>
  <c r="S36" i="3"/>
  <c r="A36" i="3"/>
  <c r="Q35" i="3"/>
  <c r="P35" i="3"/>
  <c r="S35" i="3"/>
  <c r="J35" i="3"/>
  <c r="F35" i="3"/>
  <c r="E35" i="3"/>
  <c r="D35" i="3"/>
  <c r="B35" i="3"/>
  <c r="A35" i="3"/>
  <c r="S34" i="3"/>
  <c r="Q34" i="3"/>
  <c r="P34" i="3"/>
  <c r="J34" i="3"/>
  <c r="F34" i="3"/>
  <c r="E34" i="3"/>
  <c r="D34" i="3"/>
  <c r="B34" i="3"/>
  <c r="A34" i="3"/>
  <c r="Q33" i="3"/>
  <c r="P33" i="3"/>
  <c r="J33" i="3"/>
  <c r="F33" i="3"/>
  <c r="E33" i="3"/>
  <c r="D33" i="3"/>
  <c r="B33" i="3"/>
  <c r="S33" i="3"/>
  <c r="A33" i="3"/>
  <c r="Q32" i="3"/>
  <c r="P32" i="3"/>
  <c r="S32" i="3"/>
  <c r="J32" i="3"/>
  <c r="F32" i="3"/>
  <c r="E32" i="3"/>
  <c r="D32" i="3"/>
  <c r="B32" i="3"/>
  <c r="A32" i="3"/>
  <c r="K22" i="3"/>
  <c r="B22" i="3"/>
  <c r="L21" i="3"/>
  <c r="K21" i="3"/>
  <c r="H21" i="3"/>
  <c r="B21" i="3"/>
  <c r="L18" i="3"/>
  <c r="K18" i="3"/>
  <c r="F18" i="3"/>
  <c r="B18" i="3"/>
  <c r="L17" i="3"/>
  <c r="K17" i="3"/>
  <c r="I17" i="3"/>
  <c r="B17" i="3"/>
  <c r="L16" i="3"/>
  <c r="K16" i="3"/>
  <c r="I16" i="3"/>
  <c r="B16" i="3"/>
  <c r="M15" i="3"/>
  <c r="N15" i="3"/>
  <c r="L15" i="3"/>
  <c r="K15" i="3"/>
  <c r="I15" i="3"/>
  <c r="B15" i="3"/>
  <c r="L14" i="3"/>
  <c r="K14" i="3"/>
  <c r="I14" i="3"/>
  <c r="H14" i="3"/>
  <c r="B14" i="3"/>
  <c r="B11" i="3"/>
  <c r="B10" i="3"/>
  <c r="B9" i="3"/>
  <c r="B7" i="3"/>
  <c r="B5" i="3"/>
  <c r="Q465" i="1"/>
  <c r="P465" i="1"/>
  <c r="S465" i="1"/>
  <c r="J465" i="1"/>
  <c r="F465" i="1"/>
  <c r="E465" i="1"/>
  <c r="D465" i="1"/>
  <c r="B465" i="1"/>
  <c r="A465" i="1"/>
  <c r="Q464" i="1"/>
  <c r="P464" i="1"/>
  <c r="S464" i="1"/>
  <c r="J464" i="1"/>
  <c r="F464" i="1"/>
  <c r="E464" i="1"/>
  <c r="D464" i="1"/>
  <c r="B464" i="1"/>
  <c r="A464" i="1"/>
  <c r="Q463" i="1"/>
  <c r="P463" i="1"/>
  <c r="J463" i="1"/>
  <c r="F463" i="1"/>
  <c r="E463" i="1"/>
  <c r="D463" i="1"/>
  <c r="B463" i="1"/>
  <c r="S463" i="1"/>
  <c r="A463" i="1"/>
  <c r="Q462" i="1"/>
  <c r="P462" i="1"/>
  <c r="J462" i="1"/>
  <c r="F462" i="1"/>
  <c r="E462" i="1"/>
  <c r="D462" i="1"/>
  <c r="G462" i="1"/>
  <c r="B462" i="1"/>
  <c r="S462" i="1"/>
  <c r="A462" i="1"/>
  <c r="Q461" i="1"/>
  <c r="P461" i="1"/>
  <c r="J461" i="1"/>
  <c r="F461" i="1"/>
  <c r="E461" i="1"/>
  <c r="D461" i="1"/>
  <c r="B461" i="1"/>
  <c r="A461" i="1"/>
  <c r="Q460" i="1"/>
  <c r="P460" i="1"/>
  <c r="S460" i="1"/>
  <c r="J460" i="1"/>
  <c r="F460" i="1"/>
  <c r="E460" i="1"/>
  <c r="D460" i="1"/>
  <c r="B460" i="1"/>
  <c r="A460" i="1"/>
  <c r="Q459" i="1"/>
  <c r="P459" i="1"/>
  <c r="J459" i="1"/>
  <c r="F459" i="1"/>
  <c r="E459" i="1"/>
  <c r="D459" i="1"/>
  <c r="G459" i="1"/>
  <c r="B459" i="1"/>
  <c r="A459" i="1"/>
  <c r="Q458" i="1"/>
  <c r="P458" i="1"/>
  <c r="J458" i="1"/>
  <c r="F458" i="1"/>
  <c r="E458" i="1"/>
  <c r="D458" i="1"/>
  <c r="B458" i="1"/>
  <c r="S458" i="1"/>
  <c r="A458" i="1"/>
  <c r="S457" i="1"/>
  <c r="Q457" i="1"/>
  <c r="P457" i="1"/>
  <c r="J457" i="1"/>
  <c r="F457" i="1"/>
  <c r="E457" i="1"/>
  <c r="D457" i="1"/>
  <c r="B457" i="1"/>
  <c r="A457" i="1"/>
  <c r="S456" i="1"/>
  <c r="Q456" i="1"/>
  <c r="P456" i="1"/>
  <c r="N456" i="1"/>
  <c r="L456" i="1"/>
  <c r="J456" i="1"/>
  <c r="I456" i="1"/>
  <c r="K456" i="1"/>
  <c r="F456" i="1"/>
  <c r="E456" i="1"/>
  <c r="D456" i="1"/>
  <c r="B456" i="1"/>
  <c r="A456" i="1"/>
  <c r="S455" i="1"/>
  <c r="Q455" i="1"/>
  <c r="P455" i="1"/>
  <c r="J455" i="1"/>
  <c r="F455" i="1"/>
  <c r="E455" i="1"/>
  <c r="D455" i="1"/>
  <c r="B455" i="1"/>
  <c r="A455" i="1"/>
  <c r="S454" i="1"/>
  <c r="Q454" i="1"/>
  <c r="P454" i="1"/>
  <c r="J454" i="1"/>
  <c r="F454" i="1"/>
  <c r="E454" i="1"/>
  <c r="D454" i="1"/>
  <c r="B454" i="1"/>
  <c r="A454" i="1"/>
  <c r="Q453" i="1"/>
  <c r="P453" i="1"/>
  <c r="J453" i="1"/>
  <c r="F453" i="1"/>
  <c r="E453" i="1"/>
  <c r="D453" i="1"/>
  <c r="B453" i="1"/>
  <c r="A453" i="1"/>
  <c r="S452" i="1"/>
  <c r="Q452" i="1"/>
  <c r="P452" i="1"/>
  <c r="J452" i="1"/>
  <c r="F452" i="1"/>
  <c r="E452" i="1"/>
  <c r="D452" i="1"/>
  <c r="B452" i="1"/>
  <c r="A452" i="1"/>
  <c r="S451" i="1"/>
  <c r="Q451" i="1"/>
  <c r="P451" i="1"/>
  <c r="J451" i="1"/>
  <c r="F451" i="1"/>
  <c r="E451" i="1"/>
  <c r="D451" i="1"/>
  <c r="G451" i="1"/>
  <c r="B451" i="1"/>
  <c r="A451" i="1"/>
  <c r="Q450" i="1"/>
  <c r="P450" i="1"/>
  <c r="J450" i="1"/>
  <c r="F450" i="1"/>
  <c r="E450" i="1"/>
  <c r="D450" i="1"/>
  <c r="B450" i="1"/>
  <c r="S450" i="1"/>
  <c r="A450" i="1"/>
  <c r="Q449" i="1"/>
  <c r="P449" i="1"/>
  <c r="J449" i="1"/>
  <c r="F449" i="1"/>
  <c r="E449" i="1"/>
  <c r="D449" i="1"/>
  <c r="G449" i="1"/>
  <c r="B449" i="1"/>
  <c r="S449" i="1"/>
  <c r="A449" i="1"/>
  <c r="Q448" i="1"/>
  <c r="P448" i="1"/>
  <c r="J448" i="1"/>
  <c r="F448" i="1"/>
  <c r="E448" i="1"/>
  <c r="D448" i="1"/>
  <c r="G448" i="1"/>
  <c r="B448" i="1"/>
  <c r="A448" i="1"/>
  <c r="Q447" i="1"/>
  <c r="P447" i="1"/>
  <c r="S447" i="1"/>
  <c r="J447" i="1"/>
  <c r="F447" i="1"/>
  <c r="E447" i="1"/>
  <c r="D447" i="1"/>
  <c r="B447" i="1"/>
  <c r="A447" i="1"/>
  <c r="Q446" i="1"/>
  <c r="P446" i="1"/>
  <c r="J446" i="1"/>
  <c r="F446" i="1"/>
  <c r="E446" i="1"/>
  <c r="D446" i="1"/>
  <c r="G446" i="1"/>
  <c r="B446" i="1"/>
  <c r="S446" i="1"/>
  <c r="A446" i="1"/>
  <c r="Q445" i="1"/>
  <c r="P445" i="1"/>
  <c r="S445" i="1"/>
  <c r="J445" i="1"/>
  <c r="F445" i="1"/>
  <c r="E445" i="1"/>
  <c r="D445" i="1"/>
  <c r="G445" i="1"/>
  <c r="B445" i="1"/>
  <c r="A445" i="1"/>
  <c r="Q444" i="1"/>
  <c r="P444" i="1"/>
  <c r="J444" i="1"/>
  <c r="F444" i="1"/>
  <c r="E444" i="1"/>
  <c r="D444" i="1"/>
  <c r="B444" i="1"/>
  <c r="S444" i="1"/>
  <c r="A444" i="1"/>
  <c r="Q443" i="1"/>
  <c r="P443" i="1"/>
  <c r="J443" i="1"/>
  <c r="F443" i="1"/>
  <c r="E443" i="1"/>
  <c r="D443" i="1"/>
  <c r="B443" i="1"/>
  <c r="A443" i="1"/>
  <c r="Q442" i="1"/>
  <c r="P442" i="1"/>
  <c r="J442" i="1"/>
  <c r="F442" i="1"/>
  <c r="E442" i="1"/>
  <c r="D442" i="1"/>
  <c r="G442" i="1"/>
  <c r="B442" i="1"/>
  <c r="A442" i="1"/>
  <c r="S441" i="1"/>
  <c r="Q441" i="1"/>
  <c r="P441" i="1"/>
  <c r="J441" i="1"/>
  <c r="F441" i="1"/>
  <c r="E441" i="1"/>
  <c r="D441" i="1"/>
  <c r="B441" i="1"/>
  <c r="A441" i="1"/>
  <c r="Q440" i="1"/>
  <c r="P440" i="1"/>
  <c r="J440" i="1"/>
  <c r="F440" i="1"/>
  <c r="E440" i="1"/>
  <c r="D440" i="1"/>
  <c r="B440" i="1"/>
  <c r="A440" i="1"/>
  <c r="S439" i="1"/>
  <c r="Q439" i="1"/>
  <c r="P439" i="1"/>
  <c r="J439" i="1"/>
  <c r="F439" i="1"/>
  <c r="E439" i="1"/>
  <c r="D439" i="1"/>
  <c r="B439" i="1"/>
  <c r="A439" i="1"/>
  <c r="S438" i="1"/>
  <c r="Q438" i="1"/>
  <c r="P438" i="1"/>
  <c r="J438" i="1"/>
  <c r="F438" i="1"/>
  <c r="E438" i="1"/>
  <c r="D438" i="1"/>
  <c r="G438" i="1"/>
  <c r="B438" i="1"/>
  <c r="A438" i="1"/>
  <c r="S437" i="1"/>
  <c r="Q437" i="1"/>
  <c r="P437" i="1"/>
  <c r="J437" i="1"/>
  <c r="F437" i="1"/>
  <c r="E437" i="1"/>
  <c r="D437" i="1"/>
  <c r="B437" i="1"/>
  <c r="A437" i="1"/>
  <c r="S436" i="1"/>
  <c r="Q436" i="1"/>
  <c r="P436" i="1"/>
  <c r="J436" i="1"/>
  <c r="F436" i="1"/>
  <c r="E436" i="1"/>
  <c r="D436" i="1"/>
  <c r="B436" i="1"/>
  <c r="A436" i="1"/>
  <c r="Q435" i="1"/>
  <c r="P435" i="1"/>
  <c r="J435" i="1"/>
  <c r="F435" i="1"/>
  <c r="E435" i="1"/>
  <c r="D435" i="1"/>
  <c r="B435" i="1"/>
  <c r="S435" i="1"/>
  <c r="A435" i="1"/>
  <c r="Q434" i="1"/>
  <c r="P434" i="1"/>
  <c r="J434" i="1"/>
  <c r="F434" i="1"/>
  <c r="E434" i="1"/>
  <c r="D434" i="1"/>
  <c r="B434" i="1"/>
  <c r="S434" i="1"/>
  <c r="A434" i="1"/>
  <c r="Q433" i="1"/>
  <c r="P433" i="1"/>
  <c r="J433" i="1"/>
  <c r="F433" i="1"/>
  <c r="E433" i="1"/>
  <c r="D433" i="1"/>
  <c r="B433" i="1"/>
  <c r="S433" i="1"/>
  <c r="A433" i="1"/>
  <c r="Q432" i="1"/>
  <c r="P432" i="1"/>
  <c r="J432" i="1"/>
  <c r="F432" i="1"/>
  <c r="E432" i="1"/>
  <c r="D432" i="1"/>
  <c r="B432" i="1"/>
  <c r="S432" i="1"/>
  <c r="A432" i="1"/>
  <c r="Q431" i="1"/>
  <c r="P431" i="1"/>
  <c r="J431" i="1"/>
  <c r="F431" i="1"/>
  <c r="E431" i="1"/>
  <c r="D431" i="1"/>
  <c r="B431" i="1"/>
  <c r="S431" i="1"/>
  <c r="A431" i="1"/>
  <c r="Q430" i="1"/>
  <c r="P430" i="1"/>
  <c r="J430" i="1"/>
  <c r="F430" i="1"/>
  <c r="E430" i="1"/>
  <c r="D430" i="1"/>
  <c r="B430" i="1"/>
  <c r="A430" i="1"/>
  <c r="Q429" i="1"/>
  <c r="P429" i="1"/>
  <c r="S429" i="1"/>
  <c r="J429" i="1"/>
  <c r="F429" i="1"/>
  <c r="E429" i="1"/>
  <c r="D429" i="1"/>
  <c r="B429" i="1"/>
  <c r="A429" i="1"/>
  <c r="Q428" i="1"/>
  <c r="P428" i="1"/>
  <c r="J428" i="1"/>
  <c r="F428" i="1"/>
  <c r="E428" i="1"/>
  <c r="D428" i="1"/>
  <c r="B428" i="1"/>
  <c r="A428" i="1"/>
  <c r="S427" i="1"/>
  <c r="Q427" i="1"/>
  <c r="P427" i="1"/>
  <c r="J427" i="1"/>
  <c r="F427" i="1"/>
  <c r="E427" i="1"/>
  <c r="D427" i="1"/>
  <c r="B427" i="1"/>
  <c r="A427" i="1"/>
  <c r="S426" i="1"/>
  <c r="Q426" i="1"/>
  <c r="P426" i="1"/>
  <c r="J426" i="1"/>
  <c r="F426" i="1"/>
  <c r="E426" i="1"/>
  <c r="D426" i="1"/>
  <c r="B426" i="1"/>
  <c r="A426" i="1"/>
  <c r="Q425" i="1"/>
  <c r="P425" i="1"/>
  <c r="J425" i="1"/>
  <c r="F425" i="1"/>
  <c r="E425" i="1"/>
  <c r="D425" i="1"/>
  <c r="G425" i="1"/>
  <c r="B425" i="1"/>
  <c r="S425" i="1"/>
  <c r="A425" i="1"/>
  <c r="S424" i="1"/>
  <c r="Q424" i="1"/>
  <c r="P424" i="1"/>
  <c r="J424" i="1"/>
  <c r="F424" i="1"/>
  <c r="E424" i="1"/>
  <c r="D424" i="1"/>
  <c r="B424" i="1"/>
  <c r="A424" i="1"/>
  <c r="Q423" i="1"/>
  <c r="P423" i="1"/>
  <c r="J423" i="1"/>
  <c r="F423" i="1"/>
  <c r="E423" i="1"/>
  <c r="D423" i="1"/>
  <c r="B423" i="1"/>
  <c r="S423" i="1"/>
  <c r="A423" i="1"/>
  <c r="S422" i="1"/>
  <c r="Q422" i="1"/>
  <c r="P422" i="1"/>
  <c r="J422" i="1"/>
  <c r="F422" i="1"/>
  <c r="E422" i="1"/>
  <c r="D422" i="1"/>
  <c r="B422" i="1"/>
  <c r="A422" i="1"/>
  <c r="Q421" i="1"/>
  <c r="P421" i="1"/>
  <c r="J421" i="1"/>
  <c r="F421" i="1"/>
  <c r="E421" i="1"/>
  <c r="G421" i="1"/>
  <c r="D421" i="1"/>
  <c r="B421" i="1"/>
  <c r="S421" i="1"/>
  <c r="A421" i="1"/>
  <c r="Q420" i="1"/>
  <c r="P420" i="1"/>
  <c r="S420" i="1"/>
  <c r="J420" i="1"/>
  <c r="F420" i="1"/>
  <c r="E420" i="1"/>
  <c r="D420" i="1"/>
  <c r="B420" i="1"/>
  <c r="A420" i="1"/>
  <c r="S419" i="1"/>
  <c r="Q419" i="1"/>
  <c r="P419" i="1"/>
  <c r="J419" i="1"/>
  <c r="F419" i="1"/>
  <c r="E419" i="1"/>
  <c r="D419" i="1"/>
  <c r="B419" i="1"/>
  <c r="A419" i="1"/>
  <c r="S418" i="1"/>
  <c r="Q418" i="1"/>
  <c r="P418" i="1"/>
  <c r="J418" i="1"/>
  <c r="F418" i="1"/>
  <c r="E418" i="1"/>
  <c r="D418" i="1"/>
  <c r="G418" i="1"/>
  <c r="B418" i="1"/>
  <c r="A418" i="1"/>
  <c r="Q417" i="1"/>
  <c r="P417" i="1"/>
  <c r="J417" i="1"/>
  <c r="F417" i="1"/>
  <c r="E417" i="1"/>
  <c r="G417" i="1"/>
  <c r="D417" i="1"/>
  <c r="B417" i="1"/>
  <c r="A417" i="1"/>
  <c r="Q416" i="1"/>
  <c r="P416" i="1"/>
  <c r="J416" i="1"/>
  <c r="F416" i="1"/>
  <c r="E416" i="1"/>
  <c r="D416" i="1"/>
  <c r="B416" i="1"/>
  <c r="A416" i="1"/>
  <c r="S415" i="1"/>
  <c r="Q415" i="1"/>
  <c r="P415" i="1"/>
  <c r="J415" i="1"/>
  <c r="F415" i="1"/>
  <c r="E415" i="1"/>
  <c r="D415" i="1"/>
  <c r="B415" i="1"/>
  <c r="A415" i="1"/>
  <c r="Q414" i="1"/>
  <c r="P414" i="1"/>
  <c r="J414" i="1"/>
  <c r="F414" i="1"/>
  <c r="E414" i="1"/>
  <c r="D414" i="1"/>
  <c r="B414" i="1"/>
  <c r="S414" i="1"/>
  <c r="A414" i="1"/>
  <c r="Q413" i="1"/>
  <c r="P413" i="1"/>
  <c r="J413" i="1"/>
  <c r="F413" i="1"/>
  <c r="E413" i="1"/>
  <c r="G413" i="1"/>
  <c r="D413" i="1"/>
  <c r="B413" i="1"/>
  <c r="S413" i="1"/>
  <c r="A413" i="1"/>
  <c r="Q412" i="1"/>
  <c r="P412" i="1"/>
  <c r="J412" i="1"/>
  <c r="F412" i="1"/>
  <c r="E412" i="1"/>
  <c r="D412" i="1"/>
  <c r="B412" i="1"/>
  <c r="S412" i="1"/>
  <c r="A412" i="1"/>
  <c r="S411" i="1"/>
  <c r="Q411" i="1"/>
  <c r="P411" i="1"/>
  <c r="J411" i="1"/>
  <c r="F411" i="1"/>
  <c r="E411" i="1"/>
  <c r="D411" i="1"/>
  <c r="B411" i="1"/>
  <c r="A411" i="1"/>
  <c r="Q410" i="1"/>
  <c r="P410" i="1"/>
  <c r="J410" i="1"/>
  <c r="F410" i="1"/>
  <c r="E410" i="1"/>
  <c r="D410" i="1"/>
  <c r="B410" i="1"/>
  <c r="S410" i="1"/>
  <c r="A410" i="1"/>
  <c r="Q409" i="1"/>
  <c r="P409" i="1"/>
  <c r="J409" i="1"/>
  <c r="F409" i="1"/>
  <c r="E409" i="1"/>
  <c r="D409" i="1"/>
  <c r="B409" i="1"/>
  <c r="S409" i="1"/>
  <c r="A409" i="1"/>
  <c r="Q408" i="1"/>
  <c r="P408" i="1"/>
  <c r="J408" i="1"/>
  <c r="F408" i="1"/>
  <c r="E408" i="1"/>
  <c r="D408" i="1"/>
  <c r="B408" i="1"/>
  <c r="A408" i="1"/>
  <c r="S407" i="1"/>
  <c r="Q407" i="1"/>
  <c r="P407" i="1"/>
  <c r="J407" i="1"/>
  <c r="F407" i="1"/>
  <c r="E407" i="1"/>
  <c r="D407" i="1"/>
  <c r="B407" i="1"/>
  <c r="A407" i="1"/>
  <c r="S406" i="1"/>
  <c r="Q406" i="1"/>
  <c r="P406" i="1"/>
  <c r="J406" i="1"/>
  <c r="F406" i="1"/>
  <c r="E406" i="1"/>
  <c r="G406" i="1"/>
  <c r="D406" i="1"/>
  <c r="B406" i="1"/>
  <c r="A406" i="1"/>
  <c r="S405" i="1"/>
  <c r="Q405" i="1"/>
  <c r="P405" i="1"/>
  <c r="J405" i="1"/>
  <c r="F405" i="1"/>
  <c r="E405" i="1"/>
  <c r="D405" i="1"/>
  <c r="B405" i="1"/>
  <c r="A405" i="1"/>
  <c r="Q404" i="1"/>
  <c r="P404" i="1"/>
  <c r="J404" i="1"/>
  <c r="F404" i="1"/>
  <c r="E404" i="1"/>
  <c r="D404" i="1"/>
  <c r="B404" i="1"/>
  <c r="S404" i="1"/>
  <c r="A404" i="1"/>
  <c r="Q403" i="1"/>
  <c r="P403" i="1"/>
  <c r="J403" i="1"/>
  <c r="F403" i="1"/>
  <c r="E403" i="1"/>
  <c r="G403" i="1"/>
  <c r="D403" i="1"/>
  <c r="B403" i="1"/>
  <c r="S403" i="1"/>
  <c r="A403" i="1"/>
  <c r="S402" i="1"/>
  <c r="Q402" i="1"/>
  <c r="P402" i="1"/>
  <c r="J402" i="1"/>
  <c r="F402" i="1"/>
  <c r="E402" i="1"/>
  <c r="D402" i="1"/>
  <c r="B402" i="1"/>
  <c r="A402" i="1"/>
  <c r="Q401" i="1"/>
  <c r="P401" i="1"/>
  <c r="J401" i="1"/>
  <c r="F401" i="1"/>
  <c r="E401" i="1"/>
  <c r="D401" i="1"/>
  <c r="B401" i="1"/>
  <c r="S401" i="1"/>
  <c r="A401" i="1"/>
  <c r="Q400" i="1"/>
  <c r="P400" i="1"/>
  <c r="J400" i="1"/>
  <c r="F400" i="1"/>
  <c r="E400" i="1"/>
  <c r="D400" i="1"/>
  <c r="B400" i="1"/>
  <c r="S400" i="1"/>
  <c r="A400" i="1"/>
  <c r="Q399" i="1"/>
  <c r="P399" i="1"/>
  <c r="J399" i="1"/>
  <c r="F399" i="1"/>
  <c r="E399" i="1"/>
  <c r="D399" i="1"/>
  <c r="B399" i="1"/>
  <c r="S399" i="1"/>
  <c r="A399" i="1"/>
  <c r="Q398" i="1"/>
  <c r="P398" i="1"/>
  <c r="S398" i="1"/>
  <c r="J398" i="1"/>
  <c r="F398" i="1"/>
  <c r="E398" i="1"/>
  <c r="D398" i="1"/>
  <c r="B398" i="1"/>
  <c r="A398" i="1"/>
  <c r="Q397" i="1"/>
  <c r="P397" i="1"/>
  <c r="J397" i="1"/>
  <c r="F397" i="1"/>
  <c r="E397" i="1"/>
  <c r="D397" i="1"/>
  <c r="B397" i="1"/>
  <c r="A397" i="1"/>
  <c r="S396" i="1"/>
  <c r="Q396" i="1"/>
  <c r="P396" i="1"/>
  <c r="J396" i="1"/>
  <c r="F396" i="1"/>
  <c r="E396" i="1"/>
  <c r="G396" i="1"/>
  <c r="D396" i="1"/>
  <c r="B396" i="1"/>
  <c r="A396" i="1"/>
  <c r="Q395" i="1"/>
  <c r="P395" i="1"/>
  <c r="J395" i="1"/>
  <c r="F395" i="1"/>
  <c r="E395" i="1"/>
  <c r="D395" i="1"/>
  <c r="B395" i="1"/>
  <c r="A395" i="1"/>
  <c r="Q394" i="1"/>
  <c r="P394" i="1"/>
  <c r="J394" i="1"/>
  <c r="F394" i="1"/>
  <c r="E394" i="1"/>
  <c r="D394" i="1"/>
  <c r="G394" i="1"/>
  <c r="B394" i="1"/>
  <c r="A394" i="1"/>
  <c r="S393" i="1"/>
  <c r="Q393" i="1"/>
  <c r="P393" i="1"/>
  <c r="J393" i="1"/>
  <c r="F393" i="1"/>
  <c r="E393" i="1"/>
  <c r="D393" i="1"/>
  <c r="B393" i="1"/>
  <c r="A393" i="1"/>
  <c r="S392" i="1"/>
  <c r="Q392" i="1"/>
  <c r="P392" i="1"/>
  <c r="J392" i="1"/>
  <c r="F392" i="1"/>
  <c r="E392" i="1"/>
  <c r="D392" i="1"/>
  <c r="G392" i="1"/>
  <c r="B392" i="1"/>
  <c r="A392" i="1"/>
  <c r="Q391" i="1"/>
  <c r="P391" i="1"/>
  <c r="S391" i="1"/>
  <c r="J391" i="1"/>
  <c r="F391" i="1"/>
  <c r="E391" i="1"/>
  <c r="D391" i="1"/>
  <c r="B391" i="1"/>
  <c r="A391" i="1"/>
  <c r="Q390" i="1"/>
  <c r="P390" i="1"/>
  <c r="J390" i="1"/>
  <c r="F390" i="1"/>
  <c r="E390" i="1"/>
  <c r="D390" i="1"/>
  <c r="B390" i="1"/>
  <c r="A390" i="1"/>
  <c r="Q389" i="1"/>
  <c r="P389" i="1"/>
  <c r="J389" i="1"/>
  <c r="F389" i="1"/>
  <c r="E389" i="1"/>
  <c r="D389" i="1"/>
  <c r="B389" i="1"/>
  <c r="A389" i="1"/>
  <c r="Q388" i="1"/>
  <c r="P388" i="1"/>
  <c r="S388" i="1"/>
  <c r="J388" i="1"/>
  <c r="F388" i="1"/>
  <c r="E388" i="1"/>
  <c r="D388" i="1"/>
  <c r="G388" i="1"/>
  <c r="B388" i="1"/>
  <c r="A388" i="1"/>
  <c r="Q387" i="1"/>
  <c r="P387" i="1"/>
  <c r="J387" i="1"/>
  <c r="F387" i="1"/>
  <c r="E387" i="1"/>
  <c r="D387" i="1"/>
  <c r="G387" i="1"/>
  <c r="B387" i="1"/>
  <c r="A387" i="1"/>
  <c r="Q386" i="1"/>
  <c r="P386" i="1"/>
  <c r="J386" i="1"/>
  <c r="F386" i="1"/>
  <c r="E386" i="1"/>
  <c r="G386" i="1"/>
  <c r="D386" i="1"/>
  <c r="B386" i="1"/>
  <c r="S386" i="1"/>
  <c r="A386" i="1"/>
  <c r="Q385" i="1"/>
  <c r="P385" i="1"/>
  <c r="J385" i="1"/>
  <c r="F385" i="1"/>
  <c r="E385" i="1"/>
  <c r="D385" i="1"/>
  <c r="B385" i="1"/>
  <c r="S385" i="1"/>
  <c r="A385" i="1"/>
  <c r="Q384" i="1"/>
  <c r="P384" i="1"/>
  <c r="J384" i="1"/>
  <c r="F384" i="1"/>
  <c r="E384" i="1"/>
  <c r="D384" i="1"/>
  <c r="G384" i="1"/>
  <c r="B384" i="1"/>
  <c r="S384" i="1"/>
  <c r="A384" i="1"/>
  <c r="Q383" i="1"/>
  <c r="P383" i="1"/>
  <c r="J383" i="1"/>
  <c r="F383" i="1"/>
  <c r="E383" i="1"/>
  <c r="D383" i="1"/>
  <c r="B383" i="1"/>
  <c r="S383" i="1"/>
  <c r="A383" i="1"/>
  <c r="Q382" i="1"/>
  <c r="P382" i="1"/>
  <c r="J382" i="1"/>
  <c r="F382" i="1"/>
  <c r="E382" i="1"/>
  <c r="D382" i="1"/>
  <c r="B382" i="1"/>
  <c r="A382" i="1"/>
  <c r="Q381" i="1"/>
  <c r="P381" i="1"/>
  <c r="J381" i="1"/>
  <c r="F381" i="1"/>
  <c r="E381" i="1"/>
  <c r="D381" i="1"/>
  <c r="B381" i="1"/>
  <c r="S381" i="1"/>
  <c r="A381" i="1"/>
  <c r="S380" i="1"/>
  <c r="Q380" i="1"/>
  <c r="P380" i="1"/>
  <c r="J380" i="1"/>
  <c r="F380" i="1"/>
  <c r="E380" i="1"/>
  <c r="D380" i="1"/>
  <c r="B380" i="1"/>
  <c r="A380" i="1"/>
  <c r="Q379" i="1"/>
  <c r="P379" i="1"/>
  <c r="S379" i="1"/>
  <c r="J379" i="1"/>
  <c r="F379" i="1"/>
  <c r="E379" i="1"/>
  <c r="D379" i="1"/>
  <c r="B379" i="1"/>
  <c r="A379" i="1"/>
  <c r="Q378" i="1"/>
  <c r="P378" i="1"/>
  <c r="J378" i="1"/>
  <c r="F378" i="1"/>
  <c r="E378" i="1"/>
  <c r="D378" i="1"/>
  <c r="B378" i="1"/>
  <c r="A378" i="1"/>
  <c r="S377" i="1"/>
  <c r="Q377" i="1"/>
  <c r="P377" i="1"/>
  <c r="J377" i="1"/>
  <c r="F377" i="1"/>
  <c r="E377" i="1"/>
  <c r="D377" i="1"/>
  <c r="B377" i="1"/>
  <c r="A377" i="1"/>
  <c r="Q376" i="1"/>
  <c r="P376" i="1"/>
  <c r="J376" i="1"/>
  <c r="F376" i="1"/>
  <c r="E376" i="1"/>
  <c r="D376" i="1"/>
  <c r="B376" i="1"/>
  <c r="A376" i="1"/>
  <c r="S375" i="1"/>
  <c r="Q375" i="1"/>
  <c r="P375" i="1"/>
  <c r="J375" i="1"/>
  <c r="F375" i="1"/>
  <c r="E375" i="1"/>
  <c r="D375" i="1"/>
  <c r="B375" i="1"/>
  <c r="A375" i="1"/>
  <c r="Q374" i="1"/>
  <c r="P374" i="1"/>
  <c r="J374" i="1"/>
  <c r="F374" i="1"/>
  <c r="E374" i="1"/>
  <c r="D374" i="1"/>
  <c r="B374" i="1"/>
  <c r="A374" i="1"/>
  <c r="Q373" i="1"/>
  <c r="P373" i="1"/>
  <c r="S373" i="1"/>
  <c r="J373" i="1"/>
  <c r="F373" i="1"/>
  <c r="E373" i="1"/>
  <c r="D373" i="1"/>
  <c r="G373" i="1"/>
  <c r="B373" i="1"/>
  <c r="A373" i="1"/>
  <c r="Q372" i="1"/>
  <c r="P372" i="1"/>
  <c r="J372" i="1"/>
  <c r="F372" i="1"/>
  <c r="E372" i="1"/>
  <c r="D372" i="1"/>
  <c r="B372" i="1"/>
  <c r="A372" i="1"/>
  <c r="Q371" i="1"/>
  <c r="P371" i="1"/>
  <c r="J371" i="1"/>
  <c r="F371" i="1"/>
  <c r="E371" i="1"/>
  <c r="D371" i="1"/>
  <c r="B371" i="1"/>
  <c r="S371" i="1"/>
  <c r="A371" i="1"/>
  <c r="S370" i="1"/>
  <c r="Q370" i="1"/>
  <c r="P370" i="1"/>
  <c r="J370" i="1"/>
  <c r="F370" i="1"/>
  <c r="E370" i="1"/>
  <c r="D370" i="1"/>
  <c r="B370" i="1"/>
  <c r="A370" i="1"/>
  <c r="Q369" i="1"/>
  <c r="P369" i="1"/>
  <c r="J369" i="1"/>
  <c r="F369" i="1"/>
  <c r="E369" i="1"/>
  <c r="D369" i="1"/>
  <c r="B369" i="1"/>
  <c r="S369" i="1"/>
  <c r="A369" i="1"/>
  <c r="Q368" i="1"/>
  <c r="P368" i="1"/>
  <c r="J368" i="1"/>
  <c r="F368" i="1"/>
  <c r="E368" i="1"/>
  <c r="D368" i="1"/>
  <c r="G368" i="1"/>
  <c r="B368" i="1"/>
  <c r="A368" i="1"/>
  <c r="Q367" i="1"/>
  <c r="P367" i="1"/>
  <c r="J367" i="1"/>
  <c r="F367" i="1"/>
  <c r="E367" i="1"/>
  <c r="D367" i="1"/>
  <c r="B367" i="1"/>
  <c r="S367" i="1"/>
  <c r="A367" i="1"/>
  <c r="S366" i="1"/>
  <c r="Q366" i="1"/>
  <c r="P366" i="1"/>
  <c r="J366" i="1"/>
  <c r="F366" i="1"/>
  <c r="E366" i="1"/>
  <c r="D366" i="1"/>
  <c r="B366" i="1"/>
  <c r="A366" i="1"/>
  <c r="Q365" i="1"/>
  <c r="P365" i="1"/>
  <c r="J365" i="1"/>
  <c r="F365" i="1"/>
  <c r="E365" i="1"/>
  <c r="D365" i="1"/>
  <c r="B365" i="1"/>
  <c r="S365" i="1"/>
  <c r="A365" i="1"/>
  <c r="S364" i="1"/>
  <c r="Q364" i="1"/>
  <c r="P364" i="1"/>
  <c r="J364" i="1"/>
  <c r="F364" i="1"/>
  <c r="E364" i="1"/>
  <c r="D364" i="1"/>
  <c r="B364" i="1"/>
  <c r="A364" i="1"/>
  <c r="Q363" i="1"/>
  <c r="P363" i="1"/>
  <c r="J363" i="1"/>
  <c r="F363" i="1"/>
  <c r="E363" i="1"/>
  <c r="D363" i="1"/>
  <c r="B363" i="1"/>
  <c r="S363" i="1"/>
  <c r="A363" i="1"/>
  <c r="S362" i="1"/>
  <c r="Q362" i="1"/>
  <c r="P362" i="1"/>
  <c r="J362" i="1"/>
  <c r="F362" i="1"/>
  <c r="E362" i="1"/>
  <c r="D362" i="1"/>
  <c r="B362" i="1"/>
  <c r="A362" i="1"/>
  <c r="Q361" i="1"/>
  <c r="P361" i="1"/>
  <c r="J361" i="1"/>
  <c r="F361" i="1"/>
  <c r="E361" i="1"/>
  <c r="D361" i="1"/>
  <c r="B361" i="1"/>
  <c r="S361" i="1"/>
  <c r="A361" i="1"/>
  <c r="S360" i="1"/>
  <c r="Q360" i="1"/>
  <c r="P360" i="1"/>
  <c r="J360" i="1"/>
  <c r="F360" i="1"/>
  <c r="E360" i="1"/>
  <c r="D360" i="1"/>
  <c r="B360" i="1"/>
  <c r="A360" i="1"/>
  <c r="Q359" i="1"/>
  <c r="P359" i="1"/>
  <c r="J359" i="1"/>
  <c r="F359" i="1"/>
  <c r="E359" i="1"/>
  <c r="D359" i="1"/>
  <c r="B359" i="1"/>
  <c r="S359" i="1"/>
  <c r="A359" i="1"/>
  <c r="Q358" i="1"/>
  <c r="P358" i="1"/>
  <c r="J358" i="1"/>
  <c r="F358" i="1"/>
  <c r="E358" i="1"/>
  <c r="D358" i="1"/>
  <c r="G358" i="1"/>
  <c r="B358" i="1"/>
  <c r="S358" i="1"/>
  <c r="A358" i="1"/>
  <c r="S357" i="1"/>
  <c r="Q357" i="1"/>
  <c r="P357" i="1"/>
  <c r="J357" i="1"/>
  <c r="F357" i="1"/>
  <c r="E357" i="1"/>
  <c r="D357" i="1"/>
  <c r="B357" i="1"/>
  <c r="A357" i="1"/>
  <c r="S356" i="1"/>
  <c r="Q356" i="1"/>
  <c r="P356" i="1"/>
  <c r="J356" i="1"/>
  <c r="F356" i="1"/>
  <c r="E356" i="1"/>
  <c r="G356" i="1"/>
  <c r="D356" i="1"/>
  <c r="B356" i="1"/>
  <c r="A356" i="1"/>
  <c r="S355" i="1"/>
  <c r="Q355" i="1"/>
  <c r="P355" i="1"/>
  <c r="J355" i="1"/>
  <c r="F355" i="1"/>
  <c r="E355" i="1"/>
  <c r="D355" i="1"/>
  <c r="B355" i="1"/>
  <c r="A355" i="1"/>
  <c r="S354" i="1"/>
  <c r="Q354" i="1"/>
  <c r="P354" i="1"/>
  <c r="J354" i="1"/>
  <c r="F354" i="1"/>
  <c r="E354" i="1"/>
  <c r="D354" i="1"/>
  <c r="G354" i="1"/>
  <c r="B354" i="1"/>
  <c r="A354" i="1"/>
  <c r="S353" i="1"/>
  <c r="Q353" i="1"/>
  <c r="P353" i="1"/>
  <c r="J353" i="1"/>
  <c r="F353" i="1"/>
  <c r="E353" i="1"/>
  <c r="D353" i="1"/>
  <c r="B353" i="1"/>
  <c r="A353" i="1"/>
  <c r="S352" i="1"/>
  <c r="Q352" i="1"/>
  <c r="P352" i="1"/>
  <c r="J352" i="1"/>
  <c r="F352" i="1"/>
  <c r="E352" i="1"/>
  <c r="D352" i="1"/>
  <c r="G352" i="1"/>
  <c r="B352" i="1"/>
  <c r="A352" i="1"/>
  <c r="Q351" i="1"/>
  <c r="P351" i="1"/>
  <c r="J351" i="1"/>
  <c r="F351" i="1"/>
  <c r="E351" i="1"/>
  <c r="D351" i="1"/>
  <c r="B351" i="1"/>
  <c r="S351" i="1"/>
  <c r="A351" i="1"/>
  <c r="Q350" i="1"/>
  <c r="P350" i="1"/>
  <c r="S350" i="1"/>
  <c r="J350" i="1"/>
  <c r="F350" i="1"/>
  <c r="E350" i="1"/>
  <c r="D350" i="1"/>
  <c r="G350" i="1"/>
  <c r="B350" i="1"/>
  <c r="A350" i="1"/>
  <c r="Q349" i="1"/>
  <c r="P349" i="1"/>
  <c r="S349" i="1"/>
  <c r="J349" i="1"/>
  <c r="F349" i="1"/>
  <c r="E349" i="1"/>
  <c r="D349" i="1"/>
  <c r="G349" i="1"/>
  <c r="B349" i="1"/>
  <c r="A349" i="1"/>
  <c r="S348" i="1"/>
  <c r="Q348" i="1"/>
  <c r="P348" i="1"/>
  <c r="J348" i="1"/>
  <c r="F348" i="1"/>
  <c r="E348" i="1"/>
  <c r="D348" i="1"/>
  <c r="B348" i="1"/>
  <c r="A348" i="1"/>
  <c r="S347" i="1"/>
  <c r="Q347" i="1"/>
  <c r="P347" i="1"/>
  <c r="J347" i="1"/>
  <c r="F347" i="1"/>
  <c r="E347" i="1"/>
  <c r="D347" i="1"/>
  <c r="G347" i="1"/>
  <c r="B347" i="1"/>
  <c r="A347" i="1"/>
  <c r="Q346" i="1"/>
  <c r="P346" i="1"/>
  <c r="J346" i="1"/>
  <c r="F346" i="1"/>
  <c r="E346" i="1"/>
  <c r="D346" i="1"/>
  <c r="B346" i="1"/>
  <c r="A346" i="1"/>
  <c r="Q345" i="1"/>
  <c r="P345" i="1"/>
  <c r="J345" i="1"/>
  <c r="F345" i="1"/>
  <c r="E345" i="1"/>
  <c r="D345" i="1"/>
  <c r="B345" i="1"/>
  <c r="S345" i="1"/>
  <c r="A345" i="1"/>
  <c r="S344" i="1"/>
  <c r="Q344" i="1"/>
  <c r="P344" i="1"/>
  <c r="J344" i="1"/>
  <c r="F344" i="1"/>
  <c r="E344" i="1"/>
  <c r="D344" i="1"/>
  <c r="B344" i="1"/>
  <c r="A344" i="1"/>
  <c r="Q343" i="1"/>
  <c r="P343" i="1"/>
  <c r="J343" i="1"/>
  <c r="F343" i="1"/>
  <c r="E343" i="1"/>
  <c r="D343" i="1"/>
  <c r="B343" i="1"/>
  <c r="A343" i="1"/>
  <c r="S342" i="1"/>
  <c r="Q342" i="1"/>
  <c r="P342" i="1"/>
  <c r="J342" i="1"/>
  <c r="F342" i="1"/>
  <c r="E342" i="1"/>
  <c r="D342" i="1"/>
  <c r="G342" i="1"/>
  <c r="B342" i="1"/>
  <c r="A342" i="1"/>
  <c r="Q341" i="1"/>
  <c r="P341" i="1"/>
  <c r="S341" i="1"/>
  <c r="J341" i="1"/>
  <c r="F341" i="1"/>
  <c r="E341" i="1"/>
  <c r="D341" i="1"/>
  <c r="B341" i="1"/>
  <c r="A341" i="1"/>
  <c r="S340" i="1"/>
  <c r="Q340" i="1"/>
  <c r="P340" i="1"/>
  <c r="J340" i="1"/>
  <c r="F340" i="1"/>
  <c r="E340" i="1"/>
  <c r="D340" i="1"/>
  <c r="B340" i="1"/>
  <c r="A340" i="1"/>
  <c r="Q339" i="1"/>
  <c r="P339" i="1"/>
  <c r="S339" i="1"/>
  <c r="J339" i="1"/>
  <c r="F339" i="1"/>
  <c r="E339" i="1"/>
  <c r="D339" i="1"/>
  <c r="B339" i="1"/>
  <c r="A339" i="1"/>
  <c r="Q338" i="1"/>
  <c r="P338" i="1"/>
  <c r="J338" i="1"/>
  <c r="F338" i="1"/>
  <c r="E338" i="1"/>
  <c r="D338" i="1"/>
  <c r="B338" i="1"/>
  <c r="A338" i="1"/>
  <c r="Q337" i="1"/>
  <c r="P337" i="1"/>
  <c r="J337" i="1"/>
  <c r="F337" i="1"/>
  <c r="E337" i="1"/>
  <c r="D337" i="1"/>
  <c r="B337" i="1"/>
  <c r="S337" i="1"/>
  <c r="A337" i="1"/>
  <c r="S336" i="1"/>
  <c r="Q336" i="1"/>
  <c r="P336" i="1"/>
  <c r="J336" i="1"/>
  <c r="F336" i="1"/>
  <c r="E336" i="1"/>
  <c r="D336" i="1"/>
  <c r="B336" i="1"/>
  <c r="A336" i="1"/>
  <c r="Q335" i="1"/>
  <c r="P335" i="1"/>
  <c r="J335" i="1"/>
  <c r="F335" i="1"/>
  <c r="E335" i="1"/>
  <c r="D335" i="1"/>
  <c r="B335" i="1"/>
  <c r="S335" i="1"/>
  <c r="A335" i="1"/>
  <c r="S334" i="1"/>
  <c r="Q334" i="1"/>
  <c r="P334" i="1"/>
  <c r="J334" i="1"/>
  <c r="F334" i="1"/>
  <c r="E334" i="1"/>
  <c r="D334" i="1"/>
  <c r="B334" i="1"/>
  <c r="A334" i="1"/>
  <c r="Q333" i="1"/>
  <c r="P333" i="1"/>
  <c r="J333" i="1"/>
  <c r="F333" i="1"/>
  <c r="E333" i="1"/>
  <c r="D333" i="1"/>
  <c r="B333" i="1"/>
  <c r="S333" i="1"/>
  <c r="A333" i="1"/>
  <c r="Q332" i="1"/>
  <c r="P332" i="1"/>
  <c r="J332" i="1"/>
  <c r="F332" i="1"/>
  <c r="E332" i="1"/>
  <c r="D332" i="1"/>
  <c r="B332" i="1"/>
  <c r="S332" i="1"/>
  <c r="A332" i="1"/>
  <c r="Q331" i="1"/>
  <c r="P331" i="1"/>
  <c r="J331" i="1"/>
  <c r="F331" i="1"/>
  <c r="E331" i="1"/>
  <c r="D331" i="1"/>
  <c r="B331" i="1"/>
  <c r="S331" i="1"/>
  <c r="A331" i="1"/>
  <c r="Q330" i="1"/>
  <c r="P330" i="1"/>
  <c r="J330" i="1"/>
  <c r="F330" i="1"/>
  <c r="E330" i="1"/>
  <c r="G330" i="1"/>
  <c r="D330" i="1"/>
  <c r="B330" i="1"/>
  <c r="A330" i="1"/>
  <c r="Q329" i="1"/>
  <c r="P329" i="1"/>
  <c r="J329" i="1"/>
  <c r="F329" i="1"/>
  <c r="E329" i="1"/>
  <c r="D329" i="1"/>
  <c r="G329" i="1"/>
  <c r="B329" i="1"/>
  <c r="A329" i="1"/>
  <c r="Q328" i="1"/>
  <c r="P328" i="1"/>
  <c r="J328" i="1"/>
  <c r="F328" i="1"/>
  <c r="E328" i="1"/>
  <c r="D328" i="1"/>
  <c r="B328" i="1"/>
  <c r="S328" i="1"/>
  <c r="A328" i="1"/>
  <c r="Q327" i="1"/>
  <c r="P327" i="1"/>
  <c r="J327" i="1"/>
  <c r="F327" i="1"/>
  <c r="E327" i="1"/>
  <c r="D327" i="1"/>
  <c r="B327" i="1"/>
  <c r="A327" i="1"/>
  <c r="Q326" i="1"/>
  <c r="P326" i="1"/>
  <c r="J326" i="1"/>
  <c r="F326" i="1"/>
  <c r="E326" i="1"/>
  <c r="D326" i="1"/>
  <c r="G326" i="1"/>
  <c r="B326" i="1"/>
  <c r="S326" i="1"/>
  <c r="A326" i="1"/>
  <c r="S325" i="1"/>
  <c r="Q325" i="1"/>
  <c r="P325" i="1"/>
  <c r="J325" i="1"/>
  <c r="F325" i="1"/>
  <c r="E325" i="1"/>
  <c r="D325" i="1"/>
  <c r="B325" i="1"/>
  <c r="A325" i="1"/>
  <c r="Q324" i="1"/>
  <c r="P324" i="1"/>
  <c r="J324" i="1"/>
  <c r="F324" i="1"/>
  <c r="E324" i="1"/>
  <c r="D324" i="1"/>
  <c r="B324" i="1"/>
  <c r="A324" i="1"/>
  <c r="Q323" i="1"/>
  <c r="P323" i="1"/>
  <c r="J323" i="1"/>
  <c r="F323" i="1"/>
  <c r="E323" i="1"/>
  <c r="D323" i="1"/>
  <c r="B323" i="1"/>
  <c r="A323" i="1"/>
  <c r="S322" i="1"/>
  <c r="Q322" i="1"/>
  <c r="P322" i="1"/>
  <c r="J322" i="1"/>
  <c r="F322" i="1"/>
  <c r="E322" i="1"/>
  <c r="D322" i="1"/>
  <c r="B322" i="1"/>
  <c r="A322" i="1"/>
  <c r="S321" i="1"/>
  <c r="Q321" i="1"/>
  <c r="P321" i="1"/>
  <c r="J321" i="1"/>
  <c r="F321" i="1"/>
  <c r="E321" i="1"/>
  <c r="D321" i="1"/>
  <c r="G321" i="1"/>
  <c r="B321" i="1"/>
  <c r="A321" i="1"/>
  <c r="Q320" i="1"/>
  <c r="P320" i="1"/>
  <c r="J320" i="1"/>
  <c r="F320" i="1"/>
  <c r="E320" i="1"/>
  <c r="D320" i="1"/>
  <c r="B320" i="1"/>
  <c r="S320" i="1"/>
  <c r="A320" i="1"/>
  <c r="S319" i="1"/>
  <c r="Q319" i="1"/>
  <c r="P319" i="1"/>
  <c r="J319" i="1"/>
  <c r="F319" i="1"/>
  <c r="E319" i="1"/>
  <c r="D319" i="1"/>
  <c r="B319" i="1"/>
  <c r="A319" i="1"/>
  <c r="S318" i="1"/>
  <c r="Q318" i="1"/>
  <c r="P318" i="1"/>
  <c r="J318" i="1"/>
  <c r="F318" i="1"/>
  <c r="E318" i="1"/>
  <c r="D318" i="1"/>
  <c r="B318" i="1"/>
  <c r="A318" i="1"/>
  <c r="Q317" i="1"/>
  <c r="P317" i="1"/>
  <c r="J317" i="1"/>
  <c r="F317" i="1"/>
  <c r="E317" i="1"/>
  <c r="D317" i="1"/>
  <c r="B317" i="1"/>
  <c r="A317" i="1"/>
  <c r="Q316" i="1"/>
  <c r="P316" i="1"/>
  <c r="J316" i="1"/>
  <c r="F316" i="1"/>
  <c r="E316" i="1"/>
  <c r="D316" i="1"/>
  <c r="B316" i="1"/>
  <c r="S316" i="1"/>
  <c r="A316" i="1"/>
  <c r="Q315" i="1"/>
  <c r="P315" i="1"/>
  <c r="J315" i="1"/>
  <c r="F315" i="1"/>
  <c r="E315" i="1"/>
  <c r="D315" i="1"/>
  <c r="B315" i="1"/>
  <c r="S315" i="1"/>
  <c r="A315" i="1"/>
  <c r="Q314" i="1"/>
  <c r="P314" i="1"/>
  <c r="J314" i="1"/>
  <c r="F314" i="1"/>
  <c r="E314" i="1"/>
  <c r="D314" i="1"/>
  <c r="B314" i="1"/>
  <c r="A314" i="1"/>
  <c r="Q313" i="1"/>
  <c r="P313" i="1"/>
  <c r="J313" i="1"/>
  <c r="F313" i="1"/>
  <c r="E313" i="1"/>
  <c r="D313" i="1"/>
  <c r="B313" i="1"/>
  <c r="A313" i="1"/>
  <c r="S312" i="1"/>
  <c r="Q312" i="1"/>
  <c r="P312" i="1"/>
  <c r="J312" i="1"/>
  <c r="F312" i="1"/>
  <c r="E312" i="1"/>
  <c r="D312" i="1"/>
  <c r="B312" i="1"/>
  <c r="A312" i="1"/>
  <c r="Q311" i="1"/>
  <c r="P311" i="1"/>
  <c r="J311" i="1"/>
  <c r="F311" i="1"/>
  <c r="E311" i="1"/>
  <c r="D311" i="1"/>
  <c r="B311" i="1"/>
  <c r="S311" i="1"/>
  <c r="A311" i="1"/>
  <c r="S310" i="1"/>
  <c r="Q310" i="1"/>
  <c r="P310" i="1"/>
  <c r="J310" i="1"/>
  <c r="F310" i="1"/>
  <c r="E310" i="1"/>
  <c r="D310" i="1"/>
  <c r="B310" i="1"/>
  <c r="A310" i="1"/>
  <c r="Q309" i="1"/>
  <c r="P309" i="1"/>
  <c r="J309" i="1"/>
  <c r="F309" i="1"/>
  <c r="E309" i="1"/>
  <c r="G309" i="1"/>
  <c r="D309" i="1"/>
  <c r="B309" i="1"/>
  <c r="S309" i="1"/>
  <c r="A309" i="1"/>
  <c r="Q308" i="1"/>
  <c r="P308" i="1"/>
  <c r="J308" i="1"/>
  <c r="F308" i="1"/>
  <c r="E308" i="1"/>
  <c r="D308" i="1"/>
  <c r="B308" i="1"/>
  <c r="S308" i="1"/>
  <c r="A308" i="1"/>
  <c r="Q307" i="1"/>
  <c r="P307" i="1"/>
  <c r="J307" i="1"/>
  <c r="F307" i="1"/>
  <c r="E307" i="1"/>
  <c r="D307" i="1"/>
  <c r="G307" i="1"/>
  <c r="B307" i="1"/>
  <c r="S307" i="1"/>
  <c r="A307" i="1"/>
  <c r="Q306" i="1"/>
  <c r="P306" i="1"/>
  <c r="J306" i="1"/>
  <c r="F306" i="1"/>
  <c r="E306" i="1"/>
  <c r="G306" i="1"/>
  <c r="D306" i="1"/>
  <c r="B306" i="1"/>
  <c r="A306" i="1"/>
  <c r="Q305" i="1"/>
  <c r="P305" i="1"/>
  <c r="J305" i="1"/>
  <c r="F305" i="1"/>
  <c r="E305" i="1"/>
  <c r="D305" i="1"/>
  <c r="B305" i="1"/>
  <c r="A305" i="1"/>
  <c r="S304" i="1"/>
  <c r="Q304" i="1"/>
  <c r="P304" i="1"/>
  <c r="J304" i="1"/>
  <c r="F304" i="1"/>
  <c r="E304" i="1"/>
  <c r="D304" i="1"/>
  <c r="B304" i="1"/>
  <c r="A304" i="1"/>
  <c r="Q303" i="1"/>
  <c r="P303" i="1"/>
  <c r="J303" i="1"/>
  <c r="F303" i="1"/>
  <c r="E303" i="1"/>
  <c r="D303" i="1"/>
  <c r="B303" i="1"/>
  <c r="S303" i="1"/>
  <c r="A303" i="1"/>
  <c r="Q302" i="1"/>
  <c r="P302" i="1"/>
  <c r="J302" i="1"/>
  <c r="F302" i="1"/>
  <c r="E302" i="1"/>
  <c r="D302" i="1"/>
  <c r="B302" i="1"/>
  <c r="S302" i="1"/>
  <c r="A302" i="1"/>
  <c r="Q301" i="1"/>
  <c r="P301" i="1"/>
  <c r="J301" i="1"/>
  <c r="F301" i="1"/>
  <c r="E301" i="1"/>
  <c r="D301" i="1"/>
  <c r="B301" i="1"/>
  <c r="S301" i="1"/>
  <c r="A301" i="1"/>
  <c r="Q300" i="1"/>
  <c r="P300" i="1"/>
  <c r="J300" i="1"/>
  <c r="F300" i="1"/>
  <c r="E300" i="1"/>
  <c r="D300" i="1"/>
  <c r="B300" i="1"/>
  <c r="S300" i="1"/>
  <c r="A300" i="1"/>
  <c r="Q299" i="1"/>
  <c r="P299" i="1"/>
  <c r="J299" i="1"/>
  <c r="F299" i="1"/>
  <c r="E299" i="1"/>
  <c r="D299" i="1"/>
  <c r="B299" i="1"/>
  <c r="A299" i="1"/>
  <c r="Q298" i="1"/>
  <c r="P298" i="1"/>
  <c r="J298" i="1"/>
  <c r="F298" i="1"/>
  <c r="E298" i="1"/>
  <c r="D298" i="1"/>
  <c r="B298" i="1"/>
  <c r="S298" i="1"/>
  <c r="A298" i="1"/>
  <c r="Q297" i="1"/>
  <c r="P297" i="1"/>
  <c r="J297" i="1"/>
  <c r="F297" i="1"/>
  <c r="E297" i="1"/>
  <c r="D297" i="1"/>
  <c r="B297" i="1"/>
  <c r="S297" i="1"/>
  <c r="A297" i="1"/>
  <c r="Q296" i="1"/>
  <c r="P296" i="1"/>
  <c r="J296" i="1"/>
  <c r="F296" i="1"/>
  <c r="E296" i="1"/>
  <c r="D296" i="1"/>
  <c r="B296" i="1"/>
  <c r="A296" i="1"/>
  <c r="Q295" i="1"/>
  <c r="P295" i="1"/>
  <c r="J295" i="1"/>
  <c r="F295" i="1"/>
  <c r="E295" i="1"/>
  <c r="D295" i="1"/>
  <c r="B295" i="1"/>
  <c r="A295" i="1"/>
  <c r="S294" i="1"/>
  <c r="Q294" i="1"/>
  <c r="P294" i="1"/>
  <c r="J294" i="1"/>
  <c r="F294" i="1"/>
  <c r="E294" i="1"/>
  <c r="D294" i="1"/>
  <c r="B294" i="1"/>
  <c r="A294" i="1"/>
  <c r="Q293" i="1"/>
  <c r="P293" i="1"/>
  <c r="J293" i="1"/>
  <c r="F293" i="1"/>
  <c r="E293" i="1"/>
  <c r="D293" i="1"/>
  <c r="B293" i="1"/>
  <c r="S293" i="1"/>
  <c r="A293" i="1"/>
  <c r="S292" i="1"/>
  <c r="Q292" i="1"/>
  <c r="P292" i="1"/>
  <c r="J292" i="1"/>
  <c r="F292" i="1"/>
  <c r="E292" i="1"/>
  <c r="D292" i="1"/>
  <c r="B292" i="1"/>
  <c r="A292" i="1"/>
  <c r="Q291" i="1"/>
  <c r="P291" i="1"/>
  <c r="J291" i="1"/>
  <c r="F291" i="1"/>
  <c r="E291" i="1"/>
  <c r="D291" i="1"/>
  <c r="B291" i="1"/>
  <c r="S291" i="1"/>
  <c r="A291" i="1"/>
  <c r="Q290" i="1"/>
  <c r="P290" i="1"/>
  <c r="J290" i="1"/>
  <c r="F290" i="1"/>
  <c r="E290" i="1"/>
  <c r="D290" i="1"/>
  <c r="G290" i="1"/>
  <c r="B290" i="1"/>
  <c r="S290" i="1"/>
  <c r="A290" i="1"/>
  <c r="S289" i="1"/>
  <c r="Q289" i="1"/>
  <c r="P289" i="1"/>
  <c r="J289" i="1"/>
  <c r="F289" i="1"/>
  <c r="E289" i="1"/>
  <c r="D289" i="1"/>
  <c r="B289" i="1"/>
  <c r="A289" i="1"/>
  <c r="S288" i="1"/>
  <c r="Q288" i="1"/>
  <c r="P288" i="1"/>
  <c r="J288" i="1"/>
  <c r="F288" i="1"/>
  <c r="E288" i="1"/>
  <c r="D288" i="1"/>
  <c r="B288" i="1"/>
  <c r="A288" i="1"/>
  <c r="Q287" i="1"/>
  <c r="P287" i="1"/>
  <c r="J287" i="1"/>
  <c r="F287" i="1"/>
  <c r="E287" i="1"/>
  <c r="D287" i="1"/>
  <c r="B287" i="1"/>
  <c r="S287" i="1"/>
  <c r="A287" i="1"/>
  <c r="Q286" i="1"/>
  <c r="P286" i="1"/>
  <c r="J286" i="1"/>
  <c r="F286" i="1"/>
  <c r="E286" i="1"/>
  <c r="D286" i="1"/>
  <c r="B286" i="1"/>
  <c r="S286" i="1"/>
  <c r="A286" i="1"/>
  <c r="S285" i="1"/>
  <c r="Q285" i="1"/>
  <c r="P285" i="1"/>
  <c r="J285" i="1"/>
  <c r="F285" i="1"/>
  <c r="E285" i="1"/>
  <c r="D285" i="1"/>
  <c r="B285" i="1"/>
  <c r="A285" i="1"/>
  <c r="S284" i="1"/>
  <c r="Q284" i="1"/>
  <c r="P284" i="1"/>
  <c r="J284" i="1"/>
  <c r="F284" i="1"/>
  <c r="E284" i="1"/>
  <c r="D284" i="1"/>
  <c r="B284" i="1"/>
  <c r="A284" i="1"/>
  <c r="Q283" i="1"/>
  <c r="P283" i="1"/>
  <c r="J283" i="1"/>
  <c r="F283" i="1"/>
  <c r="E283" i="1"/>
  <c r="D283" i="1"/>
  <c r="B283" i="1"/>
  <c r="S283" i="1"/>
  <c r="A283" i="1"/>
  <c r="S282" i="1"/>
  <c r="Q282" i="1"/>
  <c r="P282" i="1"/>
  <c r="J282" i="1"/>
  <c r="F282" i="1"/>
  <c r="E282" i="1"/>
  <c r="D282" i="1"/>
  <c r="B282" i="1"/>
  <c r="A282" i="1"/>
  <c r="Q281" i="1"/>
  <c r="P281" i="1"/>
  <c r="J281" i="1"/>
  <c r="F281" i="1"/>
  <c r="E281" i="1"/>
  <c r="D281" i="1"/>
  <c r="B281" i="1"/>
  <c r="S281" i="1"/>
  <c r="A281" i="1"/>
  <c r="Q280" i="1"/>
  <c r="P280" i="1"/>
  <c r="J280" i="1"/>
  <c r="F280" i="1"/>
  <c r="E280" i="1"/>
  <c r="D280" i="1"/>
  <c r="B280" i="1"/>
  <c r="S280" i="1"/>
  <c r="A280" i="1"/>
  <c r="S279" i="1"/>
  <c r="Q279" i="1"/>
  <c r="P279" i="1"/>
  <c r="J279" i="1"/>
  <c r="F279" i="1"/>
  <c r="E279" i="1"/>
  <c r="D279" i="1"/>
  <c r="B279" i="1"/>
  <c r="A279" i="1"/>
  <c r="S278" i="1"/>
  <c r="Q278" i="1"/>
  <c r="P278" i="1"/>
  <c r="J278" i="1"/>
  <c r="F278" i="1"/>
  <c r="E278" i="1"/>
  <c r="D278" i="1"/>
  <c r="B278" i="1"/>
  <c r="A278" i="1"/>
  <c r="Q277" i="1"/>
  <c r="P277" i="1"/>
  <c r="J277" i="1"/>
  <c r="F277" i="1"/>
  <c r="E277" i="1"/>
  <c r="D277" i="1"/>
  <c r="B277" i="1"/>
  <c r="S277" i="1"/>
  <c r="A277" i="1"/>
  <c r="S276" i="1"/>
  <c r="Q276" i="1"/>
  <c r="P276" i="1"/>
  <c r="J276" i="1"/>
  <c r="F276" i="1"/>
  <c r="E276" i="1"/>
  <c r="G276" i="1"/>
  <c r="D276" i="1"/>
  <c r="B276" i="1"/>
  <c r="A276" i="1"/>
  <c r="S275" i="1"/>
  <c r="Q275" i="1"/>
  <c r="P275" i="1"/>
  <c r="J275" i="1"/>
  <c r="F275" i="1"/>
  <c r="E275" i="1"/>
  <c r="D275" i="1"/>
  <c r="B275" i="1"/>
  <c r="A275" i="1"/>
  <c r="Q274" i="1"/>
  <c r="P274" i="1"/>
  <c r="J274" i="1"/>
  <c r="F274" i="1"/>
  <c r="E274" i="1"/>
  <c r="D274" i="1"/>
  <c r="G274" i="1"/>
  <c r="B274" i="1"/>
  <c r="S274" i="1"/>
  <c r="A274" i="1"/>
  <c r="S273" i="1"/>
  <c r="Q273" i="1"/>
  <c r="P273" i="1"/>
  <c r="J273" i="1"/>
  <c r="F273" i="1"/>
  <c r="E273" i="1"/>
  <c r="D273" i="1"/>
  <c r="B273" i="1"/>
  <c r="A273" i="1"/>
  <c r="Q272" i="1"/>
  <c r="P272" i="1"/>
  <c r="J272" i="1"/>
  <c r="F272" i="1"/>
  <c r="E272" i="1"/>
  <c r="D272" i="1"/>
  <c r="B272" i="1"/>
  <c r="A272" i="1"/>
  <c r="Q271" i="1"/>
  <c r="P271" i="1"/>
  <c r="J271" i="1"/>
  <c r="F271" i="1"/>
  <c r="E271" i="1"/>
  <c r="D271" i="1"/>
  <c r="B271" i="1"/>
  <c r="S271" i="1"/>
  <c r="A271" i="1"/>
  <c r="S270" i="1"/>
  <c r="Q270" i="1"/>
  <c r="P270" i="1"/>
  <c r="J270" i="1"/>
  <c r="F270" i="1"/>
  <c r="E270" i="1"/>
  <c r="D270" i="1"/>
  <c r="B270" i="1"/>
  <c r="A270" i="1"/>
  <c r="Q269" i="1"/>
  <c r="P269" i="1"/>
  <c r="J269" i="1"/>
  <c r="F269" i="1"/>
  <c r="E269" i="1"/>
  <c r="D269" i="1"/>
  <c r="B269" i="1"/>
  <c r="A269" i="1"/>
  <c r="Q268" i="1"/>
  <c r="P268" i="1"/>
  <c r="J268" i="1"/>
  <c r="F268" i="1"/>
  <c r="E268" i="1"/>
  <c r="D268" i="1"/>
  <c r="B268" i="1"/>
  <c r="S268" i="1"/>
  <c r="A268" i="1"/>
  <c r="S267" i="1"/>
  <c r="Q267" i="1"/>
  <c r="P267" i="1"/>
  <c r="J267" i="1"/>
  <c r="F267" i="1"/>
  <c r="E267" i="1"/>
  <c r="D267" i="1"/>
  <c r="G267" i="1"/>
  <c r="B267" i="1"/>
  <c r="A267" i="1"/>
  <c r="Q266" i="1"/>
  <c r="P266" i="1"/>
  <c r="S266" i="1"/>
  <c r="J266" i="1"/>
  <c r="F266" i="1"/>
  <c r="E266" i="1"/>
  <c r="D266" i="1"/>
  <c r="G266" i="1"/>
  <c r="B266" i="1"/>
  <c r="A266" i="1"/>
  <c r="Q265" i="1"/>
  <c r="P265" i="1"/>
  <c r="J265" i="1"/>
  <c r="F265" i="1"/>
  <c r="E265" i="1"/>
  <c r="D265" i="1"/>
  <c r="B265" i="1"/>
  <c r="S265" i="1"/>
  <c r="A265" i="1"/>
  <c r="S264" i="1"/>
  <c r="Q264" i="1"/>
  <c r="P264" i="1"/>
  <c r="J264" i="1"/>
  <c r="F264" i="1"/>
  <c r="E264" i="1"/>
  <c r="D264" i="1"/>
  <c r="G264" i="1"/>
  <c r="B264" i="1"/>
  <c r="A264" i="1"/>
  <c r="Q263" i="1"/>
  <c r="P263" i="1"/>
  <c r="J263" i="1"/>
  <c r="F263" i="1"/>
  <c r="E263" i="1"/>
  <c r="D263" i="1"/>
  <c r="B263" i="1"/>
  <c r="S263" i="1"/>
  <c r="A263" i="1"/>
  <c r="Q262" i="1"/>
  <c r="P262" i="1"/>
  <c r="J262" i="1"/>
  <c r="F262" i="1"/>
  <c r="E262" i="1"/>
  <c r="D262" i="1"/>
  <c r="B262" i="1"/>
  <c r="S262" i="1"/>
  <c r="A262" i="1"/>
  <c r="S261" i="1"/>
  <c r="Q261" i="1"/>
  <c r="P261" i="1"/>
  <c r="J261" i="1"/>
  <c r="F261" i="1"/>
  <c r="E261" i="1"/>
  <c r="D261" i="1"/>
  <c r="B261" i="1"/>
  <c r="A261" i="1"/>
  <c r="S260" i="1"/>
  <c r="Q260" i="1"/>
  <c r="P260" i="1"/>
  <c r="J260" i="1"/>
  <c r="F260" i="1"/>
  <c r="E260" i="1"/>
  <c r="D260" i="1"/>
  <c r="B260" i="1"/>
  <c r="A260" i="1"/>
  <c r="Q259" i="1"/>
  <c r="P259" i="1"/>
  <c r="J259" i="1"/>
  <c r="F259" i="1"/>
  <c r="E259" i="1"/>
  <c r="D259" i="1"/>
  <c r="B259" i="1"/>
  <c r="S259" i="1"/>
  <c r="A259" i="1"/>
  <c r="S258" i="1"/>
  <c r="Q258" i="1"/>
  <c r="P258" i="1"/>
  <c r="J258" i="1"/>
  <c r="F258" i="1"/>
  <c r="E258" i="1"/>
  <c r="D258" i="1"/>
  <c r="B258" i="1"/>
  <c r="A258" i="1"/>
  <c r="S257" i="1"/>
  <c r="Q257" i="1"/>
  <c r="P257" i="1"/>
  <c r="J257" i="1"/>
  <c r="F257" i="1"/>
  <c r="E257" i="1"/>
  <c r="D257" i="1"/>
  <c r="B257" i="1"/>
  <c r="A257" i="1"/>
  <c r="Q256" i="1"/>
  <c r="P256" i="1"/>
  <c r="J256" i="1"/>
  <c r="F256" i="1"/>
  <c r="E256" i="1"/>
  <c r="D256" i="1"/>
  <c r="B256" i="1"/>
  <c r="A256" i="1"/>
  <c r="S255" i="1"/>
  <c r="Q255" i="1"/>
  <c r="P255" i="1"/>
  <c r="J255" i="1"/>
  <c r="F255" i="1"/>
  <c r="E255" i="1"/>
  <c r="D255" i="1"/>
  <c r="B255" i="1"/>
  <c r="A255" i="1"/>
  <c r="Q254" i="1"/>
  <c r="P254" i="1"/>
  <c r="J254" i="1"/>
  <c r="F254" i="1"/>
  <c r="E254" i="1"/>
  <c r="D254" i="1"/>
  <c r="B254" i="1"/>
  <c r="A254" i="1"/>
  <c r="Q253" i="1"/>
  <c r="P253" i="1"/>
  <c r="J253" i="1"/>
  <c r="F253" i="1"/>
  <c r="E253" i="1"/>
  <c r="D253" i="1"/>
  <c r="B253" i="1"/>
  <c r="A253" i="1"/>
  <c r="S252" i="1"/>
  <c r="Q252" i="1"/>
  <c r="P252" i="1"/>
  <c r="J252" i="1"/>
  <c r="F252" i="1"/>
  <c r="E252" i="1"/>
  <c r="D252" i="1"/>
  <c r="B252" i="1"/>
  <c r="A252" i="1"/>
  <c r="Q251" i="1"/>
  <c r="P251" i="1"/>
  <c r="J251" i="1"/>
  <c r="F251" i="1"/>
  <c r="E251" i="1"/>
  <c r="D251" i="1"/>
  <c r="B251" i="1"/>
  <c r="S251" i="1"/>
  <c r="A251" i="1"/>
  <c r="Q250" i="1"/>
  <c r="P250" i="1"/>
  <c r="J250" i="1"/>
  <c r="F250" i="1"/>
  <c r="E250" i="1"/>
  <c r="D250" i="1"/>
  <c r="B250" i="1"/>
  <c r="A250" i="1"/>
  <c r="S249" i="1"/>
  <c r="Q249" i="1"/>
  <c r="P249" i="1"/>
  <c r="J249" i="1"/>
  <c r="F249" i="1"/>
  <c r="E249" i="1"/>
  <c r="D249" i="1"/>
  <c r="G249" i="1"/>
  <c r="B249" i="1"/>
  <c r="A249" i="1"/>
  <c r="S248" i="1"/>
  <c r="Q248" i="1"/>
  <c r="P248" i="1"/>
  <c r="J248" i="1"/>
  <c r="F248" i="1"/>
  <c r="E248" i="1"/>
  <c r="D248" i="1"/>
  <c r="B248" i="1"/>
  <c r="A248" i="1"/>
  <c r="Q247" i="1"/>
  <c r="P247" i="1"/>
  <c r="J247" i="1"/>
  <c r="F247" i="1"/>
  <c r="E247" i="1"/>
  <c r="D247" i="1"/>
  <c r="B247" i="1"/>
  <c r="A247" i="1"/>
  <c r="S246" i="1"/>
  <c r="Q246" i="1"/>
  <c r="P246" i="1"/>
  <c r="J246" i="1"/>
  <c r="F246" i="1"/>
  <c r="E246" i="1"/>
  <c r="D246" i="1"/>
  <c r="B246" i="1"/>
  <c r="A246" i="1"/>
  <c r="S245" i="1"/>
  <c r="Q245" i="1"/>
  <c r="P245" i="1"/>
  <c r="J245" i="1"/>
  <c r="F245" i="1"/>
  <c r="E245" i="1"/>
  <c r="D245" i="1"/>
  <c r="B245" i="1"/>
  <c r="A245" i="1"/>
  <c r="Q244" i="1"/>
  <c r="P244" i="1"/>
  <c r="J244" i="1"/>
  <c r="F244" i="1"/>
  <c r="E244" i="1"/>
  <c r="D244" i="1"/>
  <c r="B244" i="1"/>
  <c r="S244" i="1"/>
  <c r="A244" i="1"/>
  <c r="S243" i="1"/>
  <c r="Q243" i="1"/>
  <c r="P243" i="1"/>
  <c r="J243" i="1"/>
  <c r="F243" i="1"/>
  <c r="E243" i="1"/>
  <c r="D243" i="1"/>
  <c r="B243" i="1"/>
  <c r="A243" i="1"/>
  <c r="S242" i="1"/>
  <c r="Q242" i="1"/>
  <c r="P242" i="1"/>
  <c r="J242" i="1"/>
  <c r="F242" i="1"/>
  <c r="E242" i="1"/>
  <c r="D242" i="1"/>
  <c r="B242" i="1"/>
  <c r="A242" i="1"/>
  <c r="Q241" i="1"/>
  <c r="P241" i="1"/>
  <c r="J241" i="1"/>
  <c r="F241" i="1"/>
  <c r="E241" i="1"/>
  <c r="D241" i="1"/>
  <c r="B241" i="1"/>
  <c r="S241" i="1"/>
  <c r="A241" i="1"/>
  <c r="S240" i="1"/>
  <c r="Q240" i="1"/>
  <c r="P240" i="1"/>
  <c r="J240" i="1"/>
  <c r="F240" i="1"/>
  <c r="E240" i="1"/>
  <c r="D240" i="1"/>
  <c r="B240" i="1"/>
  <c r="A240" i="1"/>
  <c r="S239" i="1"/>
  <c r="Q239" i="1"/>
  <c r="P239" i="1"/>
  <c r="J239" i="1"/>
  <c r="F239" i="1"/>
  <c r="E239" i="1"/>
  <c r="G239" i="1"/>
  <c r="D239" i="1"/>
  <c r="B239" i="1"/>
  <c r="A239" i="1"/>
  <c r="Q238" i="1"/>
  <c r="P238" i="1"/>
  <c r="J238" i="1"/>
  <c r="F238" i="1"/>
  <c r="E238" i="1"/>
  <c r="D238" i="1"/>
  <c r="G238" i="1"/>
  <c r="B238" i="1"/>
  <c r="S238" i="1"/>
  <c r="A238" i="1"/>
  <c r="S237" i="1"/>
  <c r="Q237" i="1"/>
  <c r="P237" i="1"/>
  <c r="J237" i="1"/>
  <c r="F237" i="1"/>
  <c r="E237" i="1"/>
  <c r="D237" i="1"/>
  <c r="B237" i="1"/>
  <c r="A237" i="1"/>
  <c r="Q236" i="1"/>
  <c r="P236" i="1"/>
  <c r="J236" i="1"/>
  <c r="F236" i="1"/>
  <c r="E236" i="1"/>
  <c r="D236" i="1"/>
  <c r="G236" i="1"/>
  <c r="B236" i="1"/>
  <c r="A236" i="1"/>
  <c r="Q235" i="1"/>
  <c r="P235" i="1"/>
  <c r="J235" i="1"/>
  <c r="F235" i="1"/>
  <c r="E235" i="1"/>
  <c r="D235" i="1"/>
  <c r="B235" i="1"/>
  <c r="A235" i="1"/>
  <c r="S234" i="1"/>
  <c r="Q234" i="1"/>
  <c r="P234" i="1"/>
  <c r="J234" i="1"/>
  <c r="F234" i="1"/>
  <c r="E234" i="1"/>
  <c r="D234" i="1"/>
  <c r="B234" i="1"/>
  <c r="A234" i="1"/>
  <c r="S233" i="1"/>
  <c r="Q233" i="1"/>
  <c r="P233" i="1"/>
  <c r="J233" i="1"/>
  <c r="F233" i="1"/>
  <c r="E233" i="1"/>
  <c r="D233" i="1"/>
  <c r="B233" i="1"/>
  <c r="A233" i="1"/>
  <c r="S232" i="1"/>
  <c r="Q232" i="1"/>
  <c r="P232" i="1"/>
  <c r="J232" i="1"/>
  <c r="F232" i="1"/>
  <c r="E232" i="1"/>
  <c r="D232" i="1"/>
  <c r="B232" i="1"/>
  <c r="A232" i="1"/>
  <c r="S231" i="1"/>
  <c r="Q231" i="1"/>
  <c r="P231" i="1"/>
  <c r="J231" i="1"/>
  <c r="F231" i="1"/>
  <c r="E231" i="1"/>
  <c r="D231" i="1"/>
  <c r="B231" i="1"/>
  <c r="A231" i="1"/>
  <c r="S230" i="1"/>
  <c r="Q230" i="1"/>
  <c r="P230" i="1"/>
  <c r="J230" i="1"/>
  <c r="F230" i="1"/>
  <c r="E230" i="1"/>
  <c r="D230" i="1"/>
  <c r="B230" i="1"/>
  <c r="A230" i="1"/>
  <c r="S229" i="1"/>
  <c r="Q229" i="1"/>
  <c r="P229" i="1"/>
  <c r="J229" i="1"/>
  <c r="F229" i="1"/>
  <c r="E229" i="1"/>
  <c r="D229" i="1"/>
  <c r="B229" i="1"/>
  <c r="A229" i="1"/>
  <c r="S228" i="1"/>
  <c r="Q228" i="1"/>
  <c r="P228" i="1"/>
  <c r="J228" i="1"/>
  <c r="F228" i="1"/>
  <c r="E228" i="1"/>
  <c r="D228" i="1"/>
  <c r="G228" i="1"/>
  <c r="B228" i="1"/>
  <c r="A228" i="1"/>
  <c r="Q227" i="1"/>
  <c r="P227" i="1"/>
  <c r="J227" i="1"/>
  <c r="F227" i="1"/>
  <c r="E227" i="1"/>
  <c r="D227" i="1"/>
  <c r="G227" i="1"/>
  <c r="B227" i="1"/>
  <c r="S227" i="1"/>
  <c r="A227" i="1"/>
  <c r="Q226" i="1"/>
  <c r="P226" i="1"/>
  <c r="J226" i="1"/>
  <c r="F226" i="1"/>
  <c r="E226" i="1"/>
  <c r="D226" i="1"/>
  <c r="G226" i="1"/>
  <c r="B226" i="1"/>
  <c r="S226" i="1"/>
  <c r="A226" i="1"/>
  <c r="S225" i="1"/>
  <c r="Q225" i="1"/>
  <c r="P225" i="1"/>
  <c r="J225" i="1"/>
  <c r="F225" i="1"/>
  <c r="E225" i="1"/>
  <c r="D225" i="1"/>
  <c r="G225" i="1"/>
  <c r="B225" i="1"/>
  <c r="A225" i="1"/>
  <c r="Q224" i="1"/>
  <c r="P224" i="1"/>
  <c r="J224" i="1"/>
  <c r="F224" i="1"/>
  <c r="E224" i="1"/>
  <c r="D224" i="1"/>
  <c r="B224" i="1"/>
  <c r="A224" i="1"/>
  <c r="Q223" i="1"/>
  <c r="P223" i="1"/>
  <c r="J223" i="1"/>
  <c r="F223" i="1"/>
  <c r="E223" i="1"/>
  <c r="D223" i="1"/>
  <c r="B223" i="1"/>
  <c r="A223" i="1"/>
  <c r="S222" i="1"/>
  <c r="Q222" i="1"/>
  <c r="P222" i="1"/>
  <c r="J222" i="1"/>
  <c r="F222" i="1"/>
  <c r="E222" i="1"/>
  <c r="D222" i="1"/>
  <c r="B222" i="1"/>
  <c r="A222" i="1"/>
  <c r="S221" i="1"/>
  <c r="Q221" i="1"/>
  <c r="P221" i="1"/>
  <c r="J221" i="1"/>
  <c r="F221" i="1"/>
  <c r="E221" i="1"/>
  <c r="D221" i="1"/>
  <c r="B221" i="1"/>
  <c r="A221" i="1"/>
  <c r="Q220" i="1"/>
  <c r="P220" i="1"/>
  <c r="J220" i="1"/>
  <c r="F220" i="1"/>
  <c r="E220" i="1"/>
  <c r="D220" i="1"/>
  <c r="B220" i="1"/>
  <c r="S220" i="1"/>
  <c r="A220" i="1"/>
  <c r="S219" i="1"/>
  <c r="Q219" i="1"/>
  <c r="P219" i="1"/>
  <c r="J219" i="1"/>
  <c r="F219" i="1"/>
  <c r="E219" i="1"/>
  <c r="D219" i="1"/>
  <c r="G219" i="1"/>
  <c r="B219" i="1"/>
  <c r="A219" i="1"/>
  <c r="Q218" i="1"/>
  <c r="P218" i="1"/>
  <c r="J218" i="1"/>
  <c r="F218" i="1"/>
  <c r="E218" i="1"/>
  <c r="D218" i="1"/>
  <c r="G218" i="1"/>
  <c r="C218" i="1"/>
  <c r="B218" i="1"/>
  <c r="S218" i="1"/>
  <c r="A218" i="1"/>
  <c r="S217" i="1"/>
  <c r="Q217" i="1"/>
  <c r="P217" i="1"/>
  <c r="J217" i="1"/>
  <c r="F217" i="1"/>
  <c r="E217" i="1"/>
  <c r="D217" i="1"/>
  <c r="B217" i="1"/>
  <c r="A217" i="1"/>
  <c r="S216" i="1"/>
  <c r="Q216" i="1"/>
  <c r="P216" i="1"/>
  <c r="N216" i="1"/>
  <c r="L216" i="1"/>
  <c r="J216" i="1"/>
  <c r="I216" i="1"/>
  <c r="K216" i="1"/>
  <c r="F216" i="1"/>
  <c r="E216" i="1"/>
  <c r="G216" i="1"/>
  <c r="D216" i="1"/>
  <c r="B216" i="1"/>
  <c r="A216" i="1"/>
  <c r="S215" i="1"/>
  <c r="Q215" i="1"/>
  <c r="P215" i="1"/>
  <c r="J215" i="1"/>
  <c r="F215" i="1"/>
  <c r="E215" i="1"/>
  <c r="D215" i="1"/>
  <c r="B215" i="1"/>
  <c r="A215" i="1"/>
  <c r="Q214" i="1"/>
  <c r="P214" i="1"/>
  <c r="N214" i="1"/>
  <c r="L214" i="1"/>
  <c r="J214" i="1"/>
  <c r="I214" i="1"/>
  <c r="F214" i="1"/>
  <c r="E214" i="1"/>
  <c r="D214" i="1"/>
  <c r="B214" i="1"/>
  <c r="A214" i="1"/>
  <c r="S213" i="1"/>
  <c r="Q213" i="1"/>
  <c r="P213" i="1"/>
  <c r="J213" i="1"/>
  <c r="F213" i="1"/>
  <c r="E213" i="1"/>
  <c r="D213" i="1"/>
  <c r="B213" i="1"/>
  <c r="A213" i="1"/>
  <c r="Q212" i="1"/>
  <c r="P212" i="1"/>
  <c r="J212" i="1"/>
  <c r="F212" i="1"/>
  <c r="E212" i="1"/>
  <c r="D212" i="1"/>
  <c r="B212" i="1"/>
  <c r="A212" i="1"/>
  <c r="Q211" i="1"/>
  <c r="P211" i="1"/>
  <c r="N211" i="1"/>
  <c r="L211" i="1"/>
  <c r="J211" i="1"/>
  <c r="I211" i="1"/>
  <c r="K211" i="1"/>
  <c r="F211" i="1"/>
  <c r="E211" i="1"/>
  <c r="D211" i="1"/>
  <c r="B211" i="1"/>
  <c r="S211" i="1"/>
  <c r="A211" i="1"/>
  <c r="S210" i="1"/>
  <c r="Q210" i="1"/>
  <c r="P210" i="1"/>
  <c r="J210" i="1"/>
  <c r="F210" i="1"/>
  <c r="E210" i="1"/>
  <c r="D210" i="1"/>
  <c r="B210" i="1"/>
  <c r="A210" i="1"/>
  <c r="Q209" i="1"/>
  <c r="P209" i="1"/>
  <c r="J209" i="1"/>
  <c r="F209" i="1"/>
  <c r="E209" i="1"/>
  <c r="D209" i="1"/>
  <c r="B209" i="1"/>
  <c r="A209" i="1"/>
  <c r="Q208" i="1"/>
  <c r="P208" i="1"/>
  <c r="S208" i="1"/>
  <c r="J208" i="1"/>
  <c r="F208" i="1"/>
  <c r="E208" i="1"/>
  <c r="D208" i="1"/>
  <c r="B208" i="1"/>
  <c r="A208" i="1"/>
  <c r="S207" i="1"/>
  <c r="Q207" i="1"/>
  <c r="P207" i="1"/>
  <c r="J207" i="1"/>
  <c r="F207" i="1"/>
  <c r="E207" i="1"/>
  <c r="D207" i="1"/>
  <c r="G207" i="1"/>
  <c r="B207" i="1"/>
  <c r="A207" i="1"/>
  <c r="Q206" i="1"/>
  <c r="P206" i="1"/>
  <c r="S206" i="1"/>
  <c r="J206" i="1"/>
  <c r="F206" i="1"/>
  <c r="E206" i="1"/>
  <c r="D206" i="1"/>
  <c r="B206" i="1"/>
  <c r="A206" i="1"/>
  <c r="Q205" i="1"/>
  <c r="P205" i="1"/>
  <c r="J205" i="1"/>
  <c r="F205" i="1"/>
  <c r="E205" i="1"/>
  <c r="D205" i="1"/>
  <c r="G205" i="1"/>
  <c r="B205" i="1"/>
  <c r="S205" i="1"/>
  <c r="A205" i="1"/>
  <c r="S204" i="1"/>
  <c r="Q204" i="1"/>
  <c r="P204" i="1"/>
  <c r="J204" i="1"/>
  <c r="F204" i="1"/>
  <c r="E204" i="1"/>
  <c r="D204" i="1"/>
  <c r="B204" i="1"/>
  <c r="A204" i="1"/>
  <c r="Q203" i="1"/>
  <c r="P203" i="1"/>
  <c r="J203" i="1"/>
  <c r="F203" i="1"/>
  <c r="E203" i="1"/>
  <c r="D203" i="1"/>
  <c r="B203" i="1"/>
  <c r="A203" i="1"/>
  <c r="Q202" i="1"/>
  <c r="P202" i="1"/>
  <c r="S202" i="1"/>
  <c r="J202" i="1"/>
  <c r="F202" i="1"/>
  <c r="E202" i="1"/>
  <c r="D202" i="1"/>
  <c r="B202" i="1"/>
  <c r="A202" i="1"/>
  <c r="S201" i="1"/>
  <c r="Q201" i="1"/>
  <c r="P201" i="1"/>
  <c r="J201" i="1"/>
  <c r="F201" i="1"/>
  <c r="E201" i="1"/>
  <c r="D201" i="1"/>
  <c r="B201" i="1"/>
  <c r="A201" i="1"/>
  <c r="S200" i="1"/>
  <c r="Q200" i="1"/>
  <c r="P200" i="1"/>
  <c r="J200" i="1"/>
  <c r="F200" i="1"/>
  <c r="E200" i="1"/>
  <c r="D200" i="1"/>
  <c r="B200" i="1"/>
  <c r="A200" i="1"/>
  <c r="Q199" i="1"/>
  <c r="P199" i="1"/>
  <c r="J199" i="1"/>
  <c r="F199" i="1"/>
  <c r="E199" i="1"/>
  <c r="D199" i="1"/>
  <c r="B199" i="1"/>
  <c r="S199" i="1"/>
  <c r="A199" i="1"/>
  <c r="S198" i="1"/>
  <c r="Q198" i="1"/>
  <c r="P198" i="1"/>
  <c r="J198" i="1"/>
  <c r="F198" i="1"/>
  <c r="E198" i="1"/>
  <c r="D198" i="1"/>
  <c r="B198" i="1"/>
  <c r="A198" i="1"/>
  <c r="Q197" i="1"/>
  <c r="P197" i="1"/>
  <c r="S197" i="1"/>
  <c r="J197" i="1"/>
  <c r="F197" i="1"/>
  <c r="E197" i="1"/>
  <c r="D197" i="1"/>
  <c r="G197" i="1"/>
  <c r="B197" i="1"/>
  <c r="A197" i="1"/>
  <c r="S196" i="1"/>
  <c r="Q196" i="1"/>
  <c r="P196" i="1"/>
  <c r="J196" i="1"/>
  <c r="F196" i="1"/>
  <c r="E196" i="1"/>
  <c r="D196" i="1"/>
  <c r="B196" i="1"/>
  <c r="A196" i="1"/>
  <c r="S195" i="1"/>
  <c r="Q195" i="1"/>
  <c r="P195" i="1"/>
  <c r="J195" i="1"/>
  <c r="F195" i="1"/>
  <c r="E195" i="1"/>
  <c r="D195" i="1"/>
  <c r="B195" i="1"/>
  <c r="A195" i="1"/>
  <c r="Q194" i="1"/>
  <c r="P194" i="1"/>
  <c r="J194" i="1"/>
  <c r="F194" i="1"/>
  <c r="E194" i="1"/>
  <c r="D194" i="1"/>
  <c r="B194" i="1"/>
  <c r="S194" i="1"/>
  <c r="A194" i="1"/>
  <c r="Q193" i="1"/>
  <c r="P193" i="1"/>
  <c r="J193" i="1"/>
  <c r="F193" i="1"/>
  <c r="E193" i="1"/>
  <c r="D193" i="1"/>
  <c r="B193" i="1"/>
  <c r="S193" i="1"/>
  <c r="A193" i="1"/>
  <c r="S192" i="1"/>
  <c r="Q192" i="1"/>
  <c r="P192" i="1"/>
  <c r="J192" i="1"/>
  <c r="F192" i="1"/>
  <c r="E192" i="1"/>
  <c r="D192" i="1"/>
  <c r="B192" i="1"/>
  <c r="A192" i="1"/>
  <c r="Q191" i="1"/>
  <c r="P191" i="1"/>
  <c r="J191" i="1"/>
  <c r="F191" i="1"/>
  <c r="E191" i="1"/>
  <c r="D191" i="1"/>
  <c r="B191" i="1"/>
  <c r="A191" i="1"/>
  <c r="Q190" i="1"/>
  <c r="P190" i="1"/>
  <c r="J190" i="1"/>
  <c r="F190" i="1"/>
  <c r="E190" i="1"/>
  <c r="D190" i="1"/>
  <c r="B190" i="1"/>
  <c r="S190" i="1"/>
  <c r="A190" i="1"/>
  <c r="S189" i="1"/>
  <c r="Q189" i="1"/>
  <c r="P189" i="1"/>
  <c r="J189" i="1"/>
  <c r="F189" i="1"/>
  <c r="E189" i="1"/>
  <c r="D189" i="1"/>
  <c r="G189" i="1"/>
  <c r="B189" i="1"/>
  <c r="A189" i="1"/>
  <c r="Q188" i="1"/>
  <c r="P188" i="1"/>
  <c r="J188" i="1"/>
  <c r="F188" i="1"/>
  <c r="E188" i="1"/>
  <c r="D188" i="1"/>
  <c r="B188" i="1"/>
  <c r="S188" i="1"/>
  <c r="A188" i="1"/>
  <c r="Q187" i="1"/>
  <c r="P187" i="1"/>
  <c r="S187" i="1"/>
  <c r="J187" i="1"/>
  <c r="F187" i="1"/>
  <c r="E187" i="1"/>
  <c r="D187" i="1"/>
  <c r="G187" i="1"/>
  <c r="B187" i="1"/>
  <c r="A187" i="1"/>
  <c r="S186" i="1"/>
  <c r="Q186" i="1"/>
  <c r="P186" i="1"/>
  <c r="J186" i="1"/>
  <c r="F186" i="1"/>
  <c r="E186" i="1"/>
  <c r="D186" i="1"/>
  <c r="B186" i="1"/>
  <c r="A186" i="1"/>
  <c r="S185" i="1"/>
  <c r="Q185" i="1"/>
  <c r="P185" i="1"/>
  <c r="J185" i="1"/>
  <c r="F185" i="1"/>
  <c r="E185" i="1"/>
  <c r="D185" i="1"/>
  <c r="G185" i="1"/>
  <c r="B185" i="1"/>
  <c r="A185" i="1"/>
  <c r="Q184" i="1"/>
  <c r="P184" i="1"/>
  <c r="J184" i="1"/>
  <c r="F184" i="1"/>
  <c r="E184" i="1"/>
  <c r="D184" i="1"/>
  <c r="B184" i="1"/>
  <c r="A184" i="1"/>
  <c r="S183" i="1"/>
  <c r="Q183" i="1"/>
  <c r="P183" i="1"/>
  <c r="J183" i="1"/>
  <c r="F183" i="1"/>
  <c r="E183" i="1"/>
  <c r="D183" i="1"/>
  <c r="B183" i="1"/>
  <c r="A183" i="1"/>
  <c r="Q182" i="1"/>
  <c r="P182" i="1"/>
  <c r="J182" i="1"/>
  <c r="F182" i="1"/>
  <c r="E182" i="1"/>
  <c r="D182" i="1"/>
  <c r="B182" i="1"/>
  <c r="S182" i="1"/>
  <c r="A182" i="1"/>
  <c r="S181" i="1"/>
  <c r="Q181" i="1"/>
  <c r="P181" i="1"/>
  <c r="J181" i="1"/>
  <c r="F181" i="1"/>
  <c r="E181" i="1"/>
  <c r="D181" i="1"/>
  <c r="G181" i="1"/>
  <c r="B181" i="1"/>
  <c r="A181" i="1"/>
  <c r="S180" i="1"/>
  <c r="Q180" i="1"/>
  <c r="P180" i="1"/>
  <c r="J180" i="1"/>
  <c r="F180" i="1"/>
  <c r="E180" i="1"/>
  <c r="D180" i="1"/>
  <c r="B180" i="1"/>
  <c r="A180" i="1"/>
  <c r="S179" i="1"/>
  <c r="Q179" i="1"/>
  <c r="P179" i="1"/>
  <c r="J179" i="1"/>
  <c r="F179" i="1"/>
  <c r="E179" i="1"/>
  <c r="D179" i="1"/>
  <c r="B179" i="1"/>
  <c r="A179" i="1"/>
  <c r="Q178" i="1"/>
  <c r="P178" i="1"/>
  <c r="J178" i="1"/>
  <c r="F178" i="1"/>
  <c r="E178" i="1"/>
  <c r="D178" i="1"/>
  <c r="B178" i="1"/>
  <c r="S178" i="1"/>
  <c r="A178" i="1"/>
  <c r="S177" i="1"/>
  <c r="Q177" i="1"/>
  <c r="P177" i="1"/>
  <c r="J177" i="1"/>
  <c r="F177" i="1"/>
  <c r="E177" i="1"/>
  <c r="D177" i="1"/>
  <c r="B177" i="1"/>
  <c r="A177" i="1"/>
  <c r="S176" i="1"/>
  <c r="Q176" i="1"/>
  <c r="P176" i="1"/>
  <c r="J176" i="1"/>
  <c r="F176" i="1"/>
  <c r="E176" i="1"/>
  <c r="D176" i="1"/>
  <c r="G176" i="1"/>
  <c r="B176" i="1"/>
  <c r="A176" i="1"/>
  <c r="Q175" i="1"/>
  <c r="P175" i="1"/>
  <c r="J175" i="1"/>
  <c r="F175" i="1"/>
  <c r="E175" i="1"/>
  <c r="D175" i="1"/>
  <c r="G175" i="1"/>
  <c r="B175" i="1"/>
  <c r="S175" i="1"/>
  <c r="A175" i="1"/>
  <c r="S174" i="1"/>
  <c r="Q174" i="1"/>
  <c r="P174" i="1"/>
  <c r="J174" i="1"/>
  <c r="F174" i="1"/>
  <c r="E174" i="1"/>
  <c r="D174" i="1"/>
  <c r="G174" i="1"/>
  <c r="B174" i="1"/>
  <c r="A174" i="1"/>
  <c r="Q173" i="1"/>
  <c r="P173" i="1"/>
  <c r="J173" i="1"/>
  <c r="F173" i="1"/>
  <c r="E173" i="1"/>
  <c r="D173" i="1"/>
  <c r="B173" i="1"/>
  <c r="A173" i="1"/>
  <c r="Q172" i="1"/>
  <c r="P172" i="1"/>
  <c r="S172" i="1"/>
  <c r="J172" i="1"/>
  <c r="F172" i="1"/>
  <c r="E172" i="1"/>
  <c r="D172" i="1"/>
  <c r="B172" i="1"/>
  <c r="A172" i="1"/>
  <c r="S171" i="1"/>
  <c r="Q171" i="1"/>
  <c r="P171" i="1"/>
  <c r="J171" i="1"/>
  <c r="F171" i="1"/>
  <c r="E171" i="1"/>
  <c r="D171" i="1"/>
  <c r="G171" i="1"/>
  <c r="B171" i="1"/>
  <c r="A171" i="1"/>
  <c r="S170" i="1"/>
  <c r="Q170" i="1"/>
  <c r="P170" i="1"/>
  <c r="J170" i="1"/>
  <c r="F170" i="1"/>
  <c r="E170" i="1"/>
  <c r="D170" i="1"/>
  <c r="B170" i="1"/>
  <c r="A170" i="1"/>
  <c r="Q169" i="1"/>
  <c r="P169" i="1"/>
  <c r="J169" i="1"/>
  <c r="F169" i="1"/>
  <c r="E169" i="1"/>
  <c r="D169" i="1"/>
  <c r="B169" i="1"/>
  <c r="A169" i="1"/>
  <c r="S168" i="1"/>
  <c r="Q168" i="1"/>
  <c r="P168" i="1"/>
  <c r="J168" i="1"/>
  <c r="F168" i="1"/>
  <c r="E168" i="1"/>
  <c r="D168" i="1"/>
  <c r="B168" i="1"/>
  <c r="A168" i="1"/>
  <c r="Q167" i="1"/>
  <c r="P167" i="1"/>
  <c r="J167" i="1"/>
  <c r="F167" i="1"/>
  <c r="E167" i="1"/>
  <c r="D167" i="1"/>
  <c r="B167" i="1"/>
  <c r="A167" i="1"/>
  <c r="S166" i="1"/>
  <c r="Q166" i="1"/>
  <c r="P166" i="1"/>
  <c r="J166" i="1"/>
  <c r="F166" i="1"/>
  <c r="E166" i="1"/>
  <c r="D166" i="1"/>
  <c r="B166" i="1"/>
  <c r="A166" i="1"/>
  <c r="S165" i="1"/>
  <c r="Q165" i="1"/>
  <c r="P165" i="1"/>
  <c r="J165" i="1"/>
  <c r="F165" i="1"/>
  <c r="E165" i="1"/>
  <c r="D165" i="1"/>
  <c r="B165" i="1"/>
  <c r="A165" i="1"/>
  <c r="S164" i="1"/>
  <c r="Q164" i="1"/>
  <c r="P164" i="1"/>
  <c r="J164" i="1"/>
  <c r="F164" i="1"/>
  <c r="E164" i="1"/>
  <c r="D164" i="1"/>
  <c r="B164" i="1"/>
  <c r="A164" i="1"/>
  <c r="Q163" i="1"/>
  <c r="P163" i="1"/>
  <c r="J163" i="1"/>
  <c r="F163" i="1"/>
  <c r="E163" i="1"/>
  <c r="D163" i="1"/>
  <c r="B163" i="1"/>
  <c r="A163" i="1"/>
  <c r="S162" i="1"/>
  <c r="Q162" i="1"/>
  <c r="P162" i="1"/>
  <c r="J162" i="1"/>
  <c r="F162" i="1"/>
  <c r="E162" i="1"/>
  <c r="D162" i="1"/>
  <c r="G162" i="1"/>
  <c r="B162" i="1"/>
  <c r="A162" i="1"/>
  <c r="Q161" i="1"/>
  <c r="P161" i="1"/>
  <c r="J161" i="1"/>
  <c r="F161" i="1"/>
  <c r="E161" i="1"/>
  <c r="D161" i="1"/>
  <c r="B161" i="1"/>
  <c r="S161" i="1"/>
  <c r="A161" i="1"/>
  <c r="Q160" i="1"/>
  <c r="P160" i="1"/>
  <c r="S160" i="1"/>
  <c r="J160" i="1"/>
  <c r="F160" i="1"/>
  <c r="E160" i="1"/>
  <c r="D160" i="1"/>
  <c r="B160" i="1"/>
  <c r="A160" i="1"/>
  <c r="S159" i="1"/>
  <c r="Q159" i="1"/>
  <c r="P159" i="1"/>
  <c r="J159" i="1"/>
  <c r="F159" i="1"/>
  <c r="E159" i="1"/>
  <c r="D159" i="1"/>
  <c r="B159" i="1"/>
  <c r="A159" i="1"/>
  <c r="Q158" i="1"/>
  <c r="P158" i="1"/>
  <c r="J158" i="1"/>
  <c r="F158" i="1"/>
  <c r="E158" i="1"/>
  <c r="D158" i="1"/>
  <c r="B158" i="1"/>
  <c r="A158" i="1"/>
  <c r="Q157" i="1"/>
  <c r="P157" i="1"/>
  <c r="S157" i="1"/>
  <c r="J157" i="1"/>
  <c r="F157" i="1"/>
  <c r="E157" i="1"/>
  <c r="D157" i="1"/>
  <c r="B157" i="1"/>
  <c r="A157" i="1"/>
  <c r="S156" i="1"/>
  <c r="Q156" i="1"/>
  <c r="P156" i="1"/>
  <c r="J156" i="1"/>
  <c r="F156" i="1"/>
  <c r="E156" i="1"/>
  <c r="D156" i="1"/>
  <c r="B156" i="1"/>
  <c r="A156" i="1"/>
  <c r="S155" i="1"/>
  <c r="Q155" i="1"/>
  <c r="P155" i="1"/>
  <c r="J155" i="1"/>
  <c r="F155" i="1"/>
  <c r="E155" i="1"/>
  <c r="D155" i="1"/>
  <c r="B155" i="1"/>
  <c r="A155" i="1"/>
  <c r="Q154" i="1"/>
  <c r="P154" i="1"/>
  <c r="J154" i="1"/>
  <c r="F154" i="1"/>
  <c r="E154" i="1"/>
  <c r="D154" i="1"/>
  <c r="B154" i="1"/>
  <c r="A154" i="1"/>
  <c r="S153" i="1"/>
  <c r="Q153" i="1"/>
  <c r="P153" i="1"/>
  <c r="J153" i="1"/>
  <c r="F153" i="1"/>
  <c r="E153" i="1"/>
  <c r="D153" i="1"/>
  <c r="B153" i="1"/>
  <c r="A153" i="1"/>
  <c r="Q152" i="1"/>
  <c r="P152" i="1"/>
  <c r="J152" i="1"/>
  <c r="F152" i="1"/>
  <c r="E152" i="1"/>
  <c r="D152" i="1"/>
  <c r="G152" i="1"/>
  <c r="B152" i="1"/>
  <c r="S152" i="1"/>
  <c r="A152" i="1"/>
  <c r="Q151" i="1"/>
  <c r="P151" i="1"/>
  <c r="S151" i="1"/>
  <c r="J151" i="1"/>
  <c r="F151" i="1"/>
  <c r="E151" i="1"/>
  <c r="D151" i="1"/>
  <c r="B151" i="1"/>
  <c r="A151" i="1"/>
  <c r="S150" i="1"/>
  <c r="Q150" i="1"/>
  <c r="P150" i="1"/>
  <c r="J150" i="1"/>
  <c r="F150" i="1"/>
  <c r="E150" i="1"/>
  <c r="D150" i="1"/>
  <c r="B150" i="1"/>
  <c r="A150" i="1"/>
  <c r="S149" i="1"/>
  <c r="Q149" i="1"/>
  <c r="P149" i="1"/>
  <c r="J149" i="1"/>
  <c r="F149" i="1"/>
  <c r="E149" i="1"/>
  <c r="D149" i="1"/>
  <c r="B149" i="1"/>
  <c r="A149" i="1"/>
  <c r="S148" i="1"/>
  <c r="Q148" i="1"/>
  <c r="P148" i="1"/>
  <c r="J148" i="1"/>
  <c r="F148" i="1"/>
  <c r="E148" i="1"/>
  <c r="D148" i="1"/>
  <c r="B148" i="1"/>
  <c r="A148" i="1"/>
  <c r="S147" i="1"/>
  <c r="Q147" i="1"/>
  <c r="P147" i="1"/>
  <c r="J147" i="1"/>
  <c r="F147" i="1"/>
  <c r="E147" i="1"/>
  <c r="D147" i="1"/>
  <c r="B147" i="1"/>
  <c r="A147" i="1"/>
  <c r="S146" i="1"/>
  <c r="Q146" i="1"/>
  <c r="P146" i="1"/>
  <c r="J146" i="1"/>
  <c r="F146" i="1"/>
  <c r="E146" i="1"/>
  <c r="D146" i="1"/>
  <c r="B146" i="1"/>
  <c r="A146" i="1"/>
  <c r="Q145" i="1"/>
  <c r="P145" i="1"/>
  <c r="J145" i="1"/>
  <c r="F145" i="1"/>
  <c r="E145" i="1"/>
  <c r="D145" i="1"/>
  <c r="B145" i="1"/>
  <c r="S145" i="1"/>
  <c r="A145" i="1"/>
  <c r="S144" i="1"/>
  <c r="Q144" i="1"/>
  <c r="P144" i="1"/>
  <c r="J144" i="1"/>
  <c r="F144" i="1"/>
  <c r="E144" i="1"/>
  <c r="D144" i="1"/>
  <c r="B144" i="1"/>
  <c r="A144" i="1"/>
  <c r="S143" i="1"/>
  <c r="Q143" i="1"/>
  <c r="P143" i="1"/>
  <c r="J143" i="1"/>
  <c r="F143" i="1"/>
  <c r="E143" i="1"/>
  <c r="D143" i="1"/>
  <c r="B143" i="1"/>
  <c r="A143" i="1"/>
  <c r="S142" i="1"/>
  <c r="Q142" i="1"/>
  <c r="P142" i="1"/>
  <c r="J142" i="1"/>
  <c r="F142" i="1"/>
  <c r="E142" i="1"/>
  <c r="D142" i="1"/>
  <c r="B142" i="1"/>
  <c r="A142" i="1"/>
  <c r="S141" i="1"/>
  <c r="Q141" i="1"/>
  <c r="P141" i="1"/>
  <c r="J141" i="1"/>
  <c r="F141" i="1"/>
  <c r="E141" i="1"/>
  <c r="D141" i="1"/>
  <c r="B141" i="1"/>
  <c r="A141" i="1"/>
  <c r="S140" i="1"/>
  <c r="Q140" i="1"/>
  <c r="P140" i="1"/>
  <c r="J140" i="1"/>
  <c r="F140" i="1"/>
  <c r="E140" i="1"/>
  <c r="D140" i="1"/>
  <c r="B140" i="1"/>
  <c r="A140" i="1"/>
  <c r="Q139" i="1"/>
  <c r="P139" i="1"/>
  <c r="J139" i="1"/>
  <c r="F139" i="1"/>
  <c r="E139" i="1"/>
  <c r="D139" i="1"/>
  <c r="B139" i="1"/>
  <c r="S139" i="1"/>
  <c r="A139" i="1"/>
  <c r="S138" i="1"/>
  <c r="Q138" i="1"/>
  <c r="P138" i="1"/>
  <c r="J138" i="1"/>
  <c r="F138" i="1"/>
  <c r="E138" i="1"/>
  <c r="D138" i="1"/>
  <c r="B138" i="1"/>
  <c r="A138" i="1"/>
  <c r="Q137" i="1"/>
  <c r="P137" i="1"/>
  <c r="J137" i="1"/>
  <c r="F137" i="1"/>
  <c r="E137" i="1"/>
  <c r="D137" i="1"/>
  <c r="B137" i="1"/>
  <c r="S137" i="1"/>
  <c r="A137" i="1"/>
  <c r="Q136" i="1"/>
  <c r="P136" i="1"/>
  <c r="S136" i="1"/>
  <c r="J136" i="1"/>
  <c r="F136" i="1"/>
  <c r="E136" i="1"/>
  <c r="D136" i="1"/>
  <c r="B136" i="1"/>
  <c r="A136" i="1"/>
  <c r="S135" i="1"/>
  <c r="Q135" i="1"/>
  <c r="P135" i="1"/>
  <c r="J135" i="1"/>
  <c r="F135" i="1"/>
  <c r="E135" i="1"/>
  <c r="D135" i="1"/>
  <c r="B135" i="1"/>
  <c r="A135" i="1"/>
  <c r="S134" i="1"/>
  <c r="Q134" i="1"/>
  <c r="P134" i="1"/>
  <c r="J134" i="1"/>
  <c r="F134" i="1"/>
  <c r="E134" i="1"/>
  <c r="D134" i="1"/>
  <c r="B134" i="1"/>
  <c r="A134" i="1"/>
  <c r="Q133" i="1"/>
  <c r="P133" i="1"/>
  <c r="J133" i="1"/>
  <c r="F133" i="1"/>
  <c r="E133" i="1"/>
  <c r="D133" i="1"/>
  <c r="B133" i="1"/>
  <c r="A133" i="1"/>
  <c r="S132" i="1"/>
  <c r="Q132" i="1"/>
  <c r="P132" i="1"/>
  <c r="J132" i="1"/>
  <c r="F132" i="1"/>
  <c r="E132" i="1"/>
  <c r="D132" i="1"/>
  <c r="B132" i="1"/>
  <c r="A132" i="1"/>
  <c r="Q131" i="1"/>
  <c r="P131" i="1"/>
  <c r="S131" i="1"/>
  <c r="J131" i="1"/>
  <c r="F131" i="1"/>
  <c r="E131" i="1"/>
  <c r="D131" i="1"/>
  <c r="B131" i="1"/>
  <c r="A131" i="1"/>
  <c r="Q130" i="1"/>
  <c r="P130" i="1"/>
  <c r="J130" i="1"/>
  <c r="F130" i="1"/>
  <c r="E130" i="1"/>
  <c r="D130" i="1"/>
  <c r="B130" i="1"/>
  <c r="A130" i="1"/>
  <c r="S129" i="1"/>
  <c r="Q129" i="1"/>
  <c r="P129" i="1"/>
  <c r="J129" i="1"/>
  <c r="F129" i="1"/>
  <c r="E129" i="1"/>
  <c r="D129" i="1"/>
  <c r="B129" i="1"/>
  <c r="A129" i="1"/>
  <c r="S128" i="1"/>
  <c r="Q128" i="1"/>
  <c r="P128" i="1"/>
  <c r="J128" i="1"/>
  <c r="F128" i="1"/>
  <c r="E128" i="1"/>
  <c r="D128" i="1"/>
  <c r="B128" i="1"/>
  <c r="A128" i="1"/>
  <c r="Q127" i="1"/>
  <c r="P127" i="1"/>
  <c r="N127" i="1"/>
  <c r="L127" i="1"/>
  <c r="J127" i="1"/>
  <c r="I127" i="1"/>
  <c r="K127" i="1"/>
  <c r="F127" i="1"/>
  <c r="E127" i="1"/>
  <c r="D127" i="1"/>
  <c r="B127" i="1"/>
  <c r="S127" i="1"/>
  <c r="A127" i="1"/>
  <c r="S126" i="1"/>
  <c r="Q126" i="1"/>
  <c r="P126" i="1"/>
  <c r="J126" i="1"/>
  <c r="F126" i="1"/>
  <c r="E126" i="1"/>
  <c r="D126" i="1"/>
  <c r="B126" i="1"/>
  <c r="A126" i="1"/>
  <c r="S125" i="1"/>
  <c r="Q125" i="1"/>
  <c r="P125" i="1"/>
  <c r="J125" i="1"/>
  <c r="F125" i="1"/>
  <c r="E125" i="1"/>
  <c r="D125" i="1"/>
  <c r="B125" i="1"/>
  <c r="A125" i="1"/>
  <c r="S124" i="1"/>
  <c r="Q124" i="1"/>
  <c r="P124" i="1"/>
  <c r="J124" i="1"/>
  <c r="F124" i="1"/>
  <c r="E124" i="1"/>
  <c r="D124" i="1"/>
  <c r="G124" i="1"/>
  <c r="B124" i="1"/>
  <c r="A124" i="1"/>
  <c r="S123" i="1"/>
  <c r="Q123" i="1"/>
  <c r="P123" i="1"/>
  <c r="J123" i="1"/>
  <c r="F123" i="1"/>
  <c r="E123" i="1"/>
  <c r="G123" i="1"/>
  <c r="D123" i="1"/>
  <c r="B123" i="1"/>
  <c r="A123" i="1"/>
  <c r="Q122" i="1"/>
  <c r="P122" i="1"/>
  <c r="J122" i="1"/>
  <c r="F122" i="1"/>
  <c r="E122" i="1"/>
  <c r="D122" i="1"/>
  <c r="B122" i="1"/>
  <c r="A122" i="1"/>
  <c r="Q121" i="1"/>
  <c r="P121" i="1"/>
  <c r="J121" i="1"/>
  <c r="F121" i="1"/>
  <c r="E121" i="1"/>
  <c r="D121" i="1"/>
  <c r="B121" i="1"/>
  <c r="S121" i="1"/>
  <c r="A121" i="1"/>
  <c r="S120" i="1"/>
  <c r="Q120" i="1"/>
  <c r="P120" i="1"/>
  <c r="J120" i="1"/>
  <c r="F120" i="1"/>
  <c r="E120" i="1"/>
  <c r="D120" i="1"/>
  <c r="B120" i="1"/>
  <c r="A120" i="1"/>
  <c r="S119" i="1"/>
  <c r="Q119" i="1"/>
  <c r="P119" i="1"/>
  <c r="J119" i="1"/>
  <c r="F119" i="1"/>
  <c r="E119" i="1"/>
  <c r="D119" i="1"/>
  <c r="B119" i="1"/>
  <c r="A119" i="1"/>
  <c r="Q118" i="1"/>
  <c r="P118" i="1"/>
  <c r="J118" i="1"/>
  <c r="F118" i="1"/>
  <c r="E118" i="1"/>
  <c r="D118" i="1"/>
  <c r="B118" i="1"/>
  <c r="A118" i="1"/>
  <c r="S117" i="1"/>
  <c r="Q117" i="1"/>
  <c r="P117" i="1"/>
  <c r="J117" i="1"/>
  <c r="F117" i="1"/>
  <c r="E117" i="1"/>
  <c r="D117" i="1"/>
  <c r="G117" i="1"/>
  <c r="B117" i="1"/>
  <c r="A117" i="1"/>
  <c r="Q116" i="1"/>
  <c r="P116" i="1"/>
  <c r="J116" i="1"/>
  <c r="F116" i="1"/>
  <c r="E116" i="1"/>
  <c r="D116" i="1"/>
  <c r="B116" i="1"/>
  <c r="S116" i="1"/>
  <c r="A116" i="1"/>
  <c r="S115" i="1"/>
  <c r="Q115" i="1"/>
  <c r="P115" i="1"/>
  <c r="J115" i="1"/>
  <c r="F115" i="1"/>
  <c r="E115" i="1"/>
  <c r="D115" i="1"/>
  <c r="B115" i="1"/>
  <c r="A115" i="1"/>
  <c r="S114" i="1"/>
  <c r="Q114" i="1"/>
  <c r="P114" i="1"/>
  <c r="J114" i="1"/>
  <c r="F114" i="1"/>
  <c r="E114" i="1"/>
  <c r="D114" i="1"/>
  <c r="B114" i="1"/>
  <c r="A114" i="1"/>
  <c r="Q113" i="1"/>
  <c r="P113" i="1"/>
  <c r="J113" i="1"/>
  <c r="F113" i="1"/>
  <c r="E113" i="1"/>
  <c r="D113" i="1"/>
  <c r="G113" i="1"/>
  <c r="B113" i="1"/>
  <c r="S113" i="1"/>
  <c r="A113" i="1"/>
  <c r="Q112" i="1"/>
  <c r="P112" i="1"/>
  <c r="J112" i="1"/>
  <c r="F112" i="1"/>
  <c r="E112" i="1"/>
  <c r="D112" i="1"/>
  <c r="G112" i="1"/>
  <c r="B112" i="1"/>
  <c r="S112" i="1"/>
  <c r="A112" i="1"/>
  <c r="S111" i="1"/>
  <c r="Q111" i="1"/>
  <c r="P111" i="1"/>
  <c r="J111" i="1"/>
  <c r="F111" i="1"/>
  <c r="E111" i="1"/>
  <c r="D111" i="1"/>
  <c r="B111" i="1"/>
  <c r="A111" i="1"/>
  <c r="Q110" i="1"/>
  <c r="P110" i="1"/>
  <c r="J110" i="1"/>
  <c r="F110" i="1"/>
  <c r="E110" i="1"/>
  <c r="D110" i="1"/>
  <c r="B110" i="1"/>
  <c r="S110" i="1"/>
  <c r="A110" i="1"/>
  <c r="Q109" i="1"/>
  <c r="P109" i="1"/>
  <c r="J109" i="1"/>
  <c r="F109" i="1"/>
  <c r="E109" i="1"/>
  <c r="D109" i="1"/>
  <c r="B109" i="1"/>
  <c r="S109" i="1"/>
  <c r="A109" i="1"/>
  <c r="S108" i="1"/>
  <c r="Q108" i="1"/>
  <c r="P108" i="1"/>
  <c r="J108" i="1"/>
  <c r="F108" i="1"/>
  <c r="E108" i="1"/>
  <c r="D108" i="1"/>
  <c r="B108" i="1"/>
  <c r="A108" i="1"/>
  <c r="Q107" i="1"/>
  <c r="P107" i="1"/>
  <c r="J107" i="1"/>
  <c r="F107" i="1"/>
  <c r="E107" i="1"/>
  <c r="D107" i="1"/>
  <c r="B107" i="1"/>
  <c r="S107" i="1"/>
  <c r="A107" i="1"/>
  <c r="Q106" i="1"/>
  <c r="P106" i="1"/>
  <c r="J106" i="1"/>
  <c r="F106" i="1"/>
  <c r="E106" i="1"/>
  <c r="D106" i="1"/>
  <c r="B106" i="1"/>
  <c r="A106" i="1"/>
  <c r="S105" i="1"/>
  <c r="Q105" i="1"/>
  <c r="P105" i="1"/>
  <c r="J105" i="1"/>
  <c r="F105" i="1"/>
  <c r="E105" i="1"/>
  <c r="D105" i="1"/>
  <c r="B105" i="1"/>
  <c r="A105" i="1"/>
  <c r="Q104" i="1"/>
  <c r="P104" i="1"/>
  <c r="S104" i="1"/>
  <c r="J104" i="1"/>
  <c r="F104" i="1"/>
  <c r="E104" i="1"/>
  <c r="D104" i="1"/>
  <c r="B104" i="1"/>
  <c r="A104" i="1"/>
  <c r="Q103" i="1"/>
  <c r="P103" i="1"/>
  <c r="J103" i="1"/>
  <c r="F103" i="1"/>
  <c r="E103" i="1"/>
  <c r="D103" i="1"/>
  <c r="B103" i="1"/>
  <c r="S103" i="1"/>
  <c r="A103" i="1"/>
  <c r="S102" i="1"/>
  <c r="Q102" i="1"/>
  <c r="P102" i="1"/>
  <c r="J102" i="1"/>
  <c r="F102" i="1"/>
  <c r="E102" i="1"/>
  <c r="D102" i="1"/>
  <c r="B102" i="1"/>
  <c r="A102" i="1"/>
  <c r="S101" i="1"/>
  <c r="Q101" i="1"/>
  <c r="P101" i="1"/>
  <c r="J101" i="1"/>
  <c r="F101" i="1"/>
  <c r="E101" i="1"/>
  <c r="D101" i="1"/>
  <c r="B101" i="1"/>
  <c r="A101" i="1"/>
  <c r="Q100" i="1"/>
  <c r="P100" i="1"/>
  <c r="S100" i="1"/>
  <c r="J100" i="1"/>
  <c r="F100" i="1"/>
  <c r="E100" i="1"/>
  <c r="D100" i="1"/>
  <c r="G100" i="1"/>
  <c r="B100" i="1"/>
  <c r="A100" i="1"/>
  <c r="S99" i="1"/>
  <c r="Q99" i="1"/>
  <c r="P99" i="1"/>
  <c r="J99" i="1"/>
  <c r="F99" i="1"/>
  <c r="E99" i="1"/>
  <c r="D99" i="1"/>
  <c r="B99" i="1"/>
  <c r="A99" i="1"/>
  <c r="S98" i="1"/>
  <c r="Q98" i="1"/>
  <c r="P98" i="1"/>
  <c r="J98" i="1"/>
  <c r="F98" i="1"/>
  <c r="E98" i="1"/>
  <c r="D98" i="1"/>
  <c r="B98" i="1"/>
  <c r="A98" i="1"/>
  <c r="Q97" i="1"/>
  <c r="P97" i="1"/>
  <c r="J97" i="1"/>
  <c r="F97" i="1"/>
  <c r="E97" i="1"/>
  <c r="D97" i="1"/>
  <c r="B97" i="1"/>
  <c r="S97" i="1"/>
  <c r="A97" i="1"/>
  <c r="S96" i="1"/>
  <c r="Q96" i="1"/>
  <c r="P96" i="1"/>
  <c r="J96" i="1"/>
  <c r="F96" i="1"/>
  <c r="E96" i="1"/>
  <c r="D96" i="1"/>
  <c r="B96" i="1"/>
  <c r="A96" i="1"/>
  <c r="S95" i="1"/>
  <c r="Q95" i="1"/>
  <c r="P95" i="1"/>
  <c r="J95" i="1"/>
  <c r="F95" i="1"/>
  <c r="E95" i="1"/>
  <c r="D95" i="1"/>
  <c r="C95" i="1"/>
  <c r="B95" i="1"/>
  <c r="A95" i="1"/>
  <c r="Q94" i="1"/>
  <c r="P94" i="1"/>
  <c r="S94" i="1"/>
  <c r="J94" i="1"/>
  <c r="F94" i="1"/>
  <c r="E94" i="1"/>
  <c r="D94" i="1"/>
  <c r="B94" i="1"/>
  <c r="A94" i="1"/>
  <c r="S93" i="1"/>
  <c r="Q93" i="1"/>
  <c r="P93" i="1"/>
  <c r="J93" i="1"/>
  <c r="F93" i="1"/>
  <c r="E93" i="1"/>
  <c r="D93" i="1"/>
  <c r="B93" i="1"/>
  <c r="A93" i="1"/>
  <c r="Q92" i="1"/>
  <c r="P92" i="1"/>
  <c r="S92" i="1"/>
  <c r="J92" i="1"/>
  <c r="F92" i="1"/>
  <c r="E92" i="1"/>
  <c r="D92" i="1"/>
  <c r="C92" i="1"/>
  <c r="B92" i="1"/>
  <c r="A92" i="1"/>
  <c r="S91" i="1"/>
  <c r="Q91" i="1"/>
  <c r="P91" i="1"/>
  <c r="N91" i="1"/>
  <c r="L91" i="1"/>
  <c r="J91" i="1"/>
  <c r="I91" i="1"/>
  <c r="K91" i="1"/>
  <c r="F91" i="1"/>
  <c r="E91" i="1"/>
  <c r="D91" i="1"/>
  <c r="B91" i="1"/>
  <c r="A91" i="1"/>
  <c r="S90" i="1"/>
  <c r="Q90" i="1"/>
  <c r="P90" i="1"/>
  <c r="J90" i="1"/>
  <c r="F90" i="1"/>
  <c r="E90" i="1"/>
  <c r="D90" i="1"/>
  <c r="B90" i="1"/>
  <c r="A90" i="1"/>
  <c r="Q89" i="1"/>
  <c r="P89" i="1"/>
  <c r="S89" i="1"/>
  <c r="J89" i="1"/>
  <c r="F89" i="1"/>
  <c r="E89" i="1"/>
  <c r="D89" i="1"/>
  <c r="B89" i="1"/>
  <c r="A89" i="1"/>
  <c r="Q88" i="1"/>
  <c r="P88" i="1"/>
  <c r="N88" i="1"/>
  <c r="L88" i="1"/>
  <c r="J88" i="1"/>
  <c r="I88" i="1"/>
  <c r="K88" i="1"/>
  <c r="F88" i="1"/>
  <c r="E88" i="1"/>
  <c r="D88" i="1"/>
  <c r="B88" i="1"/>
  <c r="S88" i="1"/>
  <c r="A88" i="1"/>
  <c r="S87" i="1"/>
  <c r="Q87" i="1"/>
  <c r="P87" i="1"/>
  <c r="J87" i="1"/>
  <c r="F87" i="1"/>
  <c r="E87" i="1"/>
  <c r="D87" i="1"/>
  <c r="G87" i="1"/>
  <c r="B87" i="1"/>
  <c r="A87" i="1"/>
  <c r="S86" i="1"/>
  <c r="Q86" i="1"/>
  <c r="P86" i="1"/>
  <c r="J86" i="1"/>
  <c r="F86" i="1"/>
  <c r="E86" i="1"/>
  <c r="D86" i="1"/>
  <c r="B86" i="1"/>
  <c r="A86" i="1"/>
  <c r="Q85" i="1"/>
  <c r="P85" i="1"/>
  <c r="N85" i="1"/>
  <c r="L85" i="1"/>
  <c r="J85" i="1"/>
  <c r="I85" i="1"/>
  <c r="K85" i="1"/>
  <c r="F85" i="1"/>
  <c r="E85" i="1"/>
  <c r="D85" i="1"/>
  <c r="B85" i="1"/>
  <c r="S85" i="1"/>
  <c r="A85" i="1"/>
  <c r="S84" i="1"/>
  <c r="Q84" i="1"/>
  <c r="P84" i="1"/>
  <c r="J84" i="1"/>
  <c r="F84" i="1"/>
  <c r="E84" i="1"/>
  <c r="D84" i="1"/>
  <c r="B84" i="1"/>
  <c r="A84" i="1"/>
  <c r="Q83" i="1"/>
  <c r="P83" i="1"/>
  <c r="J83" i="1"/>
  <c r="F83" i="1"/>
  <c r="E83" i="1"/>
  <c r="D83" i="1"/>
  <c r="B83" i="1"/>
  <c r="S83" i="1"/>
  <c r="A83" i="1"/>
  <c r="Q82" i="1"/>
  <c r="P82" i="1"/>
  <c r="J82" i="1"/>
  <c r="F82" i="1"/>
  <c r="E82" i="1"/>
  <c r="D82" i="1"/>
  <c r="B82" i="1"/>
  <c r="S82" i="1"/>
  <c r="A82" i="1"/>
  <c r="Q81" i="1"/>
  <c r="P81" i="1"/>
  <c r="S81" i="1"/>
  <c r="J81" i="1"/>
  <c r="F81" i="1"/>
  <c r="E81" i="1"/>
  <c r="D81" i="1"/>
  <c r="B81" i="1"/>
  <c r="A81" i="1"/>
  <c r="Q80" i="1"/>
  <c r="P80" i="1"/>
  <c r="N80" i="1"/>
  <c r="L80" i="1"/>
  <c r="J80" i="1"/>
  <c r="I80" i="1"/>
  <c r="K80" i="1"/>
  <c r="F80" i="1"/>
  <c r="E80" i="1"/>
  <c r="D80" i="1"/>
  <c r="B80" i="1"/>
  <c r="S80" i="1"/>
  <c r="A80" i="1"/>
  <c r="S79" i="1"/>
  <c r="Q79" i="1"/>
  <c r="P79" i="1"/>
  <c r="J79" i="1"/>
  <c r="F79" i="1"/>
  <c r="E79" i="1"/>
  <c r="D79" i="1"/>
  <c r="B79" i="1"/>
  <c r="A79" i="1"/>
  <c r="S78" i="1"/>
  <c r="Q78" i="1"/>
  <c r="P78" i="1"/>
  <c r="J78" i="1"/>
  <c r="F78" i="1"/>
  <c r="E78" i="1"/>
  <c r="D78" i="1"/>
  <c r="B78" i="1"/>
  <c r="A78" i="1"/>
  <c r="Q77" i="1"/>
  <c r="P77" i="1"/>
  <c r="J77" i="1"/>
  <c r="F77" i="1"/>
  <c r="E77" i="1"/>
  <c r="D77" i="1"/>
  <c r="B77" i="1"/>
  <c r="A77" i="1"/>
  <c r="Q76" i="1"/>
  <c r="P76" i="1"/>
  <c r="S76" i="1"/>
  <c r="J76" i="1"/>
  <c r="F76" i="1"/>
  <c r="E76" i="1"/>
  <c r="D76" i="1"/>
  <c r="B76" i="1"/>
  <c r="A76" i="1"/>
  <c r="S75" i="1"/>
  <c r="Q75" i="1"/>
  <c r="P75" i="1"/>
  <c r="J75" i="1"/>
  <c r="F75" i="1"/>
  <c r="E75" i="1"/>
  <c r="D75" i="1"/>
  <c r="B75" i="1"/>
  <c r="A75" i="1"/>
  <c r="Q74" i="1"/>
  <c r="P74" i="1"/>
  <c r="J74" i="1"/>
  <c r="F74" i="1"/>
  <c r="E74" i="1"/>
  <c r="D74" i="1"/>
  <c r="G74" i="1"/>
  <c r="B74" i="1"/>
  <c r="S74" i="1"/>
  <c r="A74" i="1"/>
  <c r="Q73" i="1"/>
  <c r="P73" i="1"/>
  <c r="S73" i="1"/>
  <c r="J73" i="1"/>
  <c r="F73" i="1"/>
  <c r="E73" i="1"/>
  <c r="D73" i="1"/>
  <c r="G73" i="1"/>
  <c r="B73" i="1"/>
  <c r="A73" i="1"/>
  <c r="S72" i="1"/>
  <c r="Q72" i="1"/>
  <c r="P72" i="1"/>
  <c r="J72" i="1"/>
  <c r="F72" i="1"/>
  <c r="E72" i="1"/>
  <c r="D72" i="1"/>
  <c r="B72" i="1"/>
  <c r="A72" i="1"/>
  <c r="Q71" i="1"/>
  <c r="P71" i="1"/>
  <c r="J71" i="1"/>
  <c r="F71" i="1"/>
  <c r="E71" i="1"/>
  <c r="D71" i="1"/>
  <c r="B71" i="1"/>
  <c r="A71" i="1"/>
  <c r="Q70" i="1"/>
  <c r="P70" i="1"/>
  <c r="J70" i="1"/>
  <c r="F70" i="1"/>
  <c r="E70" i="1"/>
  <c r="D70" i="1"/>
  <c r="B70" i="1"/>
  <c r="S70" i="1"/>
  <c r="A70" i="1"/>
  <c r="Q69" i="1"/>
  <c r="P69" i="1"/>
  <c r="S69" i="1"/>
  <c r="J69" i="1"/>
  <c r="F69" i="1"/>
  <c r="E69" i="1"/>
  <c r="D69" i="1"/>
  <c r="B69" i="1"/>
  <c r="A69" i="1"/>
  <c r="Q68" i="1"/>
  <c r="P68" i="1"/>
  <c r="J68" i="1"/>
  <c r="F68" i="1"/>
  <c r="E68" i="1"/>
  <c r="D68" i="1"/>
  <c r="B68" i="1"/>
  <c r="S68" i="1"/>
  <c r="A68" i="1"/>
  <c r="Q67" i="1"/>
  <c r="P67" i="1"/>
  <c r="S67" i="1"/>
  <c r="J67" i="1"/>
  <c r="F67" i="1"/>
  <c r="E67" i="1"/>
  <c r="D67" i="1"/>
  <c r="B67" i="1"/>
  <c r="A67" i="1"/>
  <c r="Q66" i="1"/>
  <c r="P66" i="1"/>
  <c r="S66" i="1"/>
  <c r="J66" i="1"/>
  <c r="F66" i="1"/>
  <c r="E66" i="1"/>
  <c r="D66" i="1"/>
  <c r="G66" i="1"/>
  <c r="B66" i="1"/>
  <c r="A66" i="1"/>
  <c r="S65" i="1"/>
  <c r="Q65" i="1"/>
  <c r="P65" i="1"/>
  <c r="N65" i="1"/>
  <c r="L65" i="1"/>
  <c r="J65" i="1"/>
  <c r="I65" i="1"/>
  <c r="K65" i="1"/>
  <c r="F65" i="1"/>
  <c r="E65" i="1"/>
  <c r="D65" i="1"/>
  <c r="G65" i="1"/>
  <c r="B65" i="1"/>
  <c r="A65" i="1"/>
  <c r="Q64" i="1"/>
  <c r="P64" i="1"/>
  <c r="J64" i="1"/>
  <c r="F64" i="1"/>
  <c r="E64" i="1"/>
  <c r="D64" i="1"/>
  <c r="B64" i="1"/>
  <c r="A64" i="1"/>
  <c r="Q63" i="1"/>
  <c r="P63" i="1"/>
  <c r="S63" i="1"/>
  <c r="N63" i="1"/>
  <c r="L63" i="1"/>
  <c r="J63" i="1"/>
  <c r="I63" i="1"/>
  <c r="K63" i="1"/>
  <c r="F63" i="1"/>
  <c r="E63" i="1"/>
  <c r="D63" i="1"/>
  <c r="G63" i="1"/>
  <c r="B63" i="1"/>
  <c r="A63" i="1"/>
  <c r="S62" i="1"/>
  <c r="Q62" i="1"/>
  <c r="P62" i="1"/>
  <c r="N62" i="1"/>
  <c r="L62" i="1"/>
  <c r="J62" i="1"/>
  <c r="I62" i="1"/>
  <c r="K62" i="1"/>
  <c r="F62" i="1"/>
  <c r="E62" i="1"/>
  <c r="D62" i="1"/>
  <c r="B62" i="1"/>
  <c r="A62" i="1"/>
  <c r="Q61" i="1"/>
  <c r="P61" i="1"/>
  <c r="J61" i="1"/>
  <c r="F61" i="1"/>
  <c r="E61" i="1"/>
  <c r="D61" i="1"/>
  <c r="G61" i="1"/>
  <c r="B61" i="1"/>
  <c r="A61" i="1"/>
  <c r="Q60" i="1"/>
  <c r="P60" i="1"/>
  <c r="S60" i="1"/>
  <c r="J60" i="1"/>
  <c r="F60" i="1"/>
  <c r="E60" i="1"/>
  <c r="D60" i="1"/>
  <c r="G60" i="1"/>
  <c r="B60" i="1"/>
  <c r="A60" i="1"/>
  <c r="Q59" i="1"/>
  <c r="P59" i="1"/>
  <c r="S59" i="1"/>
  <c r="J59" i="1"/>
  <c r="F59" i="1"/>
  <c r="E59" i="1"/>
  <c r="D59" i="1"/>
  <c r="G59" i="1"/>
  <c r="B59" i="1"/>
  <c r="A59" i="1"/>
  <c r="Q58" i="1"/>
  <c r="P58" i="1"/>
  <c r="N58" i="1"/>
  <c r="L58" i="1"/>
  <c r="J58" i="1"/>
  <c r="I58" i="1"/>
  <c r="F58" i="1"/>
  <c r="E58" i="1"/>
  <c r="D58" i="1"/>
  <c r="B58" i="1"/>
  <c r="S58" i="1"/>
  <c r="A58" i="1"/>
  <c r="S57" i="1"/>
  <c r="Q57" i="1"/>
  <c r="P57" i="1"/>
  <c r="J57" i="1"/>
  <c r="F57" i="1"/>
  <c r="E57" i="1"/>
  <c r="D57" i="1"/>
  <c r="B57" i="1"/>
  <c r="A57" i="1"/>
  <c r="Q56" i="1"/>
  <c r="P56" i="1"/>
  <c r="J56" i="1"/>
  <c r="F56" i="1"/>
  <c r="E56" i="1"/>
  <c r="D56" i="1"/>
  <c r="G56" i="1"/>
  <c r="B56" i="1"/>
  <c r="A56" i="1"/>
  <c r="Q55" i="1"/>
  <c r="P55" i="1"/>
  <c r="N55" i="1"/>
  <c r="L55" i="1"/>
  <c r="J55" i="1"/>
  <c r="I55" i="1"/>
  <c r="K55" i="1"/>
  <c r="F55" i="1"/>
  <c r="E55" i="1"/>
  <c r="D55" i="1"/>
  <c r="B55" i="1"/>
  <c r="S55" i="1"/>
  <c r="A55" i="1"/>
  <c r="S54" i="1"/>
  <c r="Q54" i="1"/>
  <c r="P54" i="1"/>
  <c r="J54" i="1"/>
  <c r="F54" i="1"/>
  <c r="E54" i="1"/>
  <c r="D54" i="1"/>
  <c r="G54" i="1"/>
  <c r="B54" i="1"/>
  <c r="A54" i="1"/>
  <c r="Q53" i="1"/>
  <c r="P53" i="1"/>
  <c r="J53" i="1"/>
  <c r="F53" i="1"/>
  <c r="E53" i="1"/>
  <c r="D53" i="1"/>
  <c r="G53" i="1"/>
  <c r="B53" i="1"/>
  <c r="S53" i="1"/>
  <c r="A53" i="1"/>
  <c r="S52" i="1"/>
  <c r="Q52" i="1"/>
  <c r="P52" i="1"/>
  <c r="J52" i="1"/>
  <c r="F52" i="1"/>
  <c r="E52" i="1"/>
  <c r="D52" i="1"/>
  <c r="G52" i="1"/>
  <c r="B52" i="1"/>
  <c r="A52" i="1"/>
  <c r="Q51" i="1"/>
  <c r="P51" i="1"/>
  <c r="S51" i="1"/>
  <c r="J51" i="1"/>
  <c r="F51" i="1"/>
  <c r="E51" i="1"/>
  <c r="D51" i="1"/>
  <c r="C51" i="1"/>
  <c r="B51" i="1"/>
  <c r="A51" i="1"/>
  <c r="Q50" i="1"/>
  <c r="P50" i="1"/>
  <c r="J50" i="1"/>
  <c r="F50" i="1"/>
  <c r="E50" i="1"/>
  <c r="D50" i="1"/>
  <c r="B50" i="1"/>
  <c r="S50" i="1"/>
  <c r="A50" i="1"/>
  <c r="Q49" i="1"/>
  <c r="P49" i="1"/>
  <c r="S49" i="1"/>
  <c r="J49" i="1"/>
  <c r="F49" i="1"/>
  <c r="E49" i="1"/>
  <c r="D49" i="1"/>
  <c r="G49" i="1"/>
  <c r="B49" i="1"/>
  <c r="A49" i="1"/>
  <c r="Q48" i="1"/>
  <c r="P48" i="1"/>
  <c r="S48" i="1"/>
  <c r="J48" i="1"/>
  <c r="F48" i="1"/>
  <c r="E48" i="1"/>
  <c r="D48" i="1"/>
  <c r="C48" i="1"/>
  <c r="B48" i="1"/>
  <c r="A48" i="1"/>
  <c r="S47" i="1"/>
  <c r="Q47" i="1"/>
  <c r="P47" i="1"/>
  <c r="J47" i="1"/>
  <c r="F47" i="1"/>
  <c r="E47" i="1"/>
  <c r="D47" i="1"/>
  <c r="G47" i="1"/>
  <c r="B47" i="1"/>
  <c r="A47" i="1"/>
  <c r="Q46" i="1"/>
  <c r="P46" i="1"/>
  <c r="S46" i="1"/>
  <c r="J46" i="1"/>
  <c r="F46" i="1"/>
  <c r="E46" i="1"/>
  <c r="D46" i="1"/>
  <c r="B46" i="1"/>
  <c r="A46" i="1"/>
  <c r="Q45" i="1"/>
  <c r="P45" i="1"/>
  <c r="S45" i="1"/>
  <c r="J45" i="1"/>
  <c r="F45" i="1"/>
  <c r="E45" i="1"/>
  <c r="D45" i="1"/>
  <c r="G45" i="1"/>
  <c r="B45" i="1"/>
  <c r="A45" i="1"/>
  <c r="S44" i="1"/>
  <c r="Q44" i="1"/>
  <c r="P44" i="1"/>
  <c r="J44" i="1"/>
  <c r="F44" i="1"/>
  <c r="E44" i="1"/>
  <c r="D44" i="1"/>
  <c r="B44" i="1"/>
  <c r="A44" i="1"/>
  <c r="Q43" i="1"/>
  <c r="P43" i="1"/>
  <c r="J43" i="1"/>
  <c r="F43" i="1"/>
  <c r="E43" i="1"/>
  <c r="D43" i="1"/>
  <c r="B43" i="1"/>
  <c r="A43" i="1"/>
  <c r="Q42" i="1"/>
  <c r="P42" i="1"/>
  <c r="S42" i="1"/>
  <c r="J42" i="1"/>
  <c r="F42" i="1"/>
  <c r="E42" i="1"/>
  <c r="D42" i="1"/>
  <c r="G42" i="1"/>
  <c r="B42" i="1"/>
  <c r="A42" i="1"/>
  <c r="Q41" i="1"/>
  <c r="P41" i="1"/>
  <c r="S41" i="1"/>
  <c r="J41" i="1"/>
  <c r="F41" i="1"/>
  <c r="E41" i="1"/>
  <c r="D41" i="1"/>
  <c r="B41" i="1"/>
  <c r="A41" i="1"/>
  <c r="Q40" i="1"/>
  <c r="P40" i="1"/>
  <c r="J40" i="1"/>
  <c r="F40" i="1"/>
  <c r="E40" i="1"/>
  <c r="D40" i="1"/>
  <c r="B40" i="1"/>
  <c r="S40" i="1"/>
  <c r="A40" i="1"/>
  <c r="S39" i="1"/>
  <c r="Q39" i="1"/>
  <c r="P39" i="1"/>
  <c r="J39" i="1"/>
  <c r="F39" i="1"/>
  <c r="E39" i="1"/>
  <c r="D39" i="1"/>
  <c r="B39" i="1"/>
  <c r="A39" i="1"/>
  <c r="Q38" i="1"/>
  <c r="P38" i="1"/>
  <c r="J38" i="1"/>
  <c r="F38" i="1"/>
  <c r="E38" i="1"/>
  <c r="D38" i="1"/>
  <c r="C38" i="1"/>
  <c r="B38" i="1"/>
  <c r="S38" i="1"/>
  <c r="A38" i="1"/>
  <c r="Q37" i="1"/>
  <c r="P37" i="1"/>
  <c r="J37" i="1"/>
  <c r="F37" i="1"/>
  <c r="E37" i="1"/>
  <c r="D37" i="1"/>
  <c r="B37" i="1"/>
  <c r="S37" i="1"/>
  <c r="A37" i="1"/>
  <c r="Q36" i="1"/>
  <c r="P36" i="1"/>
  <c r="S36" i="1"/>
  <c r="J36" i="1"/>
  <c r="F36" i="1"/>
  <c r="E36" i="1"/>
  <c r="D36" i="1"/>
  <c r="B36" i="1"/>
  <c r="A36" i="1"/>
  <c r="Q35" i="1"/>
  <c r="P35" i="1"/>
  <c r="J35" i="1"/>
  <c r="F35" i="1"/>
  <c r="E35" i="1"/>
  <c r="D35" i="1"/>
  <c r="C35" i="1"/>
  <c r="B35" i="1"/>
  <c r="S35" i="1"/>
  <c r="A35" i="1"/>
  <c r="S34" i="1"/>
  <c r="Q34" i="1"/>
  <c r="P34" i="1"/>
  <c r="J34" i="1"/>
  <c r="F34" i="1"/>
  <c r="E34" i="1"/>
  <c r="D34" i="1"/>
  <c r="B34" i="1"/>
  <c r="A34" i="1"/>
  <c r="Q33" i="1"/>
  <c r="P33" i="1"/>
  <c r="S33" i="1"/>
  <c r="J33" i="1"/>
  <c r="F33" i="1"/>
  <c r="E33" i="1"/>
  <c r="D33" i="1"/>
  <c r="B33" i="1"/>
  <c r="A33" i="1"/>
  <c r="Q32" i="1"/>
  <c r="P32" i="1"/>
  <c r="J32" i="1"/>
  <c r="F32" i="1"/>
  <c r="E32" i="1"/>
  <c r="D32" i="1"/>
  <c r="G32" i="1"/>
  <c r="B32" i="1"/>
  <c r="S32" i="1"/>
  <c r="A32" i="1"/>
  <c r="Q31" i="1"/>
  <c r="P31" i="1"/>
  <c r="S31" i="1"/>
  <c r="J31" i="1"/>
  <c r="F31" i="1"/>
  <c r="E31" i="1"/>
  <c r="D31" i="1"/>
  <c r="B31" i="1"/>
  <c r="A31" i="1"/>
  <c r="F27" i="1"/>
  <c r="F26" i="1"/>
  <c r="L22" i="1"/>
  <c r="L22" i="3"/>
  <c r="F22" i="1"/>
  <c r="M21" i="1"/>
  <c r="M21" i="3"/>
  <c r="N21" i="3"/>
  <c r="F21" i="1"/>
  <c r="M18" i="1"/>
  <c r="M18" i="3"/>
  <c r="N18" i="3"/>
  <c r="F18" i="1"/>
  <c r="F18" i="5"/>
  <c r="M17" i="1"/>
  <c r="M17" i="3"/>
  <c r="N17" i="3"/>
  <c r="F17" i="1"/>
  <c r="M16" i="1"/>
  <c r="M16" i="3"/>
  <c r="N16" i="3"/>
  <c r="F16" i="1"/>
  <c r="M15" i="1"/>
  <c r="N15" i="1"/>
  <c r="F15" i="1"/>
  <c r="M14" i="1"/>
  <c r="M14" i="3"/>
  <c r="N14" i="3"/>
  <c r="F14" i="1"/>
  <c r="H12" i="1"/>
  <c r="D5" i="1"/>
  <c r="C371" i="1"/>
  <c r="G295" i="1"/>
  <c r="G298" i="1"/>
  <c r="G301" i="1"/>
  <c r="G304" i="1"/>
  <c r="G327" i="1"/>
  <c r="G409" i="1"/>
  <c r="G422" i="1"/>
  <c r="G429" i="1"/>
  <c r="G37" i="3"/>
  <c r="G40" i="3"/>
  <c r="G60" i="3"/>
  <c r="G331" i="1"/>
  <c r="G334" i="1"/>
  <c r="G265" i="1"/>
  <c r="G292" i="1"/>
  <c r="G115" i="1"/>
  <c r="G148" i="1"/>
  <c r="G155" i="1"/>
  <c r="G190" i="1"/>
  <c r="G200" i="1"/>
  <c r="G215" i="1"/>
  <c r="G259" i="1"/>
  <c r="G344" i="1"/>
  <c r="G365" i="1"/>
  <c r="G378" i="1"/>
  <c r="G397" i="1"/>
  <c r="G400" i="1"/>
  <c r="G430" i="1"/>
  <c r="G433" i="1"/>
  <c r="G436" i="1"/>
  <c r="G35" i="3"/>
  <c r="G38" i="3"/>
  <c r="G41" i="3"/>
  <c r="G43" i="5"/>
  <c r="G53" i="5"/>
  <c r="G63" i="5"/>
  <c r="G151" i="1"/>
  <c r="G36" i="1"/>
  <c r="G76" i="1"/>
  <c r="G97" i="1"/>
  <c r="G121" i="1"/>
  <c r="G136" i="1"/>
  <c r="G154" i="1"/>
  <c r="G164" i="1"/>
  <c r="G182" i="1"/>
  <c r="G192" i="1"/>
  <c r="G199" i="1"/>
  <c r="G209" i="1"/>
  <c r="G213" i="1"/>
  <c r="G233" i="1"/>
  <c r="G244" i="1"/>
  <c r="G251" i="1"/>
  <c r="G268" i="1"/>
  <c r="G285" i="1"/>
  <c r="G314" i="1"/>
  <c r="G337" i="1"/>
  <c r="G361" i="1"/>
  <c r="G371" i="1"/>
  <c r="H371" i="1"/>
  <c r="G374" i="1"/>
  <c r="G416" i="1"/>
  <c r="G391" i="1"/>
  <c r="G408" i="1"/>
  <c r="G454" i="1"/>
  <c r="G328" i="1"/>
  <c r="G341" i="1"/>
  <c r="G362" i="1"/>
  <c r="G372" i="1"/>
  <c r="G375" i="1"/>
  <c r="G404" i="1"/>
  <c r="G428" i="1"/>
  <c r="G431" i="1"/>
  <c r="G434" i="1"/>
  <c r="G36" i="3"/>
  <c r="G59" i="3"/>
  <c r="G83" i="1"/>
  <c r="G107" i="1"/>
  <c r="G139" i="1"/>
  <c r="G195" i="1"/>
  <c r="G222" i="1"/>
  <c r="G254" i="1"/>
  <c r="G324" i="1"/>
  <c r="G390" i="1"/>
  <c r="G50" i="5"/>
  <c r="G69" i="1"/>
  <c r="G110" i="1"/>
  <c r="G157" i="1"/>
  <c r="G281" i="1"/>
  <c r="G440" i="1"/>
  <c r="G75" i="1"/>
  <c r="G120" i="1"/>
  <c r="G135" i="1"/>
  <c r="G160" i="1"/>
  <c r="G188" i="1"/>
  <c r="G232" i="1"/>
  <c r="G284" i="1"/>
  <c r="G291" i="1"/>
  <c r="G353" i="1"/>
  <c r="G456" i="1"/>
  <c r="G457" i="1"/>
  <c r="G44" i="3"/>
  <c r="G170" i="1"/>
  <c r="G35" i="1"/>
  <c r="H35" i="1"/>
  <c r="G55" i="1"/>
  <c r="G78" i="1"/>
  <c r="G103" i="1"/>
  <c r="G177" i="1"/>
  <c r="G191" i="1"/>
  <c r="G221" i="1"/>
  <c r="G250" i="1"/>
  <c r="G260" i="1"/>
  <c r="G270" i="1"/>
  <c r="G294" i="1"/>
  <c r="G310" i="1"/>
  <c r="G333" i="1"/>
  <c r="G343" i="1"/>
  <c r="G364" i="1"/>
  <c r="G377" i="1"/>
  <c r="G393" i="1"/>
  <c r="G424" i="1"/>
  <c r="G444" i="1"/>
  <c r="G450" i="1"/>
  <c r="G42" i="3"/>
  <c r="G52" i="3"/>
  <c r="G55" i="3"/>
  <c r="G62" i="3"/>
  <c r="G51" i="5"/>
  <c r="G54" i="5"/>
  <c r="G64" i="5"/>
  <c r="G68" i="5"/>
  <c r="G38" i="1"/>
  <c r="H38" i="1"/>
  <c r="L38" i="1"/>
  <c r="G48" i="1"/>
  <c r="H48" i="1"/>
  <c r="G86" i="1"/>
  <c r="G99" i="1"/>
  <c r="G106" i="1"/>
  <c r="G116" i="1"/>
  <c r="G131" i="1"/>
  <c r="G149" i="1"/>
  <c r="G184" i="1"/>
  <c r="G194" i="1"/>
  <c r="G211" i="1"/>
  <c r="G217" i="1"/>
  <c r="G246" i="1"/>
  <c r="G253" i="1"/>
  <c r="G287" i="1"/>
  <c r="G297" i="1"/>
  <c r="G300" i="1"/>
  <c r="G303" i="1"/>
  <c r="G336" i="1"/>
  <c r="G346" i="1"/>
  <c r="G357" i="1"/>
  <c r="G458" i="1"/>
  <c r="G461" i="1"/>
  <c r="G464" i="1"/>
  <c r="G45" i="3"/>
  <c r="G65" i="3"/>
  <c r="G47" i="5"/>
  <c r="G34" i="1"/>
  <c r="G41" i="1"/>
  <c r="G51" i="1"/>
  <c r="G64" i="1"/>
  <c r="G68" i="1"/>
  <c r="G71" i="1"/>
  <c r="G85" i="1"/>
  <c r="G90" i="1"/>
  <c r="G95" i="1"/>
  <c r="H95" i="1"/>
  <c r="G109" i="1"/>
  <c r="G119" i="1"/>
  <c r="G145" i="1"/>
  <c r="G166" i="1"/>
  <c r="G173" i="1"/>
  <c r="G224" i="1"/>
  <c r="G242" i="1"/>
  <c r="G256" i="1"/>
  <c r="G280" i="1"/>
  <c r="G313" i="1"/>
  <c r="G316" i="1"/>
  <c r="G323" i="1"/>
  <c r="G339" i="1"/>
  <c r="G367" i="1"/>
  <c r="G370" i="1"/>
  <c r="G383" i="1"/>
  <c r="G399" i="1"/>
  <c r="G402" i="1"/>
  <c r="G427" i="1"/>
  <c r="G453" i="1"/>
  <c r="G32" i="3"/>
  <c r="G48" i="3"/>
  <c r="G58" i="3"/>
  <c r="G37" i="5"/>
  <c r="G57" i="5"/>
  <c r="G60" i="5"/>
  <c r="G67" i="5"/>
  <c r="G37" i="1"/>
  <c r="G58" i="1"/>
  <c r="G77" i="1"/>
  <c r="G122" i="1"/>
  <c r="G137" i="1"/>
  <c r="G169" i="1"/>
  <c r="G220" i="1"/>
  <c r="G269" i="1"/>
  <c r="G363" i="1"/>
  <c r="G376" i="1"/>
  <c r="G54" i="3"/>
  <c r="G50" i="1"/>
  <c r="G81" i="1"/>
  <c r="G84" i="1"/>
  <c r="G140" i="1"/>
  <c r="G179" i="1"/>
  <c r="G193" i="1"/>
  <c r="H193" i="1"/>
  <c r="T193" i="1"/>
  <c r="G214" i="1"/>
  <c r="G230" i="1"/>
  <c r="G255" i="1"/>
  <c r="G272" i="1"/>
  <c r="G286" i="1"/>
  <c r="G302" i="1"/>
  <c r="G322" i="1"/>
  <c r="G335" i="1"/>
  <c r="G345" i="1"/>
  <c r="G366" i="1"/>
  <c r="G379" i="1"/>
  <c r="G395" i="1"/>
  <c r="G412" i="1"/>
  <c r="G419" i="1"/>
  <c r="G460" i="1"/>
  <c r="G463" i="1"/>
  <c r="G57" i="3"/>
  <c r="G64" i="3"/>
  <c r="G46" i="5"/>
  <c r="G33" i="1"/>
  <c r="G40" i="1"/>
  <c r="G43" i="1"/>
  <c r="G67" i="1"/>
  <c r="G80" i="1"/>
  <c r="G89" i="1"/>
  <c r="G101" i="1"/>
  <c r="G111" i="1"/>
  <c r="G118" i="1"/>
  <c r="G125" i="1"/>
  <c r="G133" i="1"/>
  <c r="H133" i="1"/>
  <c r="T133" i="1"/>
  <c r="G172" i="1"/>
  <c r="G186" i="1"/>
  <c r="G223" i="1"/>
  <c r="G237" i="1"/>
  <c r="G241" i="1"/>
  <c r="G248" i="1"/>
  <c r="G262" i="1"/>
  <c r="G282" i="1"/>
  <c r="G315" i="1"/>
  <c r="G318" i="1"/>
  <c r="G325" i="1"/>
  <c r="G338" i="1"/>
  <c r="G348" i="1"/>
  <c r="G355" i="1"/>
  <c r="G359" i="1"/>
  <c r="G369" i="1"/>
  <c r="G382" i="1"/>
  <c r="G385" i="1"/>
  <c r="G401" i="1"/>
  <c r="G415" i="1"/>
  <c r="G439" i="1"/>
  <c r="G70" i="5"/>
  <c r="C176" i="1"/>
  <c r="C263" i="1"/>
  <c r="C158" i="1"/>
  <c r="C193" i="1"/>
  <c r="C54" i="1"/>
  <c r="C283" i="1"/>
  <c r="C112" i="1"/>
  <c r="H112" i="1"/>
  <c r="C182" i="1"/>
  <c r="C36" i="1"/>
  <c r="C53" i="1"/>
  <c r="H53" i="1"/>
  <c r="I53" i="1"/>
  <c r="K53" i="1"/>
  <c r="C145" i="1"/>
  <c r="C199" i="1"/>
  <c r="C133" i="1"/>
  <c r="C144" i="1"/>
  <c r="C159" i="1"/>
  <c r="C308" i="1"/>
  <c r="G210" i="1"/>
  <c r="G102" i="1"/>
  <c r="G138" i="1"/>
  <c r="G150" i="1"/>
  <c r="G278" i="1"/>
  <c r="G243" i="1"/>
  <c r="G261" i="1"/>
  <c r="G420" i="1"/>
  <c r="G82" i="1"/>
  <c r="G447" i="1"/>
  <c r="G208" i="1"/>
  <c r="G360" i="1"/>
  <c r="G231" i="1"/>
  <c r="G98" i="1"/>
  <c r="G70" i="1"/>
  <c r="G94" i="1"/>
  <c r="G44" i="5"/>
  <c r="G183" i="1"/>
  <c r="G92" i="1"/>
  <c r="H92" i="1"/>
  <c r="G142" i="1"/>
  <c r="G258" i="1"/>
  <c r="G206" i="1"/>
  <c r="G405" i="1"/>
  <c r="G108" i="1"/>
  <c r="G39" i="1"/>
  <c r="H51" i="1"/>
  <c r="L51" i="1"/>
  <c r="G279" i="1"/>
  <c r="G129" i="1"/>
  <c r="G44" i="1"/>
  <c r="G130" i="1"/>
  <c r="G146" i="1"/>
  <c r="G158" i="1"/>
  <c r="H158" i="1"/>
  <c r="G105" i="1"/>
  <c r="G398" i="1"/>
  <c r="G153" i="1"/>
  <c r="G93" i="1"/>
  <c r="G132" i="1"/>
  <c r="G202" i="1"/>
  <c r="G245" i="1"/>
  <c r="G435" i="1"/>
  <c r="G465" i="1"/>
  <c r="G88" i="1"/>
  <c r="G198" i="1"/>
  <c r="G56" i="5"/>
  <c r="G168" i="1"/>
  <c r="G51" i="3"/>
  <c r="G62" i="1"/>
  <c r="G91" i="1"/>
  <c r="G96" i="1"/>
  <c r="G114" i="1"/>
  <c r="G201" i="1"/>
  <c r="K214" i="1"/>
  <c r="G263" i="1"/>
  <c r="G234" i="1"/>
  <c r="G432" i="1"/>
  <c r="G165" i="1"/>
  <c r="G128" i="1"/>
  <c r="G252" i="1"/>
  <c r="G47" i="3"/>
  <c r="G180" i="1"/>
  <c r="G204" i="1"/>
  <c r="G240" i="1"/>
  <c r="G141" i="1"/>
  <c r="G161" i="1"/>
  <c r="G340" i="1"/>
  <c r="G156" i="1"/>
  <c r="G57" i="1"/>
  <c r="K58" i="1"/>
  <c r="G126" i="1"/>
  <c r="G147" i="1"/>
  <c r="G159" i="1"/>
  <c r="G196" i="1"/>
  <c r="G288" i="1"/>
  <c r="G257" i="1"/>
  <c r="G79" i="1"/>
  <c r="G275" i="1"/>
  <c r="G104" i="1"/>
  <c r="G144" i="1"/>
  <c r="G33" i="3"/>
  <c r="G31" i="1"/>
  <c r="G212" i="1"/>
  <c r="H218" i="1"/>
  <c r="I218" i="1"/>
  <c r="K218" i="1"/>
  <c r="G273" i="1"/>
  <c r="G414" i="1"/>
  <c r="G437" i="1"/>
  <c r="G62" i="5"/>
  <c r="F22" i="3"/>
  <c r="F22" i="5"/>
  <c r="F16" i="5"/>
  <c r="F16" i="3"/>
  <c r="S106" i="1"/>
  <c r="C64" i="1"/>
  <c r="S43" i="1"/>
  <c r="C56" i="1"/>
  <c r="H56" i="1"/>
  <c r="S154" i="1"/>
  <c r="C281" i="1"/>
  <c r="C43" i="1"/>
  <c r="C122" i="1"/>
  <c r="C206" i="1"/>
  <c r="B8" i="1"/>
  <c r="C98" i="1"/>
  <c r="C101" i="1"/>
  <c r="C59" i="1"/>
  <c r="H59" i="1"/>
  <c r="S118" i="1"/>
  <c r="C121" i="1"/>
  <c r="H121" i="1"/>
  <c r="C165" i="1"/>
  <c r="C195" i="1"/>
  <c r="C233" i="1"/>
  <c r="H54" i="1"/>
  <c r="H176" i="1"/>
  <c r="D5" i="5"/>
  <c r="C460" i="1"/>
  <c r="C455" i="1"/>
  <c r="C442" i="1"/>
  <c r="H442" i="1"/>
  <c r="C437" i="1"/>
  <c r="C424" i="1"/>
  <c r="C419" i="1"/>
  <c r="H419" i="1"/>
  <c r="C406" i="1"/>
  <c r="H406" i="1"/>
  <c r="C401" i="1"/>
  <c r="C388" i="1"/>
  <c r="H388" i="1"/>
  <c r="C383" i="1"/>
  <c r="C370" i="1"/>
  <c r="C365" i="1"/>
  <c r="C352" i="1"/>
  <c r="H352" i="1"/>
  <c r="C347" i="1"/>
  <c r="H347" i="1"/>
  <c r="C454" i="1"/>
  <c r="H454" i="1"/>
  <c r="C452" i="1"/>
  <c r="H452" i="1"/>
  <c r="C439" i="1"/>
  <c r="C426" i="1"/>
  <c r="C422" i="1"/>
  <c r="H422" i="1"/>
  <c r="C407" i="1"/>
  <c r="C392" i="1"/>
  <c r="H392" i="1"/>
  <c r="C377" i="1"/>
  <c r="C375" i="1"/>
  <c r="C345" i="1"/>
  <c r="C337" i="1"/>
  <c r="C334" i="1"/>
  <c r="H334" i="1"/>
  <c r="C331" i="1"/>
  <c r="C328" i="1"/>
  <c r="H328" i="1"/>
  <c r="C325" i="1"/>
  <c r="C322" i="1"/>
  <c r="C319" i="1"/>
  <c r="C316" i="1"/>
  <c r="C313" i="1"/>
  <c r="C310" i="1"/>
  <c r="C307" i="1"/>
  <c r="H307" i="1"/>
  <c r="C304" i="1"/>
  <c r="H304" i="1"/>
  <c r="C301" i="1"/>
  <c r="H301" i="1"/>
  <c r="C298" i="1"/>
  <c r="H298" i="1"/>
  <c r="C295" i="1"/>
  <c r="H295" i="1"/>
  <c r="C292" i="1"/>
  <c r="H292" i="1"/>
  <c r="C289" i="1"/>
  <c r="C465" i="1"/>
  <c r="C435" i="1"/>
  <c r="C420" i="1"/>
  <c r="C409" i="1"/>
  <c r="C405" i="1"/>
  <c r="C360" i="1"/>
  <c r="C358" i="1"/>
  <c r="H358" i="1"/>
  <c r="C464" i="1"/>
  <c r="C453" i="1"/>
  <c r="H453" i="1"/>
  <c r="C446" i="1"/>
  <c r="H446" i="1"/>
  <c r="C431" i="1"/>
  <c r="C461" i="1"/>
  <c r="H461" i="1"/>
  <c r="C458" i="1"/>
  <c r="H458" i="1"/>
  <c r="C443" i="1"/>
  <c r="C440" i="1"/>
  <c r="H440" i="1"/>
  <c r="C444" i="1"/>
  <c r="C427" i="1"/>
  <c r="C373" i="1"/>
  <c r="H373" i="1"/>
  <c r="C367" i="1"/>
  <c r="C364" i="1"/>
  <c r="C357" i="1"/>
  <c r="H357" i="1"/>
  <c r="C355" i="1"/>
  <c r="C340" i="1"/>
  <c r="C338" i="1"/>
  <c r="H338" i="1"/>
  <c r="C321" i="1"/>
  <c r="H321" i="1"/>
  <c r="C462" i="1"/>
  <c r="H462" i="1"/>
  <c r="C447" i="1"/>
  <c r="C430" i="1"/>
  <c r="H430" i="1"/>
  <c r="C398" i="1"/>
  <c r="C336" i="1"/>
  <c r="D5" i="3"/>
  <c r="C450" i="1"/>
  <c r="C436" i="1"/>
  <c r="H436" i="1"/>
  <c r="C416" i="1"/>
  <c r="C408" i="1"/>
  <c r="C395" i="1"/>
  <c r="H395" i="1"/>
  <c r="C390" i="1"/>
  <c r="C385" i="1"/>
  <c r="C382" i="1"/>
  <c r="H382" i="1"/>
  <c r="C359" i="1"/>
  <c r="C332" i="1"/>
  <c r="C315" i="1"/>
  <c r="C418" i="1"/>
  <c r="H418" i="1"/>
  <c r="C413" i="1"/>
  <c r="H413" i="1"/>
  <c r="C399" i="1"/>
  <c r="C393" i="1"/>
  <c r="C374" i="1"/>
  <c r="H374" i="1"/>
  <c r="C351" i="1"/>
  <c r="C320" i="1"/>
  <c r="C290" i="1"/>
  <c r="H290" i="1"/>
  <c r="C441" i="1"/>
  <c r="C428" i="1"/>
  <c r="C369" i="1"/>
  <c r="C346" i="1"/>
  <c r="C343" i="1"/>
  <c r="H343" i="1"/>
  <c r="C305" i="1"/>
  <c r="C288" i="1"/>
  <c r="C285" i="1"/>
  <c r="C282" i="1"/>
  <c r="C279" i="1"/>
  <c r="H279" i="1"/>
  <c r="C276" i="1"/>
  <c r="H276" i="1"/>
  <c r="C273" i="1"/>
  <c r="C270" i="1"/>
  <c r="H270" i="1"/>
  <c r="C267" i="1"/>
  <c r="H267" i="1"/>
  <c r="C264" i="1"/>
  <c r="H264" i="1"/>
  <c r="C261" i="1"/>
  <c r="C258" i="1"/>
  <c r="C255" i="1"/>
  <c r="C252" i="1"/>
  <c r="C249" i="1"/>
  <c r="H249" i="1"/>
  <c r="C246" i="1"/>
  <c r="C243" i="1"/>
  <c r="H243" i="1"/>
  <c r="C240" i="1"/>
  <c r="C237" i="1"/>
  <c r="C434" i="1"/>
  <c r="C417" i="1"/>
  <c r="H417" i="1"/>
  <c r="C412" i="1"/>
  <c r="C403" i="1"/>
  <c r="H403" i="1"/>
  <c r="C363" i="1"/>
  <c r="C350" i="1"/>
  <c r="H350" i="1"/>
  <c r="C339" i="1"/>
  <c r="C327" i="1"/>
  <c r="H327" i="1"/>
  <c r="C323" i="1"/>
  <c r="C309" i="1"/>
  <c r="H309" i="1"/>
  <c r="C303" i="1"/>
  <c r="C379" i="1"/>
  <c r="H379" i="1"/>
  <c r="C378" i="1"/>
  <c r="C349" i="1"/>
  <c r="H349" i="1"/>
  <c r="C341" i="1"/>
  <c r="H341" i="1"/>
  <c r="C335" i="1"/>
  <c r="C291" i="1"/>
  <c r="C463" i="1"/>
  <c r="C456" i="1"/>
  <c r="C445" i="1"/>
  <c r="H445" i="1"/>
  <c r="C421" i="1"/>
  <c r="H421" i="1"/>
  <c r="C394" i="1"/>
  <c r="H394" i="1"/>
  <c r="C397" i="1"/>
  <c r="C396" i="1"/>
  <c r="H396" i="1"/>
  <c r="C438" i="1"/>
  <c r="H438" i="1"/>
  <c r="C404" i="1"/>
  <c r="C368" i="1"/>
  <c r="H368" i="1"/>
  <c r="C415" i="1"/>
  <c r="C386" i="1"/>
  <c r="H386" i="1"/>
  <c r="C366" i="1"/>
  <c r="C311" i="1"/>
  <c r="C297" i="1"/>
  <c r="C280" i="1"/>
  <c r="H280" i="1"/>
  <c r="C262" i="1"/>
  <c r="H262" i="1"/>
  <c r="C244" i="1"/>
  <c r="H244" i="1"/>
  <c r="C234" i="1"/>
  <c r="C232" i="1"/>
  <c r="C185" i="1"/>
  <c r="H185" i="1"/>
  <c r="C183" i="1"/>
  <c r="C181" i="1"/>
  <c r="H181" i="1"/>
  <c r="C387" i="1"/>
  <c r="H387" i="1"/>
  <c r="C381" i="1"/>
  <c r="C380" i="1"/>
  <c r="C348" i="1"/>
  <c r="C333" i="1"/>
  <c r="H333" i="1"/>
  <c r="C275" i="1"/>
  <c r="C257" i="1"/>
  <c r="C239" i="1"/>
  <c r="H239" i="1"/>
  <c r="C200" i="1"/>
  <c r="C198" i="1"/>
  <c r="C196" i="1"/>
  <c r="C164" i="1"/>
  <c r="C162" i="1"/>
  <c r="H162" i="1"/>
  <c r="C376" i="1"/>
  <c r="C353" i="1"/>
  <c r="C314" i="1"/>
  <c r="H314" i="1"/>
  <c r="C296" i="1"/>
  <c r="C277" i="1"/>
  <c r="C259" i="1"/>
  <c r="H259" i="1"/>
  <c r="C241" i="1"/>
  <c r="H241" i="1"/>
  <c r="C230" i="1"/>
  <c r="H230" i="1"/>
  <c r="C228" i="1"/>
  <c r="H228" i="1"/>
  <c r="C226" i="1"/>
  <c r="H226" i="1"/>
  <c r="C215" i="1"/>
  <c r="C213" i="1"/>
  <c r="C211" i="1"/>
  <c r="C179" i="1"/>
  <c r="H179" i="1"/>
  <c r="C177" i="1"/>
  <c r="C175" i="1"/>
  <c r="H175" i="1"/>
  <c r="C143" i="1"/>
  <c r="C141" i="1"/>
  <c r="C139" i="1"/>
  <c r="H139" i="1"/>
  <c r="C389" i="1"/>
  <c r="C356" i="1"/>
  <c r="H356" i="1"/>
  <c r="C272" i="1"/>
  <c r="C254" i="1"/>
  <c r="C236" i="1"/>
  <c r="H236" i="1"/>
  <c r="C194" i="1"/>
  <c r="H194" i="1"/>
  <c r="C192" i="1"/>
  <c r="C190" i="1"/>
  <c r="H190" i="1"/>
  <c r="C433" i="1"/>
  <c r="H433" i="1"/>
  <c r="C400" i="1"/>
  <c r="H400" i="1"/>
  <c r="C384" i="1"/>
  <c r="H384" i="1"/>
  <c r="C260" i="1"/>
  <c r="C223" i="1"/>
  <c r="C306" i="1"/>
  <c r="H306" i="1"/>
  <c r="C294" i="1"/>
  <c r="C293" i="1"/>
  <c r="C278" i="1"/>
  <c r="C247" i="1"/>
  <c r="C235" i="1"/>
  <c r="C227" i="1"/>
  <c r="H227" i="1"/>
  <c r="C212" i="1"/>
  <c r="C208" i="1"/>
  <c r="C205" i="1"/>
  <c r="H205" i="1"/>
  <c r="C448" i="1"/>
  <c r="H448" i="1"/>
  <c r="C429" i="1"/>
  <c r="C391" i="1"/>
  <c r="C324" i="1"/>
  <c r="C317" i="1"/>
  <c r="C265" i="1"/>
  <c r="H265" i="1"/>
  <c r="C253" i="1"/>
  <c r="C248" i="1"/>
  <c r="H248" i="1"/>
  <c r="C219" i="1"/>
  <c r="H219" i="1"/>
  <c r="C432" i="1"/>
  <c r="C300" i="1"/>
  <c r="C299" i="1"/>
  <c r="C274" i="1"/>
  <c r="H274" i="1"/>
  <c r="C224" i="1"/>
  <c r="H224" i="1"/>
  <c r="C216" i="1"/>
  <c r="H216" i="1"/>
  <c r="C201" i="1"/>
  <c r="C191" i="1"/>
  <c r="C411" i="1"/>
  <c r="C251" i="1"/>
  <c r="H251" i="1"/>
  <c r="C214" i="1"/>
  <c r="C197" i="1"/>
  <c r="H197" i="1"/>
  <c r="C187" i="1"/>
  <c r="H187" i="1"/>
  <c r="C113" i="1"/>
  <c r="H113" i="1"/>
  <c r="C111" i="1"/>
  <c r="H111" i="1"/>
  <c r="C109" i="1"/>
  <c r="C87" i="1"/>
  <c r="H87" i="1"/>
  <c r="C74" i="1"/>
  <c r="H74" i="1"/>
  <c r="C362" i="1"/>
  <c r="C266" i="1"/>
  <c r="H266" i="1"/>
  <c r="C242" i="1"/>
  <c r="C238" i="1"/>
  <c r="H238" i="1"/>
  <c r="C225" i="1"/>
  <c r="H225" i="1"/>
  <c r="C178" i="1"/>
  <c r="C171" i="1"/>
  <c r="H171" i="1"/>
  <c r="C167" i="1"/>
  <c r="C148" i="1"/>
  <c r="H148" i="1"/>
  <c r="C146" i="1"/>
  <c r="C135" i="1"/>
  <c r="H135" i="1"/>
  <c r="C128" i="1"/>
  <c r="C126" i="1"/>
  <c r="C124" i="1"/>
  <c r="H124" i="1"/>
  <c r="C286" i="1"/>
  <c r="C245" i="1"/>
  <c r="C203" i="1"/>
  <c r="C202" i="1"/>
  <c r="C163" i="1"/>
  <c r="C150" i="1"/>
  <c r="H150" i="1"/>
  <c r="C130" i="1"/>
  <c r="C107" i="1"/>
  <c r="H107" i="1"/>
  <c r="C105" i="1"/>
  <c r="C103" i="1"/>
  <c r="C90" i="1"/>
  <c r="C77" i="1"/>
  <c r="C72" i="1"/>
  <c r="C459" i="1"/>
  <c r="H459" i="1"/>
  <c r="C451" i="1"/>
  <c r="H451" i="1"/>
  <c r="C425" i="1"/>
  <c r="H425" i="1"/>
  <c r="C344" i="1"/>
  <c r="H344" i="1"/>
  <c r="C330" i="1"/>
  <c r="H330" i="1"/>
  <c r="C326" i="1"/>
  <c r="H326" i="1"/>
  <c r="C302" i="1"/>
  <c r="C250" i="1"/>
  <c r="C189" i="1"/>
  <c r="H189" i="1"/>
  <c r="C168" i="1"/>
  <c r="C155" i="1"/>
  <c r="C140" i="1"/>
  <c r="C131" i="1"/>
  <c r="C119" i="1"/>
  <c r="C117" i="1"/>
  <c r="H117" i="1"/>
  <c r="C115" i="1"/>
  <c r="H115" i="1"/>
  <c r="C89" i="1"/>
  <c r="H89" i="1"/>
  <c r="C84" i="1"/>
  <c r="C318" i="1"/>
  <c r="C269" i="1"/>
  <c r="C209" i="1"/>
  <c r="C157" i="1"/>
  <c r="C153" i="1"/>
  <c r="C138" i="1"/>
  <c r="H138" i="1"/>
  <c r="C108" i="1"/>
  <c r="C94" i="1"/>
  <c r="H94" i="1"/>
  <c r="C49" i="1"/>
  <c r="H49" i="1"/>
  <c r="C31" i="1"/>
  <c r="C312" i="1"/>
  <c r="C414" i="1"/>
  <c r="C221" i="1"/>
  <c r="C161" i="1"/>
  <c r="C55" i="1"/>
  <c r="H55" i="1"/>
  <c r="C256" i="1"/>
  <c r="H256" i="1"/>
  <c r="C106" i="1"/>
  <c r="C63" i="1"/>
  <c r="H63" i="1"/>
  <c r="C457" i="1"/>
  <c r="H457" i="1"/>
  <c r="C169" i="1"/>
  <c r="H169" i="1"/>
  <c r="C160" i="1"/>
  <c r="C58" i="1"/>
  <c r="C40" i="1"/>
  <c r="C372" i="1"/>
  <c r="H372" i="1"/>
  <c r="C284" i="1"/>
  <c r="C229" i="1"/>
  <c r="C142" i="1"/>
  <c r="C127" i="1"/>
  <c r="C114" i="1"/>
  <c r="C104" i="1"/>
  <c r="C100" i="1"/>
  <c r="H100" i="1"/>
  <c r="C97" i="1"/>
  <c r="H97" i="1"/>
  <c r="C91" i="1"/>
  <c r="C88" i="1"/>
  <c r="C70" i="1"/>
  <c r="H70" i="1"/>
  <c r="C62" i="1"/>
  <c r="C57" i="1"/>
  <c r="C44" i="1"/>
  <c r="C39" i="1"/>
  <c r="C34" i="1"/>
  <c r="C423" i="1"/>
  <c r="C271" i="1"/>
  <c r="C231" i="1"/>
  <c r="C156" i="1"/>
  <c r="C137" i="1"/>
  <c r="H137" i="1"/>
  <c r="C93" i="1"/>
  <c r="C60" i="1"/>
  <c r="H60" i="1"/>
  <c r="C42" i="1"/>
  <c r="H42" i="1"/>
  <c r="C354" i="1"/>
  <c r="H354" i="1"/>
  <c r="C120" i="1"/>
  <c r="H120" i="1"/>
  <c r="C37" i="1"/>
  <c r="C116" i="1"/>
  <c r="C110" i="1"/>
  <c r="C50" i="1"/>
  <c r="C45" i="1"/>
  <c r="H45" i="1"/>
  <c r="C184" i="1"/>
  <c r="H184" i="1"/>
  <c r="C96" i="1"/>
  <c r="C449" i="1"/>
  <c r="H449" i="1"/>
  <c r="C402" i="1"/>
  <c r="C220" i="1"/>
  <c r="H220" i="1"/>
  <c r="C210" i="1"/>
  <c r="C204" i="1"/>
  <c r="C174" i="1"/>
  <c r="H174" i="1"/>
  <c r="C173" i="1"/>
  <c r="C172" i="1"/>
  <c r="C132" i="1"/>
  <c r="C80" i="1"/>
  <c r="H80" i="1"/>
  <c r="C65" i="1"/>
  <c r="H65" i="1"/>
  <c r="C52" i="1"/>
  <c r="H52" i="1"/>
  <c r="C329" i="1"/>
  <c r="H329" i="1"/>
  <c r="C188" i="1"/>
  <c r="H188" i="1"/>
  <c r="C152" i="1"/>
  <c r="H152" i="1"/>
  <c r="C85" i="1"/>
  <c r="H85" i="1"/>
  <c r="C47" i="1"/>
  <c r="H47" i="1"/>
  <c r="C151" i="1"/>
  <c r="C147" i="1"/>
  <c r="C136" i="1"/>
  <c r="C82" i="1"/>
  <c r="C68" i="1"/>
  <c r="H68" i="1"/>
  <c r="C410" i="1"/>
  <c r="C361" i="1"/>
  <c r="C287" i="1"/>
  <c r="H287" i="1"/>
  <c r="C222" i="1"/>
  <c r="H222" i="1"/>
  <c r="C123" i="1"/>
  <c r="H123" i="1"/>
  <c r="C99" i="1"/>
  <c r="C32" i="1"/>
  <c r="H32" i="1"/>
  <c r="C186" i="1"/>
  <c r="C170" i="1"/>
  <c r="H170" i="1"/>
  <c r="C129" i="1"/>
  <c r="C66" i="1"/>
  <c r="H66" i="1"/>
  <c r="C41" i="1"/>
  <c r="C268" i="1"/>
  <c r="H268" i="1"/>
  <c r="C125" i="1"/>
  <c r="C180" i="1"/>
  <c r="H180" i="1"/>
  <c r="N17" i="1"/>
  <c r="C76" i="1"/>
  <c r="H76" i="1"/>
  <c r="C46" i="1"/>
  <c r="S61" i="1"/>
  <c r="S71" i="1"/>
  <c r="C118" i="1"/>
  <c r="C134" i="1"/>
  <c r="M22" i="1"/>
  <c r="S64" i="1"/>
  <c r="N16" i="1"/>
  <c r="S56" i="1"/>
  <c r="C207" i="1"/>
  <c r="H207" i="1"/>
  <c r="S122" i="1"/>
  <c r="C217" i="1"/>
  <c r="C102" i="1"/>
  <c r="C154" i="1"/>
  <c r="H154" i="1"/>
  <c r="C166" i="1"/>
  <c r="C79" i="1"/>
  <c r="C67" i="1"/>
  <c r="H67" i="1"/>
  <c r="C78" i="1"/>
  <c r="C33" i="1"/>
  <c r="G46" i="1"/>
  <c r="C61" i="1"/>
  <c r="H61" i="1"/>
  <c r="C69" i="1"/>
  <c r="C71" i="1"/>
  <c r="H71" i="1"/>
  <c r="C73" i="1"/>
  <c r="H73" i="1"/>
  <c r="C75" i="1"/>
  <c r="H75" i="1"/>
  <c r="C81" i="1"/>
  <c r="C83" i="1"/>
  <c r="H83" i="1"/>
  <c r="C86" i="1"/>
  <c r="G134" i="1"/>
  <c r="C149" i="1"/>
  <c r="H149" i="1"/>
  <c r="S169" i="1"/>
  <c r="C342" i="1"/>
  <c r="H342" i="1"/>
  <c r="F14" i="5"/>
  <c r="F14" i="3"/>
  <c r="S250" i="1"/>
  <c r="F15" i="5"/>
  <c r="F15" i="3"/>
  <c r="F21" i="5"/>
  <c r="F21" i="3"/>
  <c r="S130" i="1"/>
  <c r="N14" i="1"/>
  <c r="N18" i="1"/>
  <c r="S163" i="1"/>
  <c r="S191" i="1"/>
  <c r="S203" i="1"/>
  <c r="S313" i="1"/>
  <c r="S77" i="1"/>
  <c r="S173" i="1"/>
  <c r="N21" i="1"/>
  <c r="G72" i="1"/>
  <c r="G127" i="1"/>
  <c r="G143" i="1"/>
  <c r="S158" i="1"/>
  <c r="S214" i="1"/>
  <c r="G229" i="1"/>
  <c r="S184" i="1"/>
  <c r="S269" i="1"/>
  <c r="S272" i="1"/>
  <c r="G308" i="1"/>
  <c r="S167" i="1"/>
  <c r="S212" i="1"/>
  <c r="S253" i="1"/>
  <c r="G289" i="1"/>
  <c r="G312" i="1"/>
  <c r="S327" i="1"/>
  <c r="S368" i="1"/>
  <c r="S448" i="1"/>
  <c r="G163" i="1"/>
  <c r="G203" i="1"/>
  <c r="S223" i="1"/>
  <c r="S224" i="1"/>
  <c r="S133" i="1"/>
  <c r="G167" i="1"/>
  <c r="G178" i="1"/>
  <c r="S256" i="1"/>
  <c r="S330" i="1"/>
  <c r="S372" i="1"/>
  <c r="G411" i="1"/>
  <c r="S235" i="1"/>
  <c r="S247" i="1"/>
  <c r="S254" i="1"/>
  <c r="G271" i="1"/>
  <c r="G283" i="1"/>
  <c r="H283" i="1"/>
  <c r="S306" i="1"/>
  <c r="S378" i="1"/>
  <c r="G423" i="1"/>
  <c r="S236" i="1"/>
  <c r="S295" i="1"/>
  <c r="S390" i="1"/>
  <c r="S209" i="1"/>
  <c r="G235" i="1"/>
  <c r="G247" i="1"/>
  <c r="G293" i="1"/>
  <c r="S389" i="1"/>
  <c r="S296" i="1"/>
  <c r="S314" i="1"/>
  <c r="S376" i="1"/>
  <c r="S382" i="1"/>
  <c r="G319" i="1"/>
  <c r="G351" i="1"/>
  <c r="S387" i="1"/>
  <c r="G277" i="1"/>
  <c r="G296" i="1"/>
  <c r="S416" i="1"/>
  <c r="S417" i="1"/>
  <c r="G426" i="1"/>
  <c r="S374" i="1"/>
  <c r="G380" i="1"/>
  <c r="G34" i="3"/>
  <c r="G320" i="1"/>
  <c r="S329" i="1"/>
  <c r="S346" i="1"/>
  <c r="G389" i="1"/>
  <c r="S397" i="1"/>
  <c r="S442" i="1"/>
  <c r="S461" i="1"/>
  <c r="G49" i="3"/>
  <c r="S64" i="3"/>
  <c r="S395" i="1"/>
  <c r="S299" i="1"/>
  <c r="G455" i="1"/>
  <c r="S459" i="1"/>
  <c r="G55" i="5"/>
  <c r="F17" i="3"/>
  <c r="F17" i="5"/>
  <c r="G299" i="1"/>
  <c r="S305" i="1"/>
  <c r="G317" i="1"/>
  <c r="S343" i="1"/>
  <c r="G381" i="1"/>
  <c r="G407" i="1"/>
  <c r="S428" i="1"/>
  <c r="S408" i="1"/>
  <c r="G452" i="1"/>
  <c r="G305" i="1"/>
  <c r="S324" i="1"/>
  <c r="S440" i="1"/>
  <c r="G441" i="1"/>
  <c r="G39" i="3"/>
  <c r="G311" i="1"/>
  <c r="S317" i="1"/>
  <c r="G410" i="1"/>
  <c r="S430" i="1"/>
  <c r="S443" i="1"/>
  <c r="G61" i="3"/>
  <c r="S60" i="5"/>
  <c r="G332" i="1"/>
  <c r="S338" i="1"/>
  <c r="S323" i="1"/>
  <c r="S52" i="3"/>
  <c r="G49" i="5"/>
  <c r="S453" i="1"/>
  <c r="S54" i="5"/>
  <c r="G443" i="1"/>
  <c r="S66" i="3"/>
  <c r="G36" i="5"/>
  <c r="S62" i="3"/>
  <c r="G71" i="5"/>
  <c r="S394" i="1"/>
  <c r="S36" i="5"/>
  <c r="G52" i="5"/>
  <c r="S53" i="3"/>
  <c r="H269" i="1"/>
  <c r="H429" i="1"/>
  <c r="H200" i="1"/>
  <c r="H420" i="1"/>
  <c r="H401" i="1"/>
  <c r="I401" i="1"/>
  <c r="K401" i="1"/>
  <c r="H195" i="1"/>
  <c r="N195" i="1"/>
  <c r="H318" i="1"/>
  <c r="H385" i="1"/>
  <c r="N385" i="1"/>
  <c r="H165" i="1"/>
  <c r="R165" i="1"/>
  <c r="H78" i="1"/>
  <c r="T78" i="1"/>
  <c r="H361" i="1"/>
  <c r="H285" i="1"/>
  <c r="R285" i="1"/>
  <c r="H416" i="1"/>
  <c r="H331" i="1"/>
  <c r="H364" i="1"/>
  <c r="H337" i="1"/>
  <c r="H182" i="1"/>
  <c r="H192" i="1"/>
  <c r="N192" i="1"/>
  <c r="H136" i="1"/>
  <c r="H362" i="1"/>
  <c r="N362" i="1"/>
  <c r="H155" i="1"/>
  <c r="N155" i="1"/>
  <c r="H215" i="1"/>
  <c r="L215" i="1"/>
  <c r="H164" i="1"/>
  <c r="H409" i="1"/>
  <c r="N409" i="1"/>
  <c r="H281" i="1"/>
  <c r="I371" i="1"/>
  <c r="K371" i="1"/>
  <c r="T371" i="1"/>
  <c r="R371" i="1"/>
  <c r="L371" i="1"/>
  <c r="N371" i="1"/>
  <c r="H213" i="1"/>
  <c r="N213" i="1"/>
  <c r="H365" i="1"/>
  <c r="I365" i="1"/>
  <c r="K365" i="1"/>
  <c r="H199" i="1"/>
  <c r="R199" i="1"/>
  <c r="H353" i="1"/>
  <c r="R353" i="1"/>
  <c r="H110" i="1"/>
  <c r="I110" i="1"/>
  <c r="K110" i="1"/>
  <c r="H157" i="1"/>
  <c r="T157" i="1"/>
  <c r="H408" i="1"/>
  <c r="R408" i="1"/>
  <c r="H209" i="1"/>
  <c r="H391" i="1"/>
  <c r="H233" i="1"/>
  <c r="H36" i="1"/>
  <c r="N36" i="1"/>
  <c r="H456" i="1"/>
  <c r="R456" i="1"/>
  <c r="H151" i="1"/>
  <c r="R151" i="1"/>
  <c r="H223" i="1"/>
  <c r="T223" i="1"/>
  <c r="H232" i="1"/>
  <c r="N232" i="1"/>
  <c r="H378" i="1"/>
  <c r="T378" i="1"/>
  <c r="H434" i="1"/>
  <c r="I434" i="1"/>
  <c r="K434" i="1"/>
  <c r="H316" i="1"/>
  <c r="N316" i="1"/>
  <c r="H250" i="1"/>
  <c r="N250" i="1"/>
  <c r="H99" i="1"/>
  <c r="H210" i="1"/>
  <c r="H57" i="1"/>
  <c r="H284" i="1"/>
  <c r="N284" i="1"/>
  <c r="H302" i="1"/>
  <c r="T302" i="1"/>
  <c r="H109" i="1"/>
  <c r="T109" i="1"/>
  <c r="H260" i="1"/>
  <c r="N260" i="1"/>
  <c r="H397" i="1"/>
  <c r="I397" i="1"/>
  <c r="K397" i="1"/>
  <c r="H390" i="1"/>
  <c r="R390" i="1"/>
  <c r="H322" i="1"/>
  <c r="I322" i="1"/>
  <c r="K322" i="1"/>
  <c r="R95" i="1"/>
  <c r="L95" i="1"/>
  <c r="I95" i="1"/>
  <c r="K95" i="1"/>
  <c r="N35" i="1"/>
  <c r="R35" i="1"/>
  <c r="I35" i="1"/>
  <c r="K35" i="1"/>
  <c r="T35" i="1"/>
  <c r="I48" i="1"/>
  <c r="K48" i="1"/>
  <c r="L48" i="1"/>
  <c r="R48" i="1"/>
  <c r="H221" i="1"/>
  <c r="R221" i="1"/>
  <c r="H424" i="1"/>
  <c r="T424" i="1"/>
  <c r="H323" i="1"/>
  <c r="T323" i="1"/>
  <c r="H246" i="1"/>
  <c r="L246" i="1"/>
  <c r="H325" i="1"/>
  <c r="H282" i="1"/>
  <c r="H431" i="1"/>
  <c r="H125" i="1"/>
  <c r="L125" i="1"/>
  <c r="H160" i="1"/>
  <c r="I160" i="1"/>
  <c r="K160" i="1"/>
  <c r="H119" i="1"/>
  <c r="L119" i="1"/>
  <c r="H214" i="1"/>
  <c r="T214" i="1"/>
  <c r="H339" i="1"/>
  <c r="R339" i="1"/>
  <c r="H376" i="1"/>
  <c r="R376" i="1"/>
  <c r="H460" i="1"/>
  <c r="L460" i="1"/>
  <c r="H211" i="1"/>
  <c r="R211" i="1"/>
  <c r="H464" i="1"/>
  <c r="T464" i="1"/>
  <c r="H286" i="1"/>
  <c r="H291" i="1"/>
  <c r="H367" i="1"/>
  <c r="H439" i="1"/>
  <c r="T439" i="1"/>
  <c r="H156" i="1"/>
  <c r="N156" i="1"/>
  <c r="H253" i="1"/>
  <c r="T253" i="1"/>
  <c r="H255" i="1"/>
  <c r="T255" i="1"/>
  <c r="H278" i="1"/>
  <c r="L278" i="1"/>
  <c r="H69" i="1"/>
  <c r="T69" i="1"/>
  <c r="H254" i="1"/>
  <c r="L254" i="1"/>
  <c r="H415" i="1"/>
  <c r="N415" i="1"/>
  <c r="H346" i="1"/>
  <c r="I346" i="1"/>
  <c r="K346" i="1"/>
  <c r="H375" i="1"/>
  <c r="H122" i="1"/>
  <c r="H86" i="1"/>
  <c r="H90" i="1"/>
  <c r="N90" i="1"/>
  <c r="H324" i="1"/>
  <c r="N324" i="1"/>
  <c r="H183" i="1"/>
  <c r="I183" i="1"/>
  <c r="K183" i="1"/>
  <c r="H412" i="1"/>
  <c r="L412" i="1"/>
  <c r="H377" i="1"/>
  <c r="T377" i="1"/>
  <c r="H103" i="1"/>
  <c r="T103" i="1"/>
  <c r="H404" i="1"/>
  <c r="I404" i="1"/>
  <c r="K404" i="1"/>
  <c r="H428" i="1"/>
  <c r="I428" i="1"/>
  <c r="K428" i="1"/>
  <c r="H444" i="1"/>
  <c r="I444" i="1"/>
  <c r="K444" i="1"/>
  <c r="H313" i="1"/>
  <c r="N38" i="1"/>
  <c r="H40" i="1"/>
  <c r="H31" i="1"/>
  <c r="R31" i="1"/>
  <c r="H212" i="1"/>
  <c r="I212" i="1"/>
  <c r="K212" i="1"/>
  <c r="H64" i="1"/>
  <c r="R64" i="1"/>
  <c r="N48" i="1"/>
  <c r="L35" i="1"/>
  <c r="H91" i="1"/>
  <c r="R91" i="1"/>
  <c r="H177" i="1"/>
  <c r="I177" i="1"/>
  <c r="K177" i="1"/>
  <c r="H348" i="1"/>
  <c r="T348" i="1"/>
  <c r="H297" i="1"/>
  <c r="N297" i="1"/>
  <c r="H393" i="1"/>
  <c r="N393" i="1"/>
  <c r="H355" i="1"/>
  <c r="H101" i="1"/>
  <c r="H237" i="1"/>
  <c r="L237" i="1"/>
  <c r="H303" i="1"/>
  <c r="T303" i="1"/>
  <c r="T48" i="1"/>
  <c r="H159" i="1"/>
  <c r="R159" i="1"/>
  <c r="H93" i="1"/>
  <c r="T93" i="1"/>
  <c r="H252" i="1"/>
  <c r="T252" i="1"/>
  <c r="H98" i="1"/>
  <c r="L98" i="1"/>
  <c r="H118" i="1"/>
  <c r="T118" i="1"/>
  <c r="H366" i="1"/>
  <c r="I366" i="1"/>
  <c r="K366" i="1"/>
  <c r="H450" i="1"/>
  <c r="L450" i="1"/>
  <c r="H145" i="1"/>
  <c r="H166" i="1"/>
  <c r="H132" i="1"/>
  <c r="N132" i="1"/>
  <c r="H140" i="1"/>
  <c r="L140" i="1"/>
  <c r="H242" i="1"/>
  <c r="I242" i="1"/>
  <c r="K242" i="1"/>
  <c r="H363" i="1"/>
  <c r="N363" i="1"/>
  <c r="H345" i="1"/>
  <c r="T345" i="1"/>
  <c r="H62" i="1"/>
  <c r="R62" i="1"/>
  <c r="H58" i="1"/>
  <c r="R58" i="1"/>
  <c r="H41" i="1"/>
  <c r="T41" i="1"/>
  <c r="H463" i="1"/>
  <c r="R463" i="1"/>
  <c r="H50" i="1"/>
  <c r="R50" i="1"/>
  <c r="H81" i="1"/>
  <c r="H172" i="1"/>
  <c r="H106" i="1"/>
  <c r="T106" i="1"/>
  <c r="H77" i="1"/>
  <c r="R77" i="1"/>
  <c r="H191" i="1"/>
  <c r="L191" i="1"/>
  <c r="H335" i="1"/>
  <c r="N335" i="1"/>
  <c r="H315" i="1"/>
  <c r="R315" i="1"/>
  <c r="H336" i="1"/>
  <c r="T336" i="1"/>
  <c r="H370" i="1"/>
  <c r="N370" i="1"/>
  <c r="N51" i="1"/>
  <c r="H402" i="1"/>
  <c r="T402" i="1"/>
  <c r="H33" i="1"/>
  <c r="N33" i="1"/>
  <c r="H231" i="1"/>
  <c r="H102" i="1"/>
  <c r="N95" i="1"/>
  <c r="H147" i="1"/>
  <c r="N147" i="1"/>
  <c r="H116" i="1"/>
  <c r="L116" i="1"/>
  <c r="H34" i="1"/>
  <c r="R34" i="1"/>
  <c r="H168" i="1"/>
  <c r="N168" i="1"/>
  <c r="H126" i="1"/>
  <c r="N126" i="1"/>
  <c r="H294" i="1"/>
  <c r="N294" i="1"/>
  <c r="H272" i="1"/>
  <c r="I272" i="1"/>
  <c r="K272" i="1"/>
  <c r="H369" i="1"/>
  <c r="T369" i="1"/>
  <c r="H427" i="1"/>
  <c r="I427" i="1"/>
  <c r="K427" i="1"/>
  <c r="H310" i="1"/>
  <c r="H383" i="1"/>
  <c r="H84" i="1"/>
  <c r="I84" i="1"/>
  <c r="K84" i="1"/>
  <c r="H300" i="1"/>
  <c r="I300" i="1"/>
  <c r="K300" i="1"/>
  <c r="H399" i="1"/>
  <c r="T399" i="1"/>
  <c r="H131" i="1"/>
  <c r="L131" i="1"/>
  <c r="R51" i="1"/>
  <c r="H173" i="1"/>
  <c r="I173" i="1"/>
  <c r="K173" i="1"/>
  <c r="H217" i="1"/>
  <c r="N217" i="1"/>
  <c r="T95" i="1"/>
  <c r="H186" i="1"/>
  <c r="N186" i="1"/>
  <c r="H37" i="1"/>
  <c r="N37" i="1"/>
  <c r="H39" i="1"/>
  <c r="H128" i="1"/>
  <c r="H359" i="1"/>
  <c r="I359" i="1"/>
  <c r="K359" i="1"/>
  <c r="H43" i="1"/>
  <c r="R43" i="1"/>
  <c r="I182" i="1"/>
  <c r="K182" i="1"/>
  <c r="R218" i="1"/>
  <c r="N218" i="1"/>
  <c r="I145" i="1"/>
  <c r="K145" i="1"/>
  <c r="H263" i="1"/>
  <c r="T263" i="1"/>
  <c r="T112" i="1"/>
  <c r="N112" i="1"/>
  <c r="I112" i="1"/>
  <c r="K112" i="1"/>
  <c r="H308" i="1"/>
  <c r="N308" i="1"/>
  <c r="L145" i="1"/>
  <c r="N145" i="1"/>
  <c r="H144" i="1"/>
  <c r="N144" i="1"/>
  <c r="H206" i="1"/>
  <c r="L206" i="1"/>
  <c r="L53" i="1"/>
  <c r="R53" i="1"/>
  <c r="H88" i="1"/>
  <c r="H208" i="1"/>
  <c r="T208" i="1"/>
  <c r="H82" i="1"/>
  <c r="L82" i="1"/>
  <c r="H104" i="1"/>
  <c r="I104" i="1"/>
  <c r="K104" i="1"/>
  <c r="H258" i="1"/>
  <c r="T258" i="1"/>
  <c r="N53" i="1"/>
  <c r="H261" i="1"/>
  <c r="N261" i="1"/>
  <c r="L158" i="1"/>
  <c r="T158" i="1"/>
  <c r="N158" i="1"/>
  <c r="R158" i="1"/>
  <c r="I158" i="1"/>
  <c r="K158" i="1"/>
  <c r="I92" i="1"/>
  <c r="K92" i="1"/>
  <c r="N92" i="1"/>
  <c r="L92" i="1"/>
  <c r="R92" i="1"/>
  <c r="T92" i="1"/>
  <c r="H432" i="1"/>
  <c r="L432" i="1"/>
  <c r="H340" i="1"/>
  <c r="L340" i="1"/>
  <c r="L112" i="1"/>
  <c r="R112" i="1"/>
  <c r="H153" i="1"/>
  <c r="N153" i="1"/>
  <c r="H360" i="1"/>
  <c r="N360" i="1"/>
  <c r="T53" i="1"/>
  <c r="H204" i="1"/>
  <c r="N204" i="1"/>
  <c r="H44" i="1"/>
  <c r="T44" i="1"/>
  <c r="H161" i="1"/>
  <c r="L161" i="1"/>
  <c r="H105" i="1"/>
  <c r="I105" i="1"/>
  <c r="K105" i="1"/>
  <c r="H447" i="1"/>
  <c r="I447" i="1"/>
  <c r="K447" i="1"/>
  <c r="H146" i="1"/>
  <c r="N146" i="1"/>
  <c r="H273" i="1"/>
  <c r="N273" i="1"/>
  <c r="H435" i="1"/>
  <c r="T435" i="1"/>
  <c r="H108" i="1"/>
  <c r="R108" i="1"/>
  <c r="H405" i="1"/>
  <c r="R405" i="1"/>
  <c r="H198" i="1"/>
  <c r="L198" i="1"/>
  <c r="H234" i="1"/>
  <c r="T234" i="1"/>
  <c r="T51" i="1"/>
  <c r="I51" i="1"/>
  <c r="K51" i="1"/>
  <c r="H142" i="1"/>
  <c r="T142" i="1"/>
  <c r="H312" i="1"/>
  <c r="L312" i="1"/>
  <c r="H167" i="1"/>
  <c r="T167" i="1"/>
  <c r="H143" i="1"/>
  <c r="L143" i="1"/>
  <c r="H277" i="1"/>
  <c r="L277" i="1"/>
  <c r="H275" i="1"/>
  <c r="L275" i="1"/>
  <c r="H351" i="1"/>
  <c r="T351" i="1"/>
  <c r="H289" i="1"/>
  <c r="R289" i="1"/>
  <c r="H414" i="1"/>
  <c r="T414" i="1"/>
  <c r="T218" i="1"/>
  <c r="H96" i="1"/>
  <c r="N96" i="1"/>
  <c r="H202" i="1"/>
  <c r="L202" i="1"/>
  <c r="H178" i="1"/>
  <c r="N178" i="1"/>
  <c r="I38" i="1"/>
  <c r="K38" i="1"/>
  <c r="L218" i="1"/>
  <c r="I133" i="1"/>
  <c r="K133" i="1"/>
  <c r="H257" i="1"/>
  <c r="R257" i="1"/>
  <c r="T159" i="1"/>
  <c r="H203" i="1"/>
  <c r="I203" i="1"/>
  <c r="K203" i="1"/>
  <c r="H235" i="1"/>
  <c r="T235" i="1"/>
  <c r="H311" i="1"/>
  <c r="I311" i="1"/>
  <c r="K311" i="1"/>
  <c r="H288" i="1"/>
  <c r="L288" i="1"/>
  <c r="H455" i="1"/>
  <c r="N455" i="1"/>
  <c r="R38" i="1"/>
  <c r="L133" i="1"/>
  <c r="H240" i="1"/>
  <c r="N240" i="1"/>
  <c r="N159" i="1"/>
  <c r="I193" i="1"/>
  <c r="K193" i="1"/>
  <c r="H381" i="1"/>
  <c r="R381" i="1"/>
  <c r="H305" i="1"/>
  <c r="I305" i="1"/>
  <c r="K305" i="1"/>
  <c r="T38" i="1"/>
  <c r="N133" i="1"/>
  <c r="H465" i="1"/>
  <c r="R465" i="1"/>
  <c r="H437" i="1"/>
  <c r="R437" i="1"/>
  <c r="H410" i="1"/>
  <c r="T410" i="1"/>
  <c r="H245" i="1"/>
  <c r="L245" i="1"/>
  <c r="L193" i="1"/>
  <c r="H411" i="1"/>
  <c r="N411" i="1"/>
  <c r="R133" i="1"/>
  <c r="H130" i="1"/>
  <c r="I130" i="1"/>
  <c r="K130" i="1"/>
  <c r="H296" i="1"/>
  <c r="R296" i="1"/>
  <c r="N193" i="1"/>
  <c r="H79" i="1"/>
  <c r="I79" i="1"/>
  <c r="K79" i="1"/>
  <c r="R193" i="1"/>
  <c r="H129" i="1"/>
  <c r="I129" i="1"/>
  <c r="K129" i="1"/>
  <c r="H423" i="1"/>
  <c r="I423" i="1"/>
  <c r="K423" i="1"/>
  <c r="H114" i="1"/>
  <c r="I114" i="1"/>
  <c r="K114" i="1"/>
  <c r="H317" i="1"/>
  <c r="T317" i="1"/>
  <c r="H46" i="1"/>
  <c r="N46" i="1"/>
  <c r="H201" i="1"/>
  <c r="T201" i="1"/>
  <c r="H196" i="1"/>
  <c r="L196" i="1"/>
  <c r="H398" i="1"/>
  <c r="L398" i="1"/>
  <c r="R263" i="1"/>
  <c r="H141" i="1"/>
  <c r="N141" i="1"/>
  <c r="H163" i="1"/>
  <c r="R163" i="1"/>
  <c r="T283" i="1"/>
  <c r="R283" i="1"/>
  <c r="N283" i="1"/>
  <c r="L283" i="1"/>
  <c r="I283" i="1"/>
  <c r="K283" i="1"/>
  <c r="N60" i="1"/>
  <c r="R60" i="1"/>
  <c r="L60" i="1"/>
  <c r="T60" i="1"/>
  <c r="I60" i="1"/>
  <c r="K60" i="1"/>
  <c r="T300" i="1"/>
  <c r="N300" i="1"/>
  <c r="N207" i="1"/>
  <c r="T207" i="1"/>
  <c r="R207" i="1"/>
  <c r="I207" i="1"/>
  <c r="K207" i="1"/>
  <c r="L207" i="1"/>
  <c r="L287" i="1"/>
  <c r="I287" i="1"/>
  <c r="K287" i="1"/>
  <c r="T287" i="1"/>
  <c r="N287" i="1"/>
  <c r="R287" i="1"/>
  <c r="T187" i="1"/>
  <c r="R187" i="1"/>
  <c r="N187" i="1"/>
  <c r="L187" i="1"/>
  <c r="I187" i="1"/>
  <c r="K187" i="1"/>
  <c r="T280" i="1"/>
  <c r="R280" i="1"/>
  <c r="N280" i="1"/>
  <c r="L280" i="1"/>
  <c r="I280" i="1"/>
  <c r="K280" i="1"/>
  <c r="T268" i="1"/>
  <c r="R268" i="1"/>
  <c r="L268" i="1"/>
  <c r="N268" i="1"/>
  <c r="I268" i="1"/>
  <c r="K268" i="1"/>
  <c r="R52" i="1"/>
  <c r="N52" i="1"/>
  <c r="L52" i="1"/>
  <c r="T52" i="1"/>
  <c r="I52" i="1"/>
  <c r="K52" i="1"/>
  <c r="L137" i="1"/>
  <c r="R137" i="1"/>
  <c r="T137" i="1"/>
  <c r="N137" i="1"/>
  <c r="I137" i="1"/>
  <c r="K137" i="1"/>
  <c r="N117" i="1"/>
  <c r="L117" i="1"/>
  <c r="T117" i="1"/>
  <c r="R117" i="1"/>
  <c r="I117" i="1"/>
  <c r="K117" i="1"/>
  <c r="I425" i="1"/>
  <c r="K425" i="1"/>
  <c r="T425" i="1"/>
  <c r="N425" i="1"/>
  <c r="L425" i="1"/>
  <c r="R425" i="1"/>
  <c r="L197" i="1"/>
  <c r="I197" i="1"/>
  <c r="K197" i="1"/>
  <c r="T197" i="1"/>
  <c r="R197" i="1"/>
  <c r="N197" i="1"/>
  <c r="N219" i="1"/>
  <c r="L219" i="1"/>
  <c r="T219" i="1"/>
  <c r="I219" i="1"/>
  <c r="K219" i="1"/>
  <c r="R219" i="1"/>
  <c r="L227" i="1"/>
  <c r="I227" i="1"/>
  <c r="K227" i="1"/>
  <c r="T227" i="1"/>
  <c r="R227" i="1"/>
  <c r="N227" i="1"/>
  <c r="T190" i="1"/>
  <c r="R190" i="1"/>
  <c r="I190" i="1"/>
  <c r="K190" i="1"/>
  <c r="N190" i="1"/>
  <c r="L190" i="1"/>
  <c r="L314" i="1"/>
  <c r="T314" i="1"/>
  <c r="R314" i="1"/>
  <c r="I314" i="1"/>
  <c r="K314" i="1"/>
  <c r="N314" i="1"/>
  <c r="N445" i="1"/>
  <c r="I445" i="1"/>
  <c r="K445" i="1"/>
  <c r="L445" i="1"/>
  <c r="R445" i="1"/>
  <c r="T445" i="1"/>
  <c r="N327" i="1"/>
  <c r="L327" i="1"/>
  <c r="T327" i="1"/>
  <c r="I327" i="1"/>
  <c r="K327" i="1"/>
  <c r="R327" i="1"/>
  <c r="N249" i="1"/>
  <c r="R249" i="1"/>
  <c r="T249" i="1"/>
  <c r="I249" i="1"/>
  <c r="K249" i="1"/>
  <c r="L249" i="1"/>
  <c r="N285" i="1"/>
  <c r="T285" i="1"/>
  <c r="I285" i="1"/>
  <c r="K285" i="1"/>
  <c r="L285" i="1"/>
  <c r="I416" i="1"/>
  <c r="K416" i="1"/>
  <c r="N416" i="1"/>
  <c r="R416" i="1"/>
  <c r="T416" i="1"/>
  <c r="L416" i="1"/>
  <c r="L355" i="1"/>
  <c r="T355" i="1"/>
  <c r="N355" i="1"/>
  <c r="I355" i="1"/>
  <c r="K355" i="1"/>
  <c r="R355" i="1"/>
  <c r="I446" i="1"/>
  <c r="K446" i="1"/>
  <c r="R446" i="1"/>
  <c r="N446" i="1"/>
  <c r="T446" i="1"/>
  <c r="L446" i="1"/>
  <c r="T295" i="1"/>
  <c r="I295" i="1"/>
  <c r="K295" i="1"/>
  <c r="R295" i="1"/>
  <c r="L295" i="1"/>
  <c r="N295" i="1"/>
  <c r="L331" i="1"/>
  <c r="R331" i="1"/>
  <c r="T331" i="1"/>
  <c r="I331" i="1"/>
  <c r="K331" i="1"/>
  <c r="N331" i="1"/>
  <c r="L454" i="1"/>
  <c r="R454" i="1"/>
  <c r="N454" i="1"/>
  <c r="T454" i="1"/>
  <c r="I454" i="1"/>
  <c r="K454" i="1"/>
  <c r="T442" i="1"/>
  <c r="I442" i="1"/>
  <c r="K442" i="1"/>
  <c r="R442" i="1"/>
  <c r="N442" i="1"/>
  <c r="L442" i="1"/>
  <c r="N59" i="1"/>
  <c r="T59" i="1"/>
  <c r="I59" i="1"/>
  <c r="K59" i="1"/>
  <c r="L59" i="1"/>
  <c r="R59" i="1"/>
  <c r="L56" i="1"/>
  <c r="T56" i="1"/>
  <c r="R56" i="1"/>
  <c r="I56" i="1"/>
  <c r="K56" i="1"/>
  <c r="N56" i="1"/>
  <c r="R80" i="1"/>
  <c r="T80" i="1"/>
  <c r="T457" i="1"/>
  <c r="I457" i="1"/>
  <c r="K457" i="1"/>
  <c r="R457" i="1"/>
  <c r="L457" i="1"/>
  <c r="N457" i="1"/>
  <c r="T459" i="1"/>
  <c r="N459" i="1"/>
  <c r="L459" i="1"/>
  <c r="I459" i="1"/>
  <c r="K459" i="1"/>
  <c r="R459" i="1"/>
  <c r="T238" i="1"/>
  <c r="R238" i="1"/>
  <c r="I238" i="1"/>
  <c r="K238" i="1"/>
  <c r="N238" i="1"/>
  <c r="L238" i="1"/>
  <c r="L251" i="1"/>
  <c r="T251" i="1"/>
  <c r="N251" i="1"/>
  <c r="I251" i="1"/>
  <c r="K251" i="1"/>
  <c r="R251" i="1"/>
  <c r="R253" i="1"/>
  <c r="I253" i="1"/>
  <c r="K253" i="1"/>
  <c r="N253" i="1"/>
  <c r="L253" i="1"/>
  <c r="N364" i="1"/>
  <c r="R364" i="1"/>
  <c r="T364" i="1"/>
  <c r="I364" i="1"/>
  <c r="K364" i="1"/>
  <c r="L364" i="1"/>
  <c r="H72" i="1"/>
  <c r="T286" i="1"/>
  <c r="R286" i="1"/>
  <c r="L286" i="1"/>
  <c r="I286" i="1"/>
  <c r="K286" i="1"/>
  <c r="N286" i="1"/>
  <c r="T265" i="1"/>
  <c r="R265" i="1"/>
  <c r="N265" i="1"/>
  <c r="L265" i="1"/>
  <c r="I265" i="1"/>
  <c r="K265" i="1"/>
  <c r="L236" i="1"/>
  <c r="T236" i="1"/>
  <c r="R236" i="1"/>
  <c r="N236" i="1"/>
  <c r="I236" i="1"/>
  <c r="K236" i="1"/>
  <c r="T213" i="1"/>
  <c r="N162" i="1"/>
  <c r="I162" i="1"/>
  <c r="K162" i="1"/>
  <c r="L162" i="1"/>
  <c r="T162" i="1"/>
  <c r="R162" i="1"/>
  <c r="I386" i="1"/>
  <c r="K386" i="1"/>
  <c r="R386" i="1"/>
  <c r="L386" i="1"/>
  <c r="N386" i="1"/>
  <c r="T386" i="1"/>
  <c r="I291" i="1"/>
  <c r="K291" i="1"/>
  <c r="T291" i="1"/>
  <c r="L291" i="1"/>
  <c r="N291" i="1"/>
  <c r="R291" i="1"/>
  <c r="R343" i="1"/>
  <c r="T343" i="1"/>
  <c r="N343" i="1"/>
  <c r="L343" i="1"/>
  <c r="I343" i="1"/>
  <c r="K343" i="1"/>
  <c r="R418" i="1"/>
  <c r="T418" i="1"/>
  <c r="I418" i="1"/>
  <c r="K418" i="1"/>
  <c r="L418" i="1"/>
  <c r="N418" i="1"/>
  <c r="C64" i="3"/>
  <c r="H64" i="3"/>
  <c r="C61" i="3"/>
  <c r="H61" i="3"/>
  <c r="C58" i="3"/>
  <c r="H58" i="3"/>
  <c r="C55" i="3"/>
  <c r="H55" i="3"/>
  <c r="C52" i="3"/>
  <c r="H52" i="3"/>
  <c r="C63" i="3"/>
  <c r="H63" i="3"/>
  <c r="C47" i="3"/>
  <c r="H47" i="3"/>
  <c r="C34" i="3"/>
  <c r="H34" i="3"/>
  <c r="C42" i="3"/>
  <c r="H42" i="3"/>
  <c r="C66" i="3"/>
  <c r="H66" i="3"/>
  <c r="C62" i="3"/>
  <c r="H62" i="3"/>
  <c r="C51" i="3"/>
  <c r="H51" i="3"/>
  <c r="C49" i="3"/>
  <c r="H49" i="3"/>
  <c r="C40" i="3"/>
  <c r="H40" i="3"/>
  <c r="C33" i="3"/>
  <c r="H33" i="3"/>
  <c r="C60" i="3"/>
  <c r="H60" i="3"/>
  <c r="C44" i="3"/>
  <c r="H44" i="3"/>
  <c r="C41" i="3"/>
  <c r="H41" i="3"/>
  <c r="C50" i="3"/>
  <c r="H50" i="3"/>
  <c r="C37" i="3"/>
  <c r="H37" i="3"/>
  <c r="C54" i="3"/>
  <c r="H54" i="3"/>
  <c r="C32" i="3"/>
  <c r="H32" i="3"/>
  <c r="C43" i="3"/>
  <c r="H43" i="3"/>
  <c r="C38" i="3"/>
  <c r="H38" i="3"/>
  <c r="C39" i="3"/>
  <c r="H39" i="3"/>
  <c r="C57" i="3"/>
  <c r="H57" i="3"/>
  <c r="C48" i="3"/>
  <c r="H48" i="3"/>
  <c r="C35" i="3"/>
  <c r="H35" i="3"/>
  <c r="C59" i="3"/>
  <c r="H59" i="3"/>
  <c r="C46" i="3"/>
  <c r="H46" i="3"/>
  <c r="C45" i="3"/>
  <c r="H45" i="3"/>
  <c r="C53" i="3"/>
  <c r="H53" i="3"/>
  <c r="C65" i="3"/>
  <c r="H65" i="3"/>
  <c r="C36" i="3"/>
  <c r="H36" i="3"/>
  <c r="C56" i="3"/>
  <c r="H56" i="3"/>
  <c r="T367" i="1"/>
  <c r="I367" i="1"/>
  <c r="K367" i="1"/>
  <c r="R367" i="1"/>
  <c r="L367" i="1"/>
  <c r="N367" i="1"/>
  <c r="L358" i="1"/>
  <c r="T358" i="1"/>
  <c r="R358" i="1"/>
  <c r="N358" i="1"/>
  <c r="I358" i="1"/>
  <c r="K358" i="1"/>
  <c r="I304" i="1"/>
  <c r="K304" i="1"/>
  <c r="T304" i="1"/>
  <c r="N304" i="1"/>
  <c r="R304" i="1"/>
  <c r="L304" i="1"/>
  <c r="T365" i="1"/>
  <c r="N365" i="1"/>
  <c r="R365" i="1"/>
  <c r="C66" i="5"/>
  <c r="H66" i="5"/>
  <c r="C61" i="5"/>
  <c r="H61" i="5"/>
  <c r="C48" i="5"/>
  <c r="H48" i="5"/>
  <c r="C43" i="5"/>
  <c r="H43" i="5"/>
  <c r="C68" i="5"/>
  <c r="H68" i="5"/>
  <c r="C64" i="5"/>
  <c r="H64" i="5"/>
  <c r="C51" i="5"/>
  <c r="H51" i="5"/>
  <c r="C47" i="5"/>
  <c r="H47" i="5"/>
  <c r="C57" i="5"/>
  <c r="H57" i="5"/>
  <c r="C50" i="5"/>
  <c r="H50" i="5"/>
  <c r="C39" i="5"/>
  <c r="H39" i="5"/>
  <c r="C59" i="5"/>
  <c r="H59" i="5"/>
  <c r="C52" i="5"/>
  <c r="H52" i="5"/>
  <c r="C41" i="5"/>
  <c r="H41" i="5"/>
  <c r="C69" i="5"/>
  <c r="H69" i="5"/>
  <c r="C63" i="5"/>
  <c r="H63" i="5"/>
  <c r="C54" i="5"/>
  <c r="H54" i="5"/>
  <c r="C44" i="5"/>
  <c r="H44" i="5"/>
  <c r="C40" i="5"/>
  <c r="H40" i="5"/>
  <c r="C58" i="5"/>
  <c r="H58" i="5"/>
  <c r="C36" i="5"/>
  <c r="H36" i="5"/>
  <c r="C70" i="5"/>
  <c r="H70" i="5"/>
  <c r="C62" i="5"/>
  <c r="H62" i="5"/>
  <c r="C60" i="5"/>
  <c r="H60" i="5"/>
  <c r="C49" i="5"/>
  <c r="H49" i="5"/>
  <c r="C55" i="5"/>
  <c r="H55" i="5"/>
  <c r="C65" i="5"/>
  <c r="H65" i="5"/>
  <c r="C56" i="5"/>
  <c r="H56" i="5"/>
  <c r="C71" i="5"/>
  <c r="H71" i="5"/>
  <c r="C42" i="5"/>
  <c r="H42" i="5"/>
  <c r="C67" i="5"/>
  <c r="H67" i="5"/>
  <c r="C53" i="5"/>
  <c r="H53" i="5"/>
  <c r="C45" i="5"/>
  <c r="H45" i="5"/>
  <c r="C37" i="5"/>
  <c r="H37" i="5"/>
  <c r="C38" i="5"/>
  <c r="H38" i="5"/>
  <c r="C46" i="5"/>
  <c r="H46" i="5"/>
  <c r="L64" i="1"/>
  <c r="I64" i="1"/>
  <c r="K64" i="1"/>
  <c r="T64" i="1"/>
  <c r="N64" i="1"/>
  <c r="H134" i="1"/>
  <c r="N180" i="1"/>
  <c r="I180" i="1"/>
  <c r="K180" i="1"/>
  <c r="T180" i="1"/>
  <c r="L180" i="1"/>
  <c r="R180" i="1"/>
  <c r="T151" i="1"/>
  <c r="L151" i="1"/>
  <c r="I151" i="1"/>
  <c r="K151" i="1"/>
  <c r="N151" i="1"/>
  <c r="N174" i="1"/>
  <c r="L174" i="1"/>
  <c r="I174" i="1"/>
  <c r="K174" i="1"/>
  <c r="T174" i="1"/>
  <c r="R174" i="1"/>
  <c r="N39" i="1"/>
  <c r="L39" i="1"/>
  <c r="T39" i="1"/>
  <c r="R39" i="1"/>
  <c r="I39" i="1"/>
  <c r="K39" i="1"/>
  <c r="R55" i="1"/>
  <c r="T55" i="1"/>
  <c r="L209" i="1"/>
  <c r="T209" i="1"/>
  <c r="R209" i="1"/>
  <c r="N209" i="1"/>
  <c r="I209" i="1"/>
  <c r="K209" i="1"/>
  <c r="N189" i="1"/>
  <c r="L189" i="1"/>
  <c r="T189" i="1"/>
  <c r="R189" i="1"/>
  <c r="I189" i="1"/>
  <c r="K189" i="1"/>
  <c r="L128" i="1"/>
  <c r="R128" i="1"/>
  <c r="T128" i="1"/>
  <c r="N128" i="1"/>
  <c r="I128" i="1"/>
  <c r="K128" i="1"/>
  <c r="N74" i="1"/>
  <c r="T74" i="1"/>
  <c r="R74" i="1"/>
  <c r="I74" i="1"/>
  <c r="K74" i="1"/>
  <c r="L74" i="1"/>
  <c r="T216" i="1"/>
  <c r="R216" i="1"/>
  <c r="N391" i="1"/>
  <c r="L391" i="1"/>
  <c r="I391" i="1"/>
  <c r="K391" i="1"/>
  <c r="T391" i="1"/>
  <c r="R391" i="1"/>
  <c r="I306" i="1"/>
  <c r="K306" i="1"/>
  <c r="T306" i="1"/>
  <c r="R306" i="1"/>
  <c r="L306" i="1"/>
  <c r="N306" i="1"/>
  <c r="I356" i="1"/>
  <c r="K356" i="1"/>
  <c r="R356" i="1"/>
  <c r="N356" i="1"/>
  <c r="L356" i="1"/>
  <c r="T356" i="1"/>
  <c r="N228" i="1"/>
  <c r="R228" i="1"/>
  <c r="L228" i="1"/>
  <c r="T228" i="1"/>
  <c r="I228" i="1"/>
  <c r="K228" i="1"/>
  <c r="L185" i="1"/>
  <c r="N185" i="1"/>
  <c r="I185" i="1"/>
  <c r="K185" i="1"/>
  <c r="T185" i="1"/>
  <c r="R185" i="1"/>
  <c r="T349" i="1"/>
  <c r="I349" i="1"/>
  <c r="K349" i="1"/>
  <c r="R349" i="1"/>
  <c r="N349" i="1"/>
  <c r="L349" i="1"/>
  <c r="N417" i="1"/>
  <c r="L417" i="1"/>
  <c r="T417" i="1"/>
  <c r="I417" i="1"/>
  <c r="K417" i="1"/>
  <c r="R417" i="1"/>
  <c r="N267" i="1"/>
  <c r="R267" i="1"/>
  <c r="T267" i="1"/>
  <c r="L267" i="1"/>
  <c r="I267" i="1"/>
  <c r="K267" i="1"/>
  <c r="N359" i="1"/>
  <c r="L430" i="1"/>
  <c r="T430" i="1"/>
  <c r="R430" i="1"/>
  <c r="N430" i="1"/>
  <c r="I430" i="1"/>
  <c r="K430" i="1"/>
  <c r="R409" i="1"/>
  <c r="R313" i="1"/>
  <c r="T313" i="1"/>
  <c r="I313" i="1"/>
  <c r="K313" i="1"/>
  <c r="L313" i="1"/>
  <c r="N313" i="1"/>
  <c r="I392" i="1"/>
  <c r="K392" i="1"/>
  <c r="T392" i="1"/>
  <c r="L392" i="1"/>
  <c r="R392" i="1"/>
  <c r="N392" i="1"/>
  <c r="R388" i="1"/>
  <c r="N388" i="1"/>
  <c r="L388" i="1"/>
  <c r="T388" i="1"/>
  <c r="I388" i="1"/>
  <c r="K388" i="1"/>
  <c r="I36" i="1"/>
  <c r="K36" i="1"/>
  <c r="R36" i="1"/>
  <c r="R342" i="1"/>
  <c r="N342" i="1"/>
  <c r="L342" i="1"/>
  <c r="T342" i="1"/>
  <c r="I342" i="1"/>
  <c r="K342" i="1"/>
  <c r="R61" i="1"/>
  <c r="I61" i="1"/>
  <c r="K61" i="1"/>
  <c r="T61" i="1"/>
  <c r="N61" i="1"/>
  <c r="L61" i="1"/>
  <c r="T32" i="1"/>
  <c r="R32" i="1"/>
  <c r="N32" i="1"/>
  <c r="I32" i="1"/>
  <c r="K32" i="1"/>
  <c r="L32" i="1"/>
  <c r="R47" i="1"/>
  <c r="L47" i="1"/>
  <c r="N47" i="1"/>
  <c r="T47" i="1"/>
  <c r="I47" i="1"/>
  <c r="K47" i="1"/>
  <c r="N120" i="1"/>
  <c r="R120" i="1"/>
  <c r="T120" i="1"/>
  <c r="I120" i="1"/>
  <c r="K120" i="1"/>
  <c r="L120" i="1"/>
  <c r="H229" i="1"/>
  <c r="L269" i="1"/>
  <c r="T269" i="1"/>
  <c r="N269" i="1"/>
  <c r="R269" i="1"/>
  <c r="I269" i="1"/>
  <c r="K269" i="1"/>
  <c r="N135" i="1"/>
  <c r="R135" i="1"/>
  <c r="T135" i="1"/>
  <c r="I135" i="1"/>
  <c r="K135" i="1"/>
  <c r="L135" i="1"/>
  <c r="N87" i="1"/>
  <c r="R87" i="1"/>
  <c r="I87" i="1"/>
  <c r="K87" i="1"/>
  <c r="T87" i="1"/>
  <c r="L87" i="1"/>
  <c r="L224" i="1"/>
  <c r="T224" i="1"/>
  <c r="R224" i="1"/>
  <c r="N224" i="1"/>
  <c r="I224" i="1"/>
  <c r="K224" i="1"/>
  <c r="T429" i="1"/>
  <c r="R429" i="1"/>
  <c r="N429" i="1"/>
  <c r="L429" i="1"/>
  <c r="I429" i="1"/>
  <c r="K429" i="1"/>
  <c r="L223" i="1"/>
  <c r="N223" i="1"/>
  <c r="H389" i="1"/>
  <c r="L230" i="1"/>
  <c r="R230" i="1"/>
  <c r="T230" i="1"/>
  <c r="I230" i="1"/>
  <c r="K230" i="1"/>
  <c r="N230" i="1"/>
  <c r="L200" i="1"/>
  <c r="N200" i="1"/>
  <c r="T200" i="1"/>
  <c r="I200" i="1"/>
  <c r="K200" i="1"/>
  <c r="R200" i="1"/>
  <c r="I438" i="1"/>
  <c r="K438" i="1"/>
  <c r="T438" i="1"/>
  <c r="R438" i="1"/>
  <c r="N438" i="1"/>
  <c r="L438" i="1"/>
  <c r="N270" i="1"/>
  <c r="L270" i="1"/>
  <c r="I270" i="1"/>
  <c r="K270" i="1"/>
  <c r="T270" i="1"/>
  <c r="R270" i="1"/>
  <c r="H441" i="1"/>
  <c r="T382" i="1"/>
  <c r="R382" i="1"/>
  <c r="N382" i="1"/>
  <c r="L382" i="1"/>
  <c r="I382" i="1"/>
  <c r="K382" i="1"/>
  <c r="I440" i="1"/>
  <c r="K440" i="1"/>
  <c r="R440" i="1"/>
  <c r="T440" i="1"/>
  <c r="N440" i="1"/>
  <c r="L440" i="1"/>
  <c r="R420" i="1"/>
  <c r="L420" i="1"/>
  <c r="I420" i="1"/>
  <c r="K420" i="1"/>
  <c r="T420" i="1"/>
  <c r="N420" i="1"/>
  <c r="H407" i="1"/>
  <c r="R401" i="1"/>
  <c r="L401" i="1"/>
  <c r="L233" i="1"/>
  <c r="I233" i="1"/>
  <c r="K233" i="1"/>
  <c r="T233" i="1"/>
  <c r="N233" i="1"/>
  <c r="R233" i="1"/>
  <c r="L122" i="1"/>
  <c r="R122" i="1"/>
  <c r="N122" i="1"/>
  <c r="I122" i="1"/>
  <c r="K122" i="1"/>
  <c r="T122" i="1"/>
  <c r="R67" i="1"/>
  <c r="N67" i="1"/>
  <c r="L67" i="1"/>
  <c r="I67" i="1"/>
  <c r="K67" i="1"/>
  <c r="T67" i="1"/>
  <c r="L329" i="1"/>
  <c r="N329" i="1"/>
  <c r="I329" i="1"/>
  <c r="K329" i="1"/>
  <c r="T329" i="1"/>
  <c r="R329" i="1"/>
  <c r="R88" i="1"/>
  <c r="T88" i="1"/>
  <c r="T115" i="1"/>
  <c r="R115" i="1"/>
  <c r="N115" i="1"/>
  <c r="L115" i="1"/>
  <c r="I115" i="1"/>
  <c r="K115" i="1"/>
  <c r="N344" i="1"/>
  <c r="L344" i="1"/>
  <c r="I344" i="1"/>
  <c r="K344" i="1"/>
  <c r="R344" i="1"/>
  <c r="T344" i="1"/>
  <c r="N171" i="1"/>
  <c r="T171" i="1"/>
  <c r="R171" i="1"/>
  <c r="I171" i="1"/>
  <c r="K171" i="1"/>
  <c r="L171" i="1"/>
  <c r="I433" i="1"/>
  <c r="K433" i="1"/>
  <c r="R433" i="1"/>
  <c r="T433" i="1"/>
  <c r="L433" i="1"/>
  <c r="N433" i="1"/>
  <c r="T175" i="1"/>
  <c r="R175" i="1"/>
  <c r="N175" i="1"/>
  <c r="L175" i="1"/>
  <c r="I175" i="1"/>
  <c r="K175" i="1"/>
  <c r="L333" i="1"/>
  <c r="I333" i="1"/>
  <c r="K333" i="1"/>
  <c r="T333" i="1"/>
  <c r="R333" i="1"/>
  <c r="N333" i="1"/>
  <c r="I421" i="1"/>
  <c r="K421" i="1"/>
  <c r="T421" i="1"/>
  <c r="R421" i="1"/>
  <c r="N421" i="1"/>
  <c r="L421" i="1"/>
  <c r="N323" i="1"/>
  <c r="I374" i="1"/>
  <c r="K374" i="1"/>
  <c r="T374" i="1"/>
  <c r="R374" i="1"/>
  <c r="L374" i="1"/>
  <c r="N374" i="1"/>
  <c r="I431" i="1"/>
  <c r="K431" i="1"/>
  <c r="L431" i="1"/>
  <c r="T431" i="1"/>
  <c r="N431" i="1"/>
  <c r="R431" i="1"/>
  <c r="N292" i="1"/>
  <c r="T292" i="1"/>
  <c r="R292" i="1"/>
  <c r="I292" i="1"/>
  <c r="K292" i="1"/>
  <c r="L292" i="1"/>
  <c r="T328" i="1"/>
  <c r="R328" i="1"/>
  <c r="N328" i="1"/>
  <c r="I328" i="1"/>
  <c r="K328" i="1"/>
  <c r="L328" i="1"/>
  <c r="I452" i="1"/>
  <c r="K452" i="1"/>
  <c r="N452" i="1"/>
  <c r="T452" i="1"/>
  <c r="L452" i="1"/>
  <c r="R452" i="1"/>
  <c r="N54" i="1"/>
  <c r="L54" i="1"/>
  <c r="I54" i="1"/>
  <c r="K54" i="1"/>
  <c r="T54" i="1"/>
  <c r="R54" i="1"/>
  <c r="I83" i="1"/>
  <c r="K83" i="1"/>
  <c r="L83" i="1"/>
  <c r="N83" i="1"/>
  <c r="T83" i="1"/>
  <c r="R83" i="1"/>
  <c r="R65" i="1"/>
  <c r="T65" i="1"/>
  <c r="T156" i="1"/>
  <c r="R156" i="1"/>
  <c r="T97" i="1"/>
  <c r="R97" i="1"/>
  <c r="L97" i="1"/>
  <c r="N97" i="1"/>
  <c r="I97" i="1"/>
  <c r="K97" i="1"/>
  <c r="T94" i="1"/>
  <c r="R94" i="1"/>
  <c r="N94" i="1"/>
  <c r="L94" i="1"/>
  <c r="I94" i="1"/>
  <c r="K94" i="1"/>
  <c r="H380" i="1"/>
  <c r="I436" i="1"/>
  <c r="K436" i="1"/>
  <c r="T436" i="1"/>
  <c r="R436" i="1"/>
  <c r="N436" i="1"/>
  <c r="L436" i="1"/>
  <c r="I357" i="1"/>
  <c r="K357" i="1"/>
  <c r="R357" i="1"/>
  <c r="T357" i="1"/>
  <c r="N357" i="1"/>
  <c r="L357" i="1"/>
  <c r="I453" i="1"/>
  <c r="K453" i="1"/>
  <c r="R453" i="1"/>
  <c r="T453" i="1"/>
  <c r="N453" i="1"/>
  <c r="L453" i="1"/>
  <c r="L298" i="1"/>
  <c r="R298" i="1"/>
  <c r="N298" i="1"/>
  <c r="T298" i="1"/>
  <c r="I298" i="1"/>
  <c r="K298" i="1"/>
  <c r="R334" i="1"/>
  <c r="N334" i="1"/>
  <c r="T334" i="1"/>
  <c r="L334" i="1"/>
  <c r="I334" i="1"/>
  <c r="K334" i="1"/>
  <c r="I347" i="1"/>
  <c r="K347" i="1"/>
  <c r="T347" i="1"/>
  <c r="R347" i="1"/>
  <c r="N347" i="1"/>
  <c r="L347" i="1"/>
  <c r="L455" i="1"/>
  <c r="N81" i="1"/>
  <c r="I81" i="1"/>
  <c r="K81" i="1"/>
  <c r="L81" i="1"/>
  <c r="T81" i="1"/>
  <c r="R81" i="1"/>
  <c r="N231" i="1"/>
  <c r="I231" i="1"/>
  <c r="K231" i="1"/>
  <c r="T231" i="1"/>
  <c r="R231" i="1"/>
  <c r="L231" i="1"/>
  <c r="H247" i="1"/>
  <c r="L194" i="1"/>
  <c r="R194" i="1"/>
  <c r="T194" i="1"/>
  <c r="I194" i="1"/>
  <c r="K194" i="1"/>
  <c r="N194" i="1"/>
  <c r="I350" i="1"/>
  <c r="K350" i="1"/>
  <c r="R350" i="1"/>
  <c r="N350" i="1"/>
  <c r="T350" i="1"/>
  <c r="L350" i="1"/>
  <c r="N255" i="1"/>
  <c r="I413" i="1"/>
  <c r="K413" i="1"/>
  <c r="L413" i="1"/>
  <c r="N413" i="1"/>
  <c r="T413" i="1"/>
  <c r="R413" i="1"/>
  <c r="N464" i="1"/>
  <c r="R301" i="1"/>
  <c r="N301" i="1"/>
  <c r="L301" i="1"/>
  <c r="I301" i="1"/>
  <c r="K301" i="1"/>
  <c r="T301" i="1"/>
  <c r="I337" i="1"/>
  <c r="K337" i="1"/>
  <c r="N337" i="1"/>
  <c r="L337" i="1"/>
  <c r="T337" i="1"/>
  <c r="R337" i="1"/>
  <c r="T352" i="1"/>
  <c r="N352" i="1"/>
  <c r="L352" i="1"/>
  <c r="R352" i="1"/>
  <c r="I352" i="1"/>
  <c r="K352" i="1"/>
  <c r="N75" i="1"/>
  <c r="T75" i="1"/>
  <c r="R75" i="1"/>
  <c r="I75" i="1"/>
  <c r="K75" i="1"/>
  <c r="L75" i="1"/>
  <c r="T166" i="1"/>
  <c r="R166" i="1"/>
  <c r="N166" i="1"/>
  <c r="L166" i="1"/>
  <c r="I166" i="1"/>
  <c r="K166" i="1"/>
  <c r="T132" i="1"/>
  <c r="R132" i="1"/>
  <c r="H271" i="1"/>
  <c r="T63" i="1"/>
  <c r="R63" i="1"/>
  <c r="N138" i="1"/>
  <c r="L138" i="1"/>
  <c r="R138" i="1"/>
  <c r="I138" i="1"/>
  <c r="K138" i="1"/>
  <c r="T138" i="1"/>
  <c r="I140" i="1"/>
  <c r="K140" i="1"/>
  <c r="L242" i="1"/>
  <c r="N242" i="1"/>
  <c r="R242" i="1"/>
  <c r="T242" i="1"/>
  <c r="T387" i="1"/>
  <c r="N387" i="1"/>
  <c r="L387" i="1"/>
  <c r="I387" i="1"/>
  <c r="K387" i="1"/>
  <c r="R387" i="1"/>
  <c r="R73" i="1"/>
  <c r="L73" i="1"/>
  <c r="I73" i="1"/>
  <c r="K73" i="1"/>
  <c r="T73" i="1"/>
  <c r="N73" i="1"/>
  <c r="T154" i="1"/>
  <c r="R154" i="1"/>
  <c r="I154" i="1"/>
  <c r="K154" i="1"/>
  <c r="L154" i="1"/>
  <c r="N154" i="1"/>
  <c r="N110" i="1"/>
  <c r="H293" i="1"/>
  <c r="I415" i="1"/>
  <c r="K415" i="1"/>
  <c r="L170" i="1"/>
  <c r="N170" i="1"/>
  <c r="I170" i="1"/>
  <c r="K170" i="1"/>
  <c r="R170" i="1"/>
  <c r="T170" i="1"/>
  <c r="N116" i="1"/>
  <c r="T256" i="1"/>
  <c r="R256" i="1"/>
  <c r="I256" i="1"/>
  <c r="K256" i="1"/>
  <c r="N256" i="1"/>
  <c r="L256" i="1"/>
  <c r="L90" i="1"/>
  <c r="I362" i="1"/>
  <c r="K362" i="1"/>
  <c r="L362" i="1"/>
  <c r="R362" i="1"/>
  <c r="T362" i="1"/>
  <c r="T226" i="1"/>
  <c r="R226" i="1"/>
  <c r="N226" i="1"/>
  <c r="L226" i="1"/>
  <c r="I226" i="1"/>
  <c r="K226" i="1"/>
  <c r="N183" i="1"/>
  <c r="L183" i="1"/>
  <c r="T183" i="1"/>
  <c r="R183" i="1"/>
  <c r="I368" i="1"/>
  <c r="K368" i="1"/>
  <c r="R368" i="1"/>
  <c r="L368" i="1"/>
  <c r="N368" i="1"/>
  <c r="T368" i="1"/>
  <c r="T412" i="1"/>
  <c r="N264" i="1"/>
  <c r="T264" i="1"/>
  <c r="R264" i="1"/>
  <c r="I264" i="1"/>
  <c r="K264" i="1"/>
  <c r="L264" i="1"/>
  <c r="N99" i="1"/>
  <c r="T99" i="1"/>
  <c r="R99" i="1"/>
  <c r="I99" i="1"/>
  <c r="K99" i="1"/>
  <c r="L99" i="1"/>
  <c r="R85" i="1"/>
  <c r="T85" i="1"/>
  <c r="N210" i="1"/>
  <c r="L210" i="1"/>
  <c r="I210" i="1"/>
  <c r="K210" i="1"/>
  <c r="T210" i="1"/>
  <c r="R210" i="1"/>
  <c r="L354" i="1"/>
  <c r="T354" i="1"/>
  <c r="I354" i="1"/>
  <c r="K354" i="1"/>
  <c r="R354" i="1"/>
  <c r="N354" i="1"/>
  <c r="N57" i="1"/>
  <c r="L57" i="1"/>
  <c r="I57" i="1"/>
  <c r="K57" i="1"/>
  <c r="R57" i="1"/>
  <c r="T57" i="1"/>
  <c r="I284" i="1"/>
  <c r="K284" i="1"/>
  <c r="I318" i="1"/>
  <c r="K318" i="1"/>
  <c r="N318" i="1"/>
  <c r="L318" i="1"/>
  <c r="R318" i="1"/>
  <c r="T318" i="1"/>
  <c r="L302" i="1"/>
  <c r="L107" i="1"/>
  <c r="R107" i="1"/>
  <c r="T107" i="1"/>
  <c r="N107" i="1"/>
  <c r="I107" i="1"/>
  <c r="K107" i="1"/>
  <c r="T274" i="1"/>
  <c r="R274" i="1"/>
  <c r="I274" i="1"/>
  <c r="K274" i="1"/>
  <c r="N274" i="1"/>
  <c r="L274" i="1"/>
  <c r="R448" i="1"/>
  <c r="T448" i="1"/>
  <c r="L448" i="1"/>
  <c r="N448" i="1"/>
  <c r="I448" i="1"/>
  <c r="K448" i="1"/>
  <c r="L260" i="1"/>
  <c r="T260" i="1"/>
  <c r="R260" i="1"/>
  <c r="I260" i="1"/>
  <c r="K260" i="1"/>
  <c r="T139" i="1"/>
  <c r="R139" i="1"/>
  <c r="I139" i="1"/>
  <c r="K139" i="1"/>
  <c r="N139" i="1"/>
  <c r="L139" i="1"/>
  <c r="T241" i="1"/>
  <c r="R241" i="1"/>
  <c r="I241" i="1"/>
  <c r="K241" i="1"/>
  <c r="L241" i="1"/>
  <c r="N241" i="1"/>
  <c r="L239" i="1"/>
  <c r="R239" i="1"/>
  <c r="I239" i="1"/>
  <c r="K239" i="1"/>
  <c r="N239" i="1"/>
  <c r="T239" i="1"/>
  <c r="N396" i="1"/>
  <c r="L396" i="1"/>
  <c r="I396" i="1"/>
  <c r="K396" i="1"/>
  <c r="R396" i="1"/>
  <c r="T396" i="1"/>
  <c r="I379" i="1"/>
  <c r="K379" i="1"/>
  <c r="N379" i="1"/>
  <c r="T379" i="1"/>
  <c r="L379" i="1"/>
  <c r="R379" i="1"/>
  <c r="N237" i="1"/>
  <c r="N290" i="1"/>
  <c r="I290" i="1"/>
  <c r="K290" i="1"/>
  <c r="L290" i="1"/>
  <c r="R290" i="1"/>
  <c r="T290" i="1"/>
  <c r="L385" i="1"/>
  <c r="R385" i="1"/>
  <c r="L462" i="1"/>
  <c r="N462" i="1"/>
  <c r="T462" i="1"/>
  <c r="R462" i="1"/>
  <c r="I462" i="1"/>
  <c r="K462" i="1"/>
  <c r="H443" i="1"/>
  <c r="H319" i="1"/>
  <c r="I422" i="1"/>
  <c r="K422" i="1"/>
  <c r="R422" i="1"/>
  <c r="N422" i="1"/>
  <c r="L422" i="1"/>
  <c r="T422" i="1"/>
  <c r="I406" i="1"/>
  <c r="K406" i="1"/>
  <c r="N406" i="1"/>
  <c r="T406" i="1"/>
  <c r="L406" i="1"/>
  <c r="R406" i="1"/>
  <c r="I195" i="1"/>
  <c r="K195" i="1"/>
  <c r="L195" i="1"/>
  <c r="L149" i="1"/>
  <c r="N149" i="1"/>
  <c r="I149" i="1"/>
  <c r="K149" i="1"/>
  <c r="R149" i="1"/>
  <c r="T149" i="1"/>
  <c r="N222" i="1"/>
  <c r="T222" i="1"/>
  <c r="R222" i="1"/>
  <c r="I222" i="1"/>
  <c r="K222" i="1"/>
  <c r="L222" i="1"/>
  <c r="L188" i="1"/>
  <c r="T188" i="1"/>
  <c r="R188" i="1"/>
  <c r="I188" i="1"/>
  <c r="K188" i="1"/>
  <c r="N188" i="1"/>
  <c r="N402" i="1"/>
  <c r="R70" i="1"/>
  <c r="L70" i="1"/>
  <c r="N70" i="1"/>
  <c r="T70" i="1"/>
  <c r="I70" i="1"/>
  <c r="K70" i="1"/>
  <c r="R40" i="1"/>
  <c r="I40" i="1"/>
  <c r="K40" i="1"/>
  <c r="T40" i="1"/>
  <c r="L40" i="1"/>
  <c r="N40" i="1"/>
  <c r="N89" i="1"/>
  <c r="L89" i="1"/>
  <c r="I89" i="1"/>
  <c r="K89" i="1"/>
  <c r="T89" i="1"/>
  <c r="R89" i="1"/>
  <c r="R330" i="1"/>
  <c r="T330" i="1"/>
  <c r="N330" i="1"/>
  <c r="L330" i="1"/>
  <c r="I330" i="1"/>
  <c r="K330" i="1"/>
  <c r="N150" i="1"/>
  <c r="R150" i="1"/>
  <c r="T150" i="1"/>
  <c r="L150" i="1"/>
  <c r="I150" i="1"/>
  <c r="K150" i="1"/>
  <c r="L113" i="1"/>
  <c r="N113" i="1"/>
  <c r="R113" i="1"/>
  <c r="I113" i="1"/>
  <c r="K113" i="1"/>
  <c r="T113" i="1"/>
  <c r="L400" i="1"/>
  <c r="R400" i="1"/>
  <c r="I400" i="1"/>
  <c r="K400" i="1"/>
  <c r="N400" i="1"/>
  <c r="T400" i="1"/>
  <c r="T262" i="1"/>
  <c r="R262" i="1"/>
  <c r="N262" i="1"/>
  <c r="L262" i="1"/>
  <c r="I262" i="1"/>
  <c r="K262" i="1"/>
  <c r="N394" i="1"/>
  <c r="I394" i="1"/>
  <c r="K394" i="1"/>
  <c r="T394" i="1"/>
  <c r="R394" i="1"/>
  <c r="L394" i="1"/>
  <c r="R309" i="1"/>
  <c r="I309" i="1"/>
  <c r="K309" i="1"/>
  <c r="L309" i="1"/>
  <c r="T309" i="1"/>
  <c r="N309" i="1"/>
  <c r="N243" i="1"/>
  <c r="I243" i="1"/>
  <c r="K243" i="1"/>
  <c r="T243" i="1"/>
  <c r="R243" i="1"/>
  <c r="L243" i="1"/>
  <c r="N279" i="1"/>
  <c r="I279" i="1"/>
  <c r="K279" i="1"/>
  <c r="T279" i="1"/>
  <c r="R279" i="1"/>
  <c r="L279" i="1"/>
  <c r="I395" i="1"/>
  <c r="K395" i="1"/>
  <c r="L395" i="1"/>
  <c r="T395" i="1"/>
  <c r="N395" i="1"/>
  <c r="R395" i="1"/>
  <c r="N338" i="1"/>
  <c r="I338" i="1"/>
  <c r="K338" i="1"/>
  <c r="L338" i="1"/>
  <c r="T338" i="1"/>
  <c r="R338" i="1"/>
  <c r="I461" i="1"/>
  <c r="K461" i="1"/>
  <c r="T461" i="1"/>
  <c r="R461" i="1"/>
  <c r="N461" i="1"/>
  <c r="L461" i="1"/>
  <c r="N325" i="1"/>
  <c r="L325" i="1"/>
  <c r="R325" i="1"/>
  <c r="T325" i="1"/>
  <c r="I325" i="1"/>
  <c r="K325" i="1"/>
  <c r="R439" i="1"/>
  <c r="L176" i="1"/>
  <c r="I176" i="1"/>
  <c r="K176" i="1"/>
  <c r="N176" i="1"/>
  <c r="R176" i="1"/>
  <c r="T176" i="1"/>
  <c r="T121" i="1"/>
  <c r="R121" i="1"/>
  <c r="L121" i="1"/>
  <c r="N121" i="1"/>
  <c r="I121" i="1"/>
  <c r="K121" i="1"/>
  <c r="I449" i="1"/>
  <c r="K449" i="1"/>
  <c r="L449" i="1"/>
  <c r="N449" i="1"/>
  <c r="R449" i="1"/>
  <c r="T449" i="1"/>
  <c r="L31" i="1"/>
  <c r="N31" i="1"/>
  <c r="I31" i="1"/>
  <c r="N282" i="1"/>
  <c r="T282" i="1"/>
  <c r="R282" i="1"/>
  <c r="I282" i="1"/>
  <c r="K282" i="1"/>
  <c r="L282" i="1"/>
  <c r="I86" i="1"/>
  <c r="K86" i="1"/>
  <c r="L86" i="1"/>
  <c r="N86" i="1"/>
  <c r="T86" i="1"/>
  <c r="R86" i="1"/>
  <c r="I361" i="1"/>
  <c r="K361" i="1"/>
  <c r="T361" i="1"/>
  <c r="R361" i="1"/>
  <c r="L361" i="1"/>
  <c r="N361" i="1"/>
  <c r="R96" i="1"/>
  <c r="R49" i="1"/>
  <c r="N49" i="1"/>
  <c r="L49" i="1"/>
  <c r="I49" i="1"/>
  <c r="K49" i="1"/>
  <c r="T49" i="1"/>
  <c r="T184" i="1"/>
  <c r="R184" i="1"/>
  <c r="I184" i="1"/>
  <c r="K184" i="1"/>
  <c r="N184" i="1"/>
  <c r="L184" i="1"/>
  <c r="T169" i="1"/>
  <c r="R169" i="1"/>
  <c r="L169" i="1"/>
  <c r="N169" i="1"/>
  <c r="I169" i="1"/>
  <c r="K169" i="1"/>
  <c r="R119" i="1"/>
  <c r="I451" i="1"/>
  <c r="K451" i="1"/>
  <c r="N451" i="1"/>
  <c r="L451" i="1"/>
  <c r="R451" i="1"/>
  <c r="T451" i="1"/>
  <c r="N225" i="1"/>
  <c r="L225" i="1"/>
  <c r="I225" i="1"/>
  <c r="K225" i="1"/>
  <c r="T225" i="1"/>
  <c r="R225" i="1"/>
  <c r="L248" i="1"/>
  <c r="I248" i="1"/>
  <c r="K248" i="1"/>
  <c r="T248" i="1"/>
  <c r="N248" i="1"/>
  <c r="R248" i="1"/>
  <c r="L192" i="1"/>
  <c r="L179" i="1"/>
  <c r="R179" i="1"/>
  <c r="N179" i="1"/>
  <c r="T179" i="1"/>
  <c r="I179" i="1"/>
  <c r="K179" i="1"/>
  <c r="L101" i="1"/>
  <c r="T101" i="1"/>
  <c r="R101" i="1"/>
  <c r="I101" i="1"/>
  <c r="K101" i="1"/>
  <c r="N101" i="1"/>
  <c r="N22" i="1"/>
  <c r="M22" i="3"/>
  <c r="N22" i="3"/>
  <c r="R76" i="1"/>
  <c r="L76" i="1"/>
  <c r="N76" i="1"/>
  <c r="I76" i="1"/>
  <c r="K76" i="1"/>
  <c r="T76" i="1"/>
  <c r="N68" i="1"/>
  <c r="R68" i="1"/>
  <c r="L68" i="1"/>
  <c r="I68" i="1"/>
  <c r="K68" i="1"/>
  <c r="T68" i="1"/>
  <c r="N45" i="1"/>
  <c r="R45" i="1"/>
  <c r="T45" i="1"/>
  <c r="L45" i="1"/>
  <c r="I45" i="1"/>
  <c r="K45" i="1"/>
  <c r="T100" i="1"/>
  <c r="R100" i="1"/>
  <c r="N100" i="1"/>
  <c r="L100" i="1"/>
  <c r="I100" i="1"/>
  <c r="K100" i="1"/>
  <c r="N66" i="1"/>
  <c r="I66" i="1"/>
  <c r="K66" i="1"/>
  <c r="R66" i="1"/>
  <c r="T66" i="1"/>
  <c r="L66" i="1"/>
  <c r="T136" i="1"/>
  <c r="R136" i="1"/>
  <c r="L136" i="1"/>
  <c r="I136" i="1"/>
  <c r="K136" i="1"/>
  <c r="N136" i="1"/>
  <c r="T172" i="1"/>
  <c r="R172" i="1"/>
  <c r="L172" i="1"/>
  <c r="N172" i="1"/>
  <c r="I172" i="1"/>
  <c r="K172" i="1"/>
  <c r="T114" i="1"/>
  <c r="L106" i="1"/>
  <c r="L155" i="1"/>
  <c r="T155" i="1"/>
  <c r="R155" i="1"/>
  <c r="T124" i="1"/>
  <c r="R124" i="1"/>
  <c r="N124" i="1"/>
  <c r="L124" i="1"/>
  <c r="I124" i="1"/>
  <c r="K124" i="1"/>
  <c r="L266" i="1"/>
  <c r="I266" i="1"/>
  <c r="K266" i="1"/>
  <c r="T266" i="1"/>
  <c r="R266" i="1"/>
  <c r="N266" i="1"/>
  <c r="L164" i="1"/>
  <c r="N164" i="1"/>
  <c r="R164" i="1"/>
  <c r="T164" i="1"/>
  <c r="I164" i="1"/>
  <c r="K164" i="1"/>
  <c r="T181" i="1"/>
  <c r="R181" i="1"/>
  <c r="N181" i="1"/>
  <c r="I181" i="1"/>
  <c r="K181" i="1"/>
  <c r="L181" i="1"/>
  <c r="I335" i="1"/>
  <c r="K335" i="1"/>
  <c r="L335" i="1"/>
  <c r="T335" i="1"/>
  <c r="R403" i="1"/>
  <c r="T403" i="1"/>
  <c r="I403" i="1"/>
  <c r="K403" i="1"/>
  <c r="L403" i="1"/>
  <c r="N403" i="1"/>
  <c r="R373" i="1"/>
  <c r="N373" i="1"/>
  <c r="L373" i="1"/>
  <c r="T373" i="1"/>
  <c r="I373" i="1"/>
  <c r="K373" i="1"/>
  <c r="N307" i="1"/>
  <c r="R307" i="1"/>
  <c r="L307" i="1"/>
  <c r="T307" i="1"/>
  <c r="I307" i="1"/>
  <c r="K307" i="1"/>
  <c r="N375" i="1"/>
  <c r="L375" i="1"/>
  <c r="I375" i="1"/>
  <c r="K375" i="1"/>
  <c r="R375" i="1"/>
  <c r="T375" i="1"/>
  <c r="I71" i="1"/>
  <c r="K71" i="1"/>
  <c r="R71" i="1"/>
  <c r="T71" i="1"/>
  <c r="L71" i="1"/>
  <c r="N71" i="1"/>
  <c r="N102" i="1"/>
  <c r="L102" i="1"/>
  <c r="T102" i="1"/>
  <c r="I102" i="1"/>
  <c r="K102" i="1"/>
  <c r="R102" i="1"/>
  <c r="H127" i="1"/>
  <c r="N341" i="1"/>
  <c r="T341" i="1"/>
  <c r="L341" i="1"/>
  <c r="R341" i="1"/>
  <c r="I341" i="1"/>
  <c r="K341" i="1"/>
  <c r="H332" i="1"/>
  <c r="I405" i="1"/>
  <c r="K405" i="1"/>
  <c r="L310" i="1"/>
  <c r="T310" i="1"/>
  <c r="N310" i="1"/>
  <c r="R310" i="1"/>
  <c r="I310" i="1"/>
  <c r="K310" i="1"/>
  <c r="I383" i="1"/>
  <c r="K383" i="1"/>
  <c r="N383" i="1"/>
  <c r="T383" i="1"/>
  <c r="R383" i="1"/>
  <c r="L383" i="1"/>
  <c r="B8" i="3"/>
  <c r="B8" i="5"/>
  <c r="R125" i="1"/>
  <c r="N123" i="1"/>
  <c r="I123" i="1"/>
  <c r="K123" i="1"/>
  <c r="R123" i="1"/>
  <c r="T123" i="1"/>
  <c r="L123" i="1"/>
  <c r="L152" i="1"/>
  <c r="T152" i="1"/>
  <c r="R152" i="1"/>
  <c r="N152" i="1"/>
  <c r="I152" i="1"/>
  <c r="K152" i="1"/>
  <c r="T220" i="1"/>
  <c r="R220" i="1"/>
  <c r="N220" i="1"/>
  <c r="I220" i="1"/>
  <c r="K220" i="1"/>
  <c r="L220" i="1"/>
  <c r="N42" i="1"/>
  <c r="L42" i="1"/>
  <c r="R42" i="1"/>
  <c r="I42" i="1"/>
  <c r="K42" i="1"/>
  <c r="T42" i="1"/>
  <c r="L372" i="1"/>
  <c r="N372" i="1"/>
  <c r="I372" i="1"/>
  <c r="K372" i="1"/>
  <c r="T372" i="1"/>
  <c r="R372" i="1"/>
  <c r="L414" i="1"/>
  <c r="N84" i="1"/>
  <c r="L84" i="1"/>
  <c r="T84" i="1"/>
  <c r="R84" i="1"/>
  <c r="T326" i="1"/>
  <c r="R326" i="1"/>
  <c r="I326" i="1"/>
  <c r="K326" i="1"/>
  <c r="N326" i="1"/>
  <c r="L326" i="1"/>
  <c r="T148" i="1"/>
  <c r="R148" i="1"/>
  <c r="L148" i="1"/>
  <c r="N148" i="1"/>
  <c r="I148" i="1"/>
  <c r="K148" i="1"/>
  <c r="N111" i="1"/>
  <c r="R111" i="1"/>
  <c r="L111" i="1"/>
  <c r="T111" i="1"/>
  <c r="I111" i="1"/>
  <c r="K111" i="1"/>
  <c r="H299" i="1"/>
  <c r="T205" i="1"/>
  <c r="R205" i="1"/>
  <c r="I205" i="1"/>
  <c r="K205" i="1"/>
  <c r="N205" i="1"/>
  <c r="L205" i="1"/>
  <c r="T384" i="1"/>
  <c r="I384" i="1"/>
  <c r="K384" i="1"/>
  <c r="N384" i="1"/>
  <c r="L384" i="1"/>
  <c r="R384" i="1"/>
  <c r="T259" i="1"/>
  <c r="R259" i="1"/>
  <c r="L259" i="1"/>
  <c r="I259" i="1"/>
  <c r="K259" i="1"/>
  <c r="N259" i="1"/>
  <c r="T244" i="1"/>
  <c r="R244" i="1"/>
  <c r="N244" i="1"/>
  <c r="L244" i="1"/>
  <c r="I244" i="1"/>
  <c r="K244" i="1"/>
  <c r="R303" i="1"/>
  <c r="L303" i="1"/>
  <c r="N303" i="1"/>
  <c r="N276" i="1"/>
  <c r="I276" i="1"/>
  <c r="K276" i="1"/>
  <c r="L276" i="1"/>
  <c r="R276" i="1"/>
  <c r="T276" i="1"/>
  <c r="H320" i="1"/>
  <c r="N321" i="1"/>
  <c r="L321" i="1"/>
  <c r="T321" i="1"/>
  <c r="R321" i="1"/>
  <c r="I321" i="1"/>
  <c r="K321" i="1"/>
  <c r="I458" i="1"/>
  <c r="K458" i="1"/>
  <c r="R458" i="1"/>
  <c r="N458" i="1"/>
  <c r="T458" i="1"/>
  <c r="L458" i="1"/>
  <c r="H426" i="1"/>
  <c r="I419" i="1"/>
  <c r="K419" i="1"/>
  <c r="L419" i="1"/>
  <c r="R419" i="1"/>
  <c r="N419" i="1"/>
  <c r="T419" i="1"/>
  <c r="N165" i="1"/>
  <c r="L281" i="1"/>
  <c r="N281" i="1"/>
  <c r="I281" i="1"/>
  <c r="K281" i="1"/>
  <c r="R281" i="1"/>
  <c r="T281" i="1"/>
  <c r="I215" i="1"/>
  <c r="K215" i="1"/>
  <c r="R192" i="1"/>
  <c r="L165" i="1"/>
  <c r="T77" i="1"/>
  <c r="L212" i="1"/>
  <c r="I78" i="1"/>
  <c r="K78" i="1"/>
  <c r="T195" i="1"/>
  <c r="N302" i="1"/>
  <c r="L324" i="1"/>
  <c r="T456" i="1"/>
  <c r="L156" i="1"/>
  <c r="R160" i="1"/>
  <c r="T165" i="1"/>
  <c r="N77" i="1"/>
  <c r="T31" i="1"/>
  <c r="I439" i="1"/>
  <c r="K439" i="1"/>
  <c r="N78" i="1"/>
  <c r="R195" i="1"/>
  <c r="T385" i="1"/>
  <c r="I302" i="1"/>
  <c r="K302" i="1"/>
  <c r="L284" i="1"/>
  <c r="T324" i="1"/>
  <c r="I156" i="1"/>
  <c r="K156" i="1"/>
  <c r="T36" i="1"/>
  <c r="L409" i="1"/>
  <c r="T160" i="1"/>
  <c r="R300" i="1"/>
  <c r="I303" i="1"/>
  <c r="K303" i="1"/>
  <c r="I155" i="1"/>
  <c r="K155" i="1"/>
  <c r="I192" i="1"/>
  <c r="K192" i="1"/>
  <c r="R140" i="1"/>
  <c r="T401" i="1"/>
  <c r="R232" i="1"/>
  <c r="L36" i="1"/>
  <c r="L300" i="1"/>
  <c r="N199" i="1"/>
  <c r="R335" i="1"/>
  <c r="T192" i="1"/>
  <c r="I412" i="1"/>
  <c r="K412" i="1"/>
  <c r="I34" i="1"/>
  <c r="K34" i="1"/>
  <c r="L415" i="1"/>
  <c r="T140" i="1"/>
  <c r="I132" i="1"/>
  <c r="K132" i="1"/>
  <c r="L255" i="1"/>
  <c r="N401" i="1"/>
  <c r="T232" i="1"/>
  <c r="I223" i="1"/>
  <c r="K223" i="1"/>
  <c r="L365" i="1"/>
  <c r="T199" i="1"/>
  <c r="L199" i="1"/>
  <c r="N215" i="1"/>
  <c r="N140" i="1"/>
  <c r="R378" i="1"/>
  <c r="L397" i="1"/>
  <c r="T215" i="1"/>
  <c r="N43" i="1"/>
  <c r="I237" i="1"/>
  <c r="K237" i="1"/>
  <c r="I221" i="1"/>
  <c r="K221" i="1"/>
  <c r="I90" i="1"/>
  <c r="K90" i="1"/>
  <c r="T147" i="1"/>
  <c r="L132" i="1"/>
  <c r="L378" i="1"/>
  <c r="R223" i="1"/>
  <c r="R359" i="1"/>
  <c r="R278" i="1"/>
  <c r="R377" i="1"/>
  <c r="R147" i="1"/>
  <c r="T125" i="1"/>
  <c r="N106" i="1"/>
  <c r="N125" i="1"/>
  <c r="R215" i="1"/>
  <c r="I77" i="1"/>
  <c r="K77" i="1"/>
  <c r="T353" i="1"/>
  <c r="R212" i="1"/>
  <c r="L439" i="1"/>
  <c r="R78" i="1"/>
  <c r="T43" i="1"/>
  <c r="T237" i="1"/>
  <c r="T284" i="1"/>
  <c r="R324" i="1"/>
  <c r="T90" i="1"/>
  <c r="L147" i="1"/>
  <c r="N378" i="1"/>
  <c r="I409" i="1"/>
  <c r="K409" i="1"/>
  <c r="T359" i="1"/>
  <c r="I258" i="1"/>
  <c r="K258" i="1"/>
  <c r="I278" i="1"/>
  <c r="K278" i="1"/>
  <c r="I131" i="1"/>
  <c r="K131" i="1"/>
  <c r="N160" i="1"/>
  <c r="L390" i="1"/>
  <c r="L43" i="1"/>
  <c r="N353" i="1"/>
  <c r="R397" i="1"/>
  <c r="I106" i="1"/>
  <c r="K106" i="1"/>
  <c r="I165" i="1"/>
  <c r="K165" i="1"/>
  <c r="T397" i="1"/>
  <c r="I125" i="1"/>
  <c r="K125" i="1"/>
  <c r="L77" i="1"/>
  <c r="R106" i="1"/>
  <c r="I353" i="1"/>
  <c r="K353" i="1"/>
  <c r="T212" i="1"/>
  <c r="N439" i="1"/>
  <c r="L78" i="1"/>
  <c r="I43" i="1"/>
  <c r="K43" i="1"/>
  <c r="I385" i="1"/>
  <c r="K385" i="1"/>
  <c r="R237" i="1"/>
  <c r="R302" i="1"/>
  <c r="R284" i="1"/>
  <c r="I324" i="1"/>
  <c r="K324" i="1"/>
  <c r="R90" i="1"/>
  <c r="I147" i="1"/>
  <c r="K147" i="1"/>
  <c r="I378" i="1"/>
  <c r="K378" i="1"/>
  <c r="T409" i="1"/>
  <c r="L359" i="1"/>
  <c r="N258" i="1"/>
  <c r="L160" i="1"/>
  <c r="N397" i="1"/>
  <c r="L353" i="1"/>
  <c r="R182" i="1"/>
  <c r="L182" i="1"/>
  <c r="T182" i="1"/>
  <c r="N182" i="1"/>
  <c r="L377" i="1"/>
  <c r="N212" i="1"/>
  <c r="I250" i="1"/>
  <c r="K250" i="1"/>
  <c r="T110" i="1"/>
  <c r="L366" i="1"/>
  <c r="I235" i="1"/>
  <c r="K235" i="1"/>
  <c r="I246" i="1"/>
  <c r="K246" i="1"/>
  <c r="R316" i="1"/>
  <c r="L250" i="1"/>
  <c r="N444" i="1"/>
  <c r="L322" i="1"/>
  <c r="I377" i="1"/>
  <c r="K377" i="1"/>
  <c r="N346" i="1"/>
  <c r="T119" i="1"/>
  <c r="L289" i="1"/>
  <c r="R110" i="1"/>
  <c r="N366" i="1"/>
  <c r="R41" i="1"/>
  <c r="N408" i="1"/>
  <c r="R246" i="1"/>
  <c r="T316" i="1"/>
  <c r="R250" i="1"/>
  <c r="T444" i="1"/>
  <c r="I213" i="1"/>
  <c r="K213" i="1"/>
  <c r="T278" i="1"/>
  <c r="I199" i="1"/>
  <c r="K199" i="1"/>
  <c r="L464" i="1"/>
  <c r="T346" i="1"/>
  <c r="I464" i="1"/>
  <c r="K464" i="1"/>
  <c r="N221" i="1"/>
  <c r="N289" i="1"/>
  <c r="L434" i="1"/>
  <c r="I157" i="1"/>
  <c r="K157" i="1"/>
  <c r="T211" i="1"/>
  <c r="I119" i="1"/>
  <c r="K119" i="1"/>
  <c r="I289" i="1"/>
  <c r="K289" i="1"/>
  <c r="I109" i="1"/>
  <c r="K109" i="1"/>
  <c r="R116" i="1"/>
  <c r="L110" i="1"/>
  <c r="N399" i="1"/>
  <c r="T408" i="1"/>
  <c r="N246" i="1"/>
  <c r="L316" i="1"/>
  <c r="R434" i="1"/>
  <c r="L444" i="1"/>
  <c r="T428" i="1"/>
  <c r="T198" i="1"/>
  <c r="L213" i="1"/>
  <c r="N322" i="1"/>
  <c r="I41" i="1"/>
  <c r="K41" i="1"/>
  <c r="T246" i="1"/>
  <c r="R444" i="1"/>
  <c r="R322" i="1"/>
  <c r="R191" i="1"/>
  <c r="T322" i="1"/>
  <c r="I390" i="1"/>
  <c r="K390" i="1"/>
  <c r="N157" i="1"/>
  <c r="T191" i="1"/>
  <c r="R153" i="1"/>
  <c r="N119" i="1"/>
  <c r="L109" i="1"/>
  <c r="N69" i="1"/>
  <c r="I116" i="1"/>
  <c r="K116" i="1"/>
  <c r="I399" i="1"/>
  <c r="K399" i="1"/>
  <c r="I408" i="1"/>
  <c r="K408" i="1"/>
  <c r="I323" i="1"/>
  <c r="K323" i="1"/>
  <c r="I316" i="1"/>
  <c r="K316" i="1"/>
  <c r="T434" i="1"/>
  <c r="L428" i="1"/>
  <c r="R213" i="1"/>
  <c r="L346" i="1"/>
  <c r="T62" i="1"/>
  <c r="L424" i="1"/>
  <c r="T250" i="1"/>
  <c r="L157" i="1"/>
  <c r="N109" i="1"/>
  <c r="I369" i="1"/>
  <c r="K369" i="1"/>
  <c r="T116" i="1"/>
  <c r="R415" i="1"/>
  <c r="L399" i="1"/>
  <c r="L408" i="1"/>
  <c r="L323" i="1"/>
  <c r="N434" i="1"/>
  <c r="I232" i="1"/>
  <c r="K232" i="1"/>
  <c r="N428" i="1"/>
  <c r="R464" i="1"/>
  <c r="R428" i="1"/>
  <c r="N390" i="1"/>
  <c r="I191" i="1"/>
  <c r="K191" i="1"/>
  <c r="T390" i="1"/>
  <c r="R414" i="1"/>
  <c r="R157" i="1"/>
  <c r="N191" i="1"/>
  <c r="R109" i="1"/>
  <c r="L369" i="1"/>
  <c r="T415" i="1"/>
  <c r="R399" i="1"/>
  <c r="T79" i="1"/>
  <c r="R323" i="1"/>
  <c r="L232" i="1"/>
  <c r="L463" i="1"/>
  <c r="R346" i="1"/>
  <c r="N235" i="1"/>
  <c r="I414" i="1"/>
  <c r="K414" i="1"/>
  <c r="T405" i="1"/>
  <c r="I402" i="1"/>
  <c r="K402" i="1"/>
  <c r="L345" i="1"/>
  <c r="T463" i="1"/>
  <c r="R252" i="1"/>
  <c r="L103" i="1"/>
  <c r="N345" i="1"/>
  <c r="N278" i="1"/>
  <c r="T376" i="1"/>
  <c r="L126" i="1"/>
  <c r="T173" i="1"/>
  <c r="T460" i="1"/>
  <c r="I252" i="1"/>
  <c r="K252" i="1"/>
  <c r="L93" i="1"/>
  <c r="I103" i="1"/>
  <c r="K103" i="1"/>
  <c r="I345" i="1"/>
  <c r="K345" i="1"/>
  <c r="N50" i="1"/>
  <c r="N376" i="1"/>
  <c r="L159" i="1"/>
  <c r="R370" i="1"/>
  <c r="R460" i="1"/>
  <c r="T126" i="1"/>
  <c r="N254" i="1"/>
  <c r="L173" i="1"/>
  <c r="N460" i="1"/>
  <c r="L252" i="1"/>
  <c r="R214" i="1"/>
  <c r="I93" i="1"/>
  <c r="K93" i="1"/>
  <c r="R103" i="1"/>
  <c r="R98" i="1"/>
  <c r="L376" i="1"/>
  <c r="N103" i="1"/>
  <c r="T315" i="1"/>
  <c r="I217" i="1"/>
  <c r="K217" i="1"/>
  <c r="T34" i="1"/>
  <c r="I460" i="1"/>
  <c r="K460" i="1"/>
  <c r="N252" i="1"/>
  <c r="N93" i="1"/>
  <c r="T98" i="1"/>
  <c r="I376" i="1"/>
  <c r="K376" i="1"/>
  <c r="R173" i="1"/>
  <c r="I126" i="1"/>
  <c r="K126" i="1"/>
  <c r="R126" i="1"/>
  <c r="R254" i="1"/>
  <c r="L217" i="1"/>
  <c r="I168" i="1"/>
  <c r="K168" i="1"/>
  <c r="L34" i="1"/>
  <c r="N339" i="1"/>
  <c r="T404" i="1"/>
  <c r="R363" i="1"/>
  <c r="L370" i="1"/>
  <c r="I254" i="1"/>
  <c r="K254" i="1"/>
  <c r="L141" i="1"/>
  <c r="L315" i="1"/>
  <c r="I141" i="1"/>
  <c r="K141" i="1"/>
  <c r="N315" i="1"/>
  <c r="T254" i="1"/>
  <c r="L69" i="1"/>
  <c r="R412" i="1"/>
  <c r="T168" i="1"/>
  <c r="N34" i="1"/>
  <c r="L339" i="1"/>
  <c r="L404" i="1"/>
  <c r="L363" i="1"/>
  <c r="N424" i="1"/>
  <c r="L221" i="1"/>
  <c r="I424" i="1"/>
  <c r="K424" i="1"/>
  <c r="R69" i="1"/>
  <c r="R168" i="1"/>
  <c r="I255" i="1"/>
  <c r="K255" i="1"/>
  <c r="T339" i="1"/>
  <c r="N404" i="1"/>
  <c r="T363" i="1"/>
  <c r="L177" i="1"/>
  <c r="R141" i="1"/>
  <c r="I315" i="1"/>
  <c r="K315" i="1"/>
  <c r="N377" i="1"/>
  <c r="R424" i="1"/>
  <c r="T221" i="1"/>
  <c r="I69" i="1"/>
  <c r="K69" i="1"/>
  <c r="N412" i="1"/>
  <c r="L168" i="1"/>
  <c r="R255" i="1"/>
  <c r="I339" i="1"/>
  <c r="K339" i="1"/>
  <c r="R404" i="1"/>
  <c r="I363" i="1"/>
  <c r="K363" i="1"/>
  <c r="T177" i="1"/>
  <c r="L393" i="1"/>
  <c r="I98" i="1"/>
  <c r="K98" i="1"/>
  <c r="I336" i="1"/>
  <c r="K336" i="1"/>
  <c r="R348" i="1"/>
  <c r="R217" i="1"/>
  <c r="R450" i="1"/>
  <c r="N41" i="1"/>
  <c r="L118" i="1"/>
  <c r="L37" i="1"/>
  <c r="N98" i="1"/>
  <c r="R393" i="1"/>
  <c r="L297" i="1"/>
  <c r="R177" i="1"/>
  <c r="L41" i="1"/>
  <c r="I463" i="1"/>
  <c r="K463" i="1"/>
  <c r="T450" i="1"/>
  <c r="I393" i="1"/>
  <c r="K393" i="1"/>
  <c r="N336" i="1"/>
  <c r="I118" i="1"/>
  <c r="K118" i="1"/>
  <c r="T393" i="1"/>
  <c r="I297" i="1"/>
  <c r="K297" i="1"/>
  <c r="N177" i="1"/>
  <c r="R33" i="1"/>
  <c r="L427" i="1"/>
  <c r="R294" i="1"/>
  <c r="L336" i="1"/>
  <c r="L348" i="1"/>
  <c r="I277" i="1"/>
  <c r="K277" i="1"/>
  <c r="I167" i="1"/>
  <c r="K167" i="1"/>
  <c r="N272" i="1"/>
  <c r="T91" i="1"/>
  <c r="R118" i="1"/>
  <c r="T144" i="1"/>
  <c r="T37" i="1"/>
  <c r="L186" i="1"/>
  <c r="R345" i="1"/>
  <c r="R131" i="1"/>
  <c r="R297" i="1"/>
  <c r="T58" i="1"/>
  <c r="N463" i="1"/>
  <c r="I450" i="1"/>
  <c r="K450" i="1"/>
  <c r="I257" i="1"/>
  <c r="K257" i="1"/>
  <c r="L108" i="1"/>
  <c r="N118" i="1"/>
  <c r="T217" i="1"/>
  <c r="I33" i="1"/>
  <c r="K33" i="1"/>
  <c r="N427" i="1"/>
  <c r="I294" i="1"/>
  <c r="K294" i="1"/>
  <c r="R336" i="1"/>
  <c r="N348" i="1"/>
  <c r="R277" i="1"/>
  <c r="N167" i="1"/>
  <c r="I435" i="1"/>
  <c r="K435" i="1"/>
  <c r="R272" i="1"/>
  <c r="L144" i="1"/>
  <c r="R37" i="1"/>
  <c r="I186" i="1"/>
  <c r="K186" i="1"/>
  <c r="N131" i="1"/>
  <c r="T297" i="1"/>
  <c r="I159" i="1"/>
  <c r="K159" i="1"/>
  <c r="T50" i="1"/>
  <c r="L402" i="1"/>
  <c r="R369" i="1"/>
  <c r="T294" i="1"/>
  <c r="R427" i="1"/>
  <c r="I370" i="1"/>
  <c r="K370" i="1"/>
  <c r="I348" i="1"/>
  <c r="K348" i="1"/>
  <c r="T272" i="1"/>
  <c r="R366" i="1"/>
  <c r="R410" i="1"/>
  <c r="I340" i="1"/>
  <c r="K340" i="1"/>
  <c r="I144" i="1"/>
  <c r="K144" i="1"/>
  <c r="R186" i="1"/>
  <c r="L50" i="1"/>
  <c r="T131" i="1"/>
  <c r="N263" i="1"/>
  <c r="N369" i="1"/>
  <c r="I37" i="1"/>
  <c r="K37" i="1"/>
  <c r="N277" i="1"/>
  <c r="T370" i="1"/>
  <c r="R114" i="1"/>
  <c r="R402" i="1"/>
  <c r="L272" i="1"/>
  <c r="N173" i="1"/>
  <c r="T366" i="1"/>
  <c r="L410" i="1"/>
  <c r="T340" i="1"/>
  <c r="R93" i="1"/>
  <c r="R144" i="1"/>
  <c r="T186" i="1"/>
  <c r="I50" i="1"/>
  <c r="K50" i="1"/>
  <c r="L263" i="1"/>
  <c r="N450" i="1"/>
  <c r="N257" i="1"/>
  <c r="T33" i="1"/>
  <c r="L294" i="1"/>
  <c r="L33" i="1"/>
  <c r="T427" i="1"/>
  <c r="I201" i="1"/>
  <c r="K201" i="1"/>
  <c r="I410" i="1"/>
  <c r="K410" i="1"/>
  <c r="R340" i="1"/>
  <c r="I263" i="1"/>
  <c r="K263" i="1"/>
  <c r="T145" i="1"/>
  <c r="R145" i="1"/>
  <c r="I208" i="1"/>
  <c r="K208" i="1"/>
  <c r="T308" i="1"/>
  <c r="N208" i="1"/>
  <c r="L208" i="1"/>
  <c r="N104" i="1"/>
  <c r="R79" i="1"/>
  <c r="I308" i="1"/>
  <c r="K308" i="1"/>
  <c r="L79" i="1"/>
  <c r="R198" i="1"/>
  <c r="R208" i="1"/>
  <c r="R104" i="1"/>
  <c r="L308" i="1"/>
  <c r="T141" i="1"/>
  <c r="T104" i="1"/>
  <c r="I360" i="1"/>
  <c r="K360" i="1"/>
  <c r="L104" i="1"/>
  <c r="R308" i="1"/>
  <c r="R235" i="1"/>
  <c r="N198" i="1"/>
  <c r="T360" i="1"/>
  <c r="R360" i="1"/>
  <c r="T82" i="1"/>
  <c r="N414" i="1"/>
  <c r="L360" i="1"/>
  <c r="N234" i="1"/>
  <c r="N82" i="1"/>
  <c r="N79" i="1"/>
  <c r="L405" i="1"/>
  <c r="T289" i="1"/>
  <c r="T311" i="1"/>
  <c r="R82" i="1"/>
  <c r="N340" i="1"/>
  <c r="N296" i="1"/>
  <c r="N351" i="1"/>
  <c r="N398" i="1"/>
  <c r="R273" i="1"/>
  <c r="T381" i="1"/>
  <c r="I206" i="1"/>
  <c r="K206" i="1"/>
  <c r="I275" i="1"/>
  <c r="K275" i="1"/>
  <c r="I273" i="1"/>
  <c r="K273" i="1"/>
  <c r="L381" i="1"/>
  <c r="L105" i="1"/>
  <c r="R206" i="1"/>
  <c r="T277" i="1"/>
  <c r="T273" i="1"/>
  <c r="T206" i="1"/>
  <c r="T275" i="1"/>
  <c r="N381" i="1"/>
  <c r="N275" i="1"/>
  <c r="N435" i="1"/>
  <c r="L273" i="1"/>
  <c r="L235" i="1"/>
  <c r="N206" i="1"/>
  <c r="I198" i="1"/>
  <c r="K198" i="1"/>
  <c r="T296" i="1"/>
  <c r="R275" i="1"/>
  <c r="L435" i="1"/>
  <c r="R435" i="1"/>
  <c r="I178" i="1"/>
  <c r="K178" i="1"/>
  <c r="N447" i="1"/>
  <c r="N143" i="1"/>
  <c r="I46" i="1"/>
  <c r="K46" i="1"/>
  <c r="R447" i="1"/>
  <c r="R105" i="1"/>
  <c r="N161" i="1"/>
  <c r="T240" i="1"/>
  <c r="R143" i="1"/>
  <c r="L146" i="1"/>
  <c r="L46" i="1"/>
  <c r="T447" i="1"/>
  <c r="N105" i="1"/>
  <c r="R161" i="1"/>
  <c r="L447" i="1"/>
  <c r="N317" i="1"/>
  <c r="T143" i="1"/>
  <c r="T46" i="1"/>
  <c r="T161" i="1"/>
  <c r="T411" i="1"/>
  <c r="L240" i="1"/>
  <c r="L261" i="1"/>
  <c r="I143" i="1"/>
  <c r="K143" i="1"/>
  <c r="R46" i="1"/>
  <c r="R432" i="1"/>
  <c r="I161" i="1"/>
  <c r="K161" i="1"/>
  <c r="N142" i="1"/>
  <c r="I411" i="1"/>
  <c r="K411" i="1"/>
  <c r="R167" i="1"/>
  <c r="N114" i="1"/>
  <c r="R146" i="1"/>
  <c r="T432" i="1"/>
  <c r="I240" i="1"/>
  <c r="K240" i="1"/>
  <c r="R261" i="1"/>
  <c r="R312" i="1"/>
  <c r="I432" i="1"/>
  <c r="K432" i="1"/>
  <c r="I142" i="1"/>
  <c r="K142" i="1"/>
  <c r="R411" i="1"/>
  <c r="I146" i="1"/>
  <c r="K146" i="1"/>
  <c r="T146" i="1"/>
  <c r="L167" i="1"/>
  <c r="R240" i="1"/>
  <c r="L142" i="1"/>
  <c r="T261" i="1"/>
  <c r="T163" i="1"/>
  <c r="T312" i="1"/>
  <c r="N432" i="1"/>
  <c r="R142" i="1"/>
  <c r="R258" i="1"/>
  <c r="L411" i="1"/>
  <c r="N202" i="1"/>
  <c r="T105" i="1"/>
  <c r="I261" i="1"/>
  <c r="K261" i="1"/>
  <c r="N312" i="1"/>
  <c r="L258" i="1"/>
  <c r="I82" i="1"/>
  <c r="K82" i="1"/>
  <c r="T202" i="1"/>
  <c r="R196" i="1"/>
  <c r="I312" i="1"/>
  <c r="K312" i="1"/>
  <c r="T96" i="1"/>
  <c r="L423" i="1"/>
  <c r="T129" i="1"/>
  <c r="I234" i="1"/>
  <c r="K234" i="1"/>
  <c r="N311" i="1"/>
  <c r="L44" i="1"/>
  <c r="N405" i="1"/>
  <c r="I398" i="1"/>
  <c r="K398" i="1"/>
  <c r="N129" i="1"/>
  <c r="N108" i="1"/>
  <c r="L296" i="1"/>
  <c r="L234" i="1"/>
  <c r="I381" i="1"/>
  <c r="K381" i="1"/>
  <c r="R455" i="1"/>
  <c r="R311" i="1"/>
  <c r="N44" i="1"/>
  <c r="T455" i="1"/>
  <c r="T153" i="1"/>
  <c r="L96" i="1"/>
  <c r="I455" i="1"/>
  <c r="K455" i="1"/>
  <c r="T288" i="1"/>
  <c r="I96" i="1"/>
  <c r="K96" i="1"/>
  <c r="I288" i="1"/>
  <c r="K288" i="1"/>
  <c r="T423" i="1"/>
  <c r="T437" i="1"/>
  <c r="N465" i="1"/>
  <c r="L153" i="1"/>
  <c r="N423" i="1"/>
  <c r="T178" i="1"/>
  <c r="L163" i="1"/>
  <c r="L351" i="1"/>
  <c r="N288" i="1"/>
  <c r="L437" i="1"/>
  <c r="T204" i="1"/>
  <c r="M336" i="1"/>
  <c r="L465" i="1"/>
  <c r="R204" i="1"/>
  <c r="T465" i="1"/>
  <c r="R423" i="1"/>
  <c r="T108" i="1"/>
  <c r="N163" i="1"/>
  <c r="I351" i="1"/>
  <c r="K351" i="1"/>
  <c r="R288" i="1"/>
  <c r="N437" i="1"/>
  <c r="R44" i="1"/>
  <c r="I204" i="1"/>
  <c r="K204" i="1"/>
  <c r="I153" i="1"/>
  <c r="K153" i="1"/>
  <c r="R398" i="1"/>
  <c r="R129" i="1"/>
  <c r="T398" i="1"/>
  <c r="L129" i="1"/>
  <c r="I108" i="1"/>
  <c r="K108" i="1"/>
  <c r="I296" i="1"/>
  <c r="K296" i="1"/>
  <c r="I163" i="1"/>
  <c r="K163" i="1"/>
  <c r="R351" i="1"/>
  <c r="R234" i="1"/>
  <c r="L311" i="1"/>
  <c r="I437" i="1"/>
  <c r="K437" i="1"/>
  <c r="I44" i="1"/>
  <c r="K44" i="1"/>
  <c r="L204" i="1"/>
  <c r="L305" i="1"/>
  <c r="I465" i="1"/>
  <c r="K465" i="1"/>
  <c r="T203" i="1"/>
  <c r="L130" i="1"/>
  <c r="I196" i="1"/>
  <c r="K196" i="1"/>
  <c r="M268" i="1"/>
  <c r="T257" i="1"/>
  <c r="N130" i="1"/>
  <c r="N196" i="1"/>
  <c r="N201" i="1"/>
  <c r="M343" i="1"/>
  <c r="L114" i="1"/>
  <c r="R178" i="1"/>
  <c r="M439" i="1"/>
  <c r="N305" i="1"/>
  <c r="R202" i="1"/>
  <c r="M222" i="1"/>
  <c r="M274" i="1"/>
  <c r="L257" i="1"/>
  <c r="T130" i="1"/>
  <c r="M159" i="1"/>
  <c r="N203" i="1"/>
  <c r="N410" i="1"/>
  <c r="M312" i="1"/>
  <c r="M460" i="1"/>
  <c r="R203" i="1"/>
  <c r="T196" i="1"/>
  <c r="M281" i="1"/>
  <c r="M317" i="1"/>
  <c r="I317" i="1"/>
  <c r="K317" i="1"/>
  <c r="R245" i="1"/>
  <c r="M351" i="1"/>
  <c r="M381" i="1"/>
  <c r="L203" i="1"/>
  <c r="R130" i="1"/>
  <c r="M215" i="1"/>
  <c r="R201" i="1"/>
  <c r="M71" i="1"/>
  <c r="L317" i="1"/>
  <c r="I245" i="1"/>
  <c r="K245" i="1"/>
  <c r="M368" i="1"/>
  <c r="T305" i="1"/>
  <c r="M157" i="1"/>
  <c r="R317" i="1"/>
  <c r="N245" i="1"/>
  <c r="L178" i="1"/>
  <c r="M138" i="1"/>
  <c r="R305" i="1"/>
  <c r="I202" i="1"/>
  <c r="K202" i="1"/>
  <c r="T245" i="1"/>
  <c r="L201" i="1"/>
  <c r="M242" i="1"/>
  <c r="T271" i="1"/>
  <c r="R271" i="1"/>
  <c r="I271" i="1"/>
  <c r="K271" i="1"/>
  <c r="L271" i="1"/>
  <c r="N271" i="1"/>
  <c r="M271" i="1"/>
  <c r="M214" i="1"/>
  <c r="M440" i="1"/>
  <c r="M392" i="1"/>
  <c r="M367" i="1"/>
  <c r="N38" i="3"/>
  <c r="I38" i="3"/>
  <c r="K38" i="3"/>
  <c r="M38" i="3"/>
  <c r="L38" i="3"/>
  <c r="T38" i="3"/>
  <c r="R38" i="3"/>
  <c r="I51" i="3"/>
  <c r="K51" i="3"/>
  <c r="N51" i="3"/>
  <c r="M51" i="3"/>
  <c r="T51" i="3"/>
  <c r="L51" i="3"/>
  <c r="R51" i="3"/>
  <c r="M355" i="1"/>
  <c r="M181" i="1"/>
  <c r="M76" i="1"/>
  <c r="M121" i="1"/>
  <c r="M146" i="1"/>
  <c r="M92" i="1"/>
  <c r="M399" i="1"/>
  <c r="M333" i="1"/>
  <c r="M135" i="1"/>
  <c r="M356" i="1"/>
  <c r="M236" i="1"/>
  <c r="M285" i="1"/>
  <c r="M177" i="1"/>
  <c r="M160" i="1"/>
  <c r="M58" i="1"/>
  <c r="M60" i="1"/>
  <c r="M428" i="1"/>
  <c r="R71" i="5"/>
  <c r="N71" i="5"/>
  <c r="I71" i="5"/>
  <c r="K71" i="5"/>
  <c r="T71" i="5"/>
  <c r="L71" i="5"/>
  <c r="M71" i="5"/>
  <c r="T54" i="5"/>
  <c r="R54" i="5"/>
  <c r="N54" i="5"/>
  <c r="M54" i="5"/>
  <c r="I54" i="5"/>
  <c r="K54" i="5"/>
  <c r="L54" i="5"/>
  <c r="R68" i="5"/>
  <c r="L68" i="5"/>
  <c r="I68" i="5"/>
  <c r="K68" i="5"/>
  <c r="M68" i="5"/>
  <c r="T68" i="5"/>
  <c r="N68" i="5"/>
  <c r="M442" i="1"/>
  <c r="M130" i="1"/>
  <c r="M108" i="1"/>
  <c r="M40" i="1"/>
  <c r="M234" i="1"/>
  <c r="M272" i="1"/>
  <c r="M154" i="1"/>
  <c r="M339" i="1"/>
  <c r="M323" i="1"/>
  <c r="M434" i="1"/>
  <c r="M391" i="1"/>
  <c r="M258" i="1"/>
  <c r="M82" i="1"/>
  <c r="M280" i="1"/>
  <c r="M384" i="1"/>
  <c r="M84" i="1"/>
  <c r="M375" i="1"/>
  <c r="I443" i="1"/>
  <c r="K443" i="1"/>
  <c r="T443" i="1"/>
  <c r="N443" i="1"/>
  <c r="R443" i="1"/>
  <c r="M443" i="1"/>
  <c r="L443" i="1"/>
  <c r="M217" i="1"/>
  <c r="M301" i="1"/>
  <c r="M46" i="1"/>
  <c r="M47" i="1"/>
  <c r="M430" i="1"/>
  <c r="M162" i="1"/>
  <c r="M80" i="1"/>
  <c r="M52" i="1"/>
  <c r="M35" i="1"/>
  <c r="M184" i="1"/>
  <c r="M195" i="1"/>
  <c r="M85" i="1"/>
  <c r="M334" i="1"/>
  <c r="I380" i="1"/>
  <c r="K380" i="1"/>
  <c r="N380" i="1"/>
  <c r="T380" i="1"/>
  <c r="M380" i="1"/>
  <c r="R380" i="1"/>
  <c r="L380" i="1"/>
  <c r="M151" i="1"/>
  <c r="R41" i="5"/>
  <c r="N41" i="5"/>
  <c r="M41" i="5"/>
  <c r="L41" i="5"/>
  <c r="T41" i="5"/>
  <c r="I41" i="5"/>
  <c r="K41" i="5"/>
  <c r="N61" i="5"/>
  <c r="T61" i="5"/>
  <c r="M61" i="5"/>
  <c r="I61" i="5"/>
  <c r="K61" i="5"/>
  <c r="L61" i="5"/>
  <c r="R61" i="5"/>
  <c r="R45" i="3"/>
  <c r="M45" i="3"/>
  <c r="L45" i="3"/>
  <c r="I45" i="3"/>
  <c r="K45" i="3"/>
  <c r="N45" i="3"/>
  <c r="T45" i="3"/>
  <c r="N50" i="3"/>
  <c r="R50" i="3"/>
  <c r="I50" i="3"/>
  <c r="K50" i="3"/>
  <c r="T50" i="3"/>
  <c r="L50" i="3"/>
  <c r="M50" i="3"/>
  <c r="N47" i="3"/>
  <c r="M47" i="3"/>
  <c r="L47" i="3"/>
  <c r="T47" i="3"/>
  <c r="R47" i="3"/>
  <c r="I47" i="3"/>
  <c r="K47" i="3"/>
  <c r="M327" i="1"/>
  <c r="M112" i="1"/>
  <c r="M141" i="1"/>
  <c r="M123" i="1"/>
  <c r="M335" i="1"/>
  <c r="M225" i="1"/>
  <c r="M400" i="1"/>
  <c r="M402" i="1"/>
  <c r="M139" i="1"/>
  <c r="M362" i="1"/>
  <c r="M235" i="1"/>
  <c r="M230" i="1"/>
  <c r="M240" i="1"/>
  <c r="M294" i="1"/>
  <c r="M119" i="1"/>
  <c r="M167" i="1"/>
  <c r="M318" i="1"/>
  <c r="M183" i="1"/>
  <c r="M168" i="1"/>
  <c r="M453" i="1"/>
  <c r="M306" i="1"/>
  <c r="M180" i="1"/>
  <c r="N46" i="5"/>
  <c r="R46" i="5"/>
  <c r="I46" i="5"/>
  <c r="K46" i="5"/>
  <c r="L46" i="5"/>
  <c r="M46" i="5"/>
  <c r="T46" i="5"/>
  <c r="R60" i="5"/>
  <c r="L60" i="5"/>
  <c r="T60" i="5"/>
  <c r="N60" i="5"/>
  <c r="M60" i="5"/>
  <c r="I60" i="5"/>
  <c r="K60" i="5"/>
  <c r="R59" i="5"/>
  <c r="I59" i="5"/>
  <c r="K59" i="5"/>
  <c r="T59" i="5"/>
  <c r="L59" i="5"/>
  <c r="N59" i="5"/>
  <c r="M59" i="5"/>
  <c r="M59" i="3"/>
  <c r="I59" i="3"/>
  <c r="K59" i="3"/>
  <c r="L59" i="3"/>
  <c r="R59" i="3"/>
  <c r="N59" i="3"/>
  <c r="T59" i="3"/>
  <c r="N44" i="3"/>
  <c r="M44" i="3"/>
  <c r="L44" i="3"/>
  <c r="T44" i="3"/>
  <c r="R44" i="3"/>
  <c r="I44" i="3"/>
  <c r="K44" i="3"/>
  <c r="L52" i="3"/>
  <c r="R52" i="3"/>
  <c r="I52" i="3"/>
  <c r="K52" i="3"/>
  <c r="T52" i="3"/>
  <c r="M52" i="3"/>
  <c r="N52" i="3"/>
  <c r="M295" i="1"/>
  <c r="M137" i="1"/>
  <c r="M257" i="1"/>
  <c r="M62" i="1"/>
  <c r="M307" i="1"/>
  <c r="M373" i="1"/>
  <c r="M191" i="1"/>
  <c r="M155" i="1"/>
  <c r="M66" i="1"/>
  <c r="M143" i="1"/>
  <c r="M188" i="1"/>
  <c r="M448" i="1"/>
  <c r="M69" i="1"/>
  <c r="M369" i="1"/>
  <c r="M387" i="1"/>
  <c r="M464" i="1"/>
  <c r="M231" i="1"/>
  <c r="M347" i="1"/>
  <c r="M410" i="1"/>
  <c r="M437" i="1"/>
  <c r="M344" i="1"/>
  <c r="M232" i="1"/>
  <c r="M342" i="1"/>
  <c r="M206" i="1"/>
  <c r="M388" i="1"/>
  <c r="M267" i="1"/>
  <c r="M185" i="1"/>
  <c r="M228" i="1"/>
  <c r="M37" i="1"/>
  <c r="R38" i="5"/>
  <c r="M38" i="5"/>
  <c r="I38" i="5"/>
  <c r="K38" i="5"/>
  <c r="T38" i="5"/>
  <c r="L38" i="5"/>
  <c r="N38" i="5"/>
  <c r="R62" i="5"/>
  <c r="M62" i="5"/>
  <c r="L62" i="5"/>
  <c r="I62" i="5"/>
  <c r="K62" i="5"/>
  <c r="T62" i="5"/>
  <c r="N62" i="5"/>
  <c r="I39" i="5"/>
  <c r="K39" i="5"/>
  <c r="N39" i="5"/>
  <c r="T39" i="5"/>
  <c r="L39" i="5"/>
  <c r="R39" i="5"/>
  <c r="M39" i="5"/>
  <c r="N35" i="3"/>
  <c r="T35" i="3"/>
  <c r="R35" i="3"/>
  <c r="I35" i="3"/>
  <c r="K35" i="3"/>
  <c r="M35" i="3"/>
  <c r="L35" i="3"/>
  <c r="R60" i="3"/>
  <c r="T60" i="3"/>
  <c r="I60" i="3"/>
  <c r="K60" i="3"/>
  <c r="N60" i="3"/>
  <c r="M60" i="3"/>
  <c r="L60" i="3"/>
  <c r="N55" i="3"/>
  <c r="R55" i="3"/>
  <c r="M55" i="3"/>
  <c r="L55" i="3"/>
  <c r="I55" i="3"/>
  <c r="K55" i="3"/>
  <c r="T55" i="3"/>
  <c r="M50" i="1"/>
  <c r="M56" i="1"/>
  <c r="M314" i="1"/>
  <c r="M283" i="1"/>
  <c r="M252" i="1"/>
  <c r="M200" i="1"/>
  <c r="I389" i="1"/>
  <c r="K389" i="1"/>
  <c r="T389" i="1"/>
  <c r="L389" i="1"/>
  <c r="R389" i="1"/>
  <c r="N389" i="1"/>
  <c r="M389" i="1"/>
  <c r="M186" i="1"/>
  <c r="N67" i="5"/>
  <c r="T67" i="5"/>
  <c r="I67" i="5"/>
  <c r="K67" i="5"/>
  <c r="M67" i="5"/>
  <c r="L67" i="5"/>
  <c r="R67" i="5"/>
  <c r="M376" i="1"/>
  <c r="M405" i="1"/>
  <c r="M113" i="1"/>
  <c r="M357" i="1"/>
  <c r="M452" i="1"/>
  <c r="M161" i="1"/>
  <c r="M64" i="1"/>
  <c r="L42" i="5"/>
  <c r="I42" i="5"/>
  <c r="K42" i="5"/>
  <c r="R42" i="5"/>
  <c r="N42" i="5"/>
  <c r="M42" i="5"/>
  <c r="T42" i="5"/>
  <c r="N64" i="5"/>
  <c r="R64" i="5"/>
  <c r="L64" i="5"/>
  <c r="M64" i="5"/>
  <c r="T64" i="5"/>
  <c r="I64" i="5"/>
  <c r="K64" i="5"/>
  <c r="L56" i="3"/>
  <c r="N56" i="3"/>
  <c r="M56" i="3"/>
  <c r="R56" i="3"/>
  <c r="I56" i="3"/>
  <c r="K56" i="3"/>
  <c r="T56" i="3"/>
  <c r="I43" i="3"/>
  <c r="K43" i="3"/>
  <c r="T43" i="3"/>
  <c r="M43" i="3"/>
  <c r="L43" i="3"/>
  <c r="R43" i="3"/>
  <c r="N43" i="3"/>
  <c r="R62" i="3"/>
  <c r="I62" i="3"/>
  <c r="K62" i="3"/>
  <c r="T62" i="3"/>
  <c r="N62" i="3"/>
  <c r="M62" i="3"/>
  <c r="L62" i="3"/>
  <c r="M193" i="1"/>
  <c r="M395" i="1"/>
  <c r="M260" i="1"/>
  <c r="M224" i="1"/>
  <c r="M55" i="1"/>
  <c r="M265" i="1"/>
  <c r="M457" i="1"/>
  <c r="M465" i="1"/>
  <c r="M427" i="1"/>
  <c r="M77" i="1"/>
  <c r="M45" i="1"/>
  <c r="M212" i="1"/>
  <c r="M273" i="1"/>
  <c r="M57" i="1"/>
  <c r="M63" i="1"/>
  <c r="M83" i="1"/>
  <c r="M292" i="1"/>
  <c r="M316" i="1"/>
  <c r="M118" i="1"/>
  <c r="M198" i="1"/>
  <c r="M418" i="1"/>
  <c r="M253" i="1"/>
  <c r="M331" i="1"/>
  <c r="M425" i="1"/>
  <c r="M111" i="1"/>
  <c r="M182" i="1"/>
  <c r="M102" i="1"/>
  <c r="M403" i="1"/>
  <c r="M348" i="1"/>
  <c r="M385" i="1"/>
  <c r="M97" i="1"/>
  <c r="M122" i="1"/>
  <c r="M409" i="1"/>
  <c r="M59" i="1"/>
  <c r="M322" i="1"/>
  <c r="M383" i="1"/>
  <c r="M192" i="1"/>
  <c r="M422" i="1"/>
  <c r="I293" i="1"/>
  <c r="K293" i="1"/>
  <c r="T293" i="1"/>
  <c r="N293" i="1"/>
  <c r="L293" i="1"/>
  <c r="R293" i="1"/>
  <c r="M293" i="1"/>
  <c r="M41" i="1"/>
  <c r="M65" i="1"/>
  <c r="M438" i="1"/>
  <c r="N55" i="5"/>
  <c r="M55" i="5"/>
  <c r="L55" i="5"/>
  <c r="R55" i="5"/>
  <c r="I55" i="5"/>
  <c r="K55" i="5"/>
  <c r="T55" i="5"/>
  <c r="M227" i="1"/>
  <c r="M458" i="1"/>
  <c r="M370" i="1"/>
  <c r="M163" i="1"/>
  <c r="M170" i="1"/>
  <c r="M431" i="1"/>
  <c r="M88" i="1"/>
  <c r="M189" i="1"/>
  <c r="N49" i="5"/>
  <c r="T49" i="5"/>
  <c r="I49" i="5"/>
  <c r="K49" i="5"/>
  <c r="M49" i="5"/>
  <c r="L49" i="5"/>
  <c r="R49" i="5"/>
  <c r="N52" i="5"/>
  <c r="I52" i="5"/>
  <c r="K52" i="5"/>
  <c r="R52" i="5"/>
  <c r="M52" i="5"/>
  <c r="L52" i="5"/>
  <c r="T52" i="5"/>
  <c r="M66" i="5"/>
  <c r="L66" i="5"/>
  <c r="T66" i="5"/>
  <c r="I66" i="5"/>
  <c r="K66" i="5"/>
  <c r="N66" i="5"/>
  <c r="R66" i="5"/>
  <c r="T46" i="3"/>
  <c r="N46" i="3"/>
  <c r="M46" i="3"/>
  <c r="L46" i="3"/>
  <c r="I46" i="3"/>
  <c r="K46" i="3"/>
  <c r="R46" i="3"/>
  <c r="N41" i="3"/>
  <c r="I41" i="3"/>
  <c r="K41" i="3"/>
  <c r="R41" i="3"/>
  <c r="M41" i="3"/>
  <c r="L41" i="3"/>
  <c r="T41" i="3"/>
  <c r="L63" i="3"/>
  <c r="R63" i="3"/>
  <c r="N63" i="3"/>
  <c r="I63" i="3"/>
  <c r="K63" i="3"/>
  <c r="T63" i="3"/>
  <c r="M63" i="3"/>
  <c r="M397" i="1"/>
  <c r="M310" i="1"/>
  <c r="M254" i="1"/>
  <c r="M106" i="1"/>
  <c r="M148" i="1"/>
  <c r="M152" i="1"/>
  <c r="M377" i="1"/>
  <c r="M196" i="1"/>
  <c r="M86" i="1"/>
  <c r="M296" i="1"/>
  <c r="M449" i="1"/>
  <c r="M243" i="1"/>
  <c r="M275" i="1"/>
  <c r="M330" i="1"/>
  <c r="M43" i="1"/>
  <c r="N319" i="1"/>
  <c r="I319" i="1"/>
  <c r="K319" i="1"/>
  <c r="L319" i="1"/>
  <c r="M319" i="1"/>
  <c r="T319" i="1"/>
  <c r="R319" i="1"/>
  <c r="M237" i="1"/>
  <c r="M99" i="1"/>
  <c r="M90" i="1"/>
  <c r="M116" i="1"/>
  <c r="M166" i="1"/>
  <c r="M350" i="1"/>
  <c r="M156" i="1"/>
  <c r="M53" i="1"/>
  <c r="M93" i="1"/>
  <c r="M105" i="1"/>
  <c r="M269" i="1"/>
  <c r="M48" i="1"/>
  <c r="M103" i="1"/>
  <c r="M209" i="1"/>
  <c r="N37" i="5"/>
  <c r="L37" i="5"/>
  <c r="I37" i="5"/>
  <c r="K37" i="5"/>
  <c r="M37" i="5"/>
  <c r="R37" i="5"/>
  <c r="T37" i="5"/>
  <c r="N70" i="5"/>
  <c r="I70" i="5"/>
  <c r="K70" i="5"/>
  <c r="M70" i="5"/>
  <c r="L70" i="5"/>
  <c r="T70" i="5"/>
  <c r="R70" i="5"/>
  <c r="R50" i="5"/>
  <c r="L50" i="5"/>
  <c r="I50" i="5"/>
  <c r="K50" i="5"/>
  <c r="N50" i="5"/>
  <c r="M50" i="5"/>
  <c r="T50" i="5"/>
  <c r="M365" i="1"/>
  <c r="M304" i="1"/>
  <c r="R48" i="3"/>
  <c r="T48" i="3"/>
  <c r="I48" i="3"/>
  <c r="K48" i="3"/>
  <c r="N48" i="3"/>
  <c r="M48" i="3"/>
  <c r="L48" i="3"/>
  <c r="R33" i="3"/>
  <c r="I33" i="3"/>
  <c r="K33" i="3"/>
  <c r="T33" i="3"/>
  <c r="L33" i="3"/>
  <c r="N33" i="3"/>
  <c r="M33" i="3"/>
  <c r="T58" i="3"/>
  <c r="N58" i="3"/>
  <c r="I58" i="3"/>
  <c r="K58" i="3"/>
  <c r="M58" i="3"/>
  <c r="L58" i="3"/>
  <c r="R58" i="3"/>
  <c r="M386" i="1"/>
  <c r="M213" i="1"/>
  <c r="M278" i="1"/>
  <c r="M308" i="1"/>
  <c r="M190" i="1"/>
  <c r="M202" i="1"/>
  <c r="M187" i="1"/>
  <c r="M300" i="1"/>
  <c r="M94" i="1"/>
  <c r="M204" i="1"/>
  <c r="N40" i="5"/>
  <c r="M40" i="5"/>
  <c r="I40" i="5"/>
  <c r="K40" i="5"/>
  <c r="L40" i="5"/>
  <c r="T40" i="5"/>
  <c r="R40" i="5"/>
  <c r="R51" i="5"/>
  <c r="L51" i="5"/>
  <c r="I51" i="5"/>
  <c r="K51" i="5"/>
  <c r="T51" i="5"/>
  <c r="N51" i="5"/>
  <c r="M51" i="5"/>
  <c r="M454" i="1"/>
  <c r="M129" i="1"/>
  <c r="M309" i="1"/>
  <c r="M147" i="1"/>
  <c r="M194" i="1"/>
  <c r="M298" i="1"/>
  <c r="M54" i="1"/>
  <c r="M404" i="1"/>
  <c r="M291" i="1"/>
  <c r="M259" i="1"/>
  <c r="M346" i="1"/>
  <c r="M266" i="1"/>
  <c r="M31" i="1"/>
  <c r="M279" i="1"/>
  <c r="M221" i="1"/>
  <c r="M144" i="1"/>
  <c r="M199" i="1"/>
  <c r="M416" i="1"/>
  <c r="M126" i="1"/>
  <c r="M133" i="1"/>
  <c r="M461" i="1"/>
  <c r="M149" i="1"/>
  <c r="M415" i="1"/>
  <c r="M436" i="1"/>
  <c r="M340" i="1"/>
  <c r="M39" i="1"/>
  <c r="R56" i="5"/>
  <c r="T56" i="5"/>
  <c r="I56" i="5"/>
  <c r="K56" i="5"/>
  <c r="N56" i="5"/>
  <c r="M56" i="5"/>
  <c r="L56" i="5"/>
  <c r="T65" i="3"/>
  <c r="I65" i="3"/>
  <c r="K65" i="3"/>
  <c r="M65" i="3"/>
  <c r="R65" i="3"/>
  <c r="L65" i="3"/>
  <c r="N65" i="3"/>
  <c r="N54" i="3"/>
  <c r="T54" i="3"/>
  <c r="R54" i="3"/>
  <c r="M54" i="3"/>
  <c r="L54" i="3"/>
  <c r="I54" i="3"/>
  <c r="K54" i="3"/>
  <c r="R42" i="3"/>
  <c r="I42" i="3"/>
  <c r="K42" i="3"/>
  <c r="N42" i="3"/>
  <c r="M42" i="3"/>
  <c r="L42" i="3"/>
  <c r="T42" i="3"/>
  <c r="M286" i="1"/>
  <c r="M446" i="1"/>
  <c r="M165" i="1"/>
  <c r="M360" i="1"/>
  <c r="M173" i="1"/>
  <c r="M455" i="1"/>
  <c r="M250" i="1"/>
  <c r="M218" i="1"/>
  <c r="M364" i="1"/>
  <c r="M136" i="1"/>
  <c r="M96" i="1"/>
  <c r="M239" i="1"/>
  <c r="M401" i="1"/>
  <c r="M441" i="1"/>
  <c r="N441" i="1"/>
  <c r="L441" i="1"/>
  <c r="I441" i="1"/>
  <c r="K441" i="1"/>
  <c r="T441" i="1"/>
  <c r="R441" i="1"/>
  <c r="M359" i="1"/>
  <c r="M131" i="1"/>
  <c r="M205" i="1"/>
  <c r="M261" i="1"/>
  <c r="M178" i="1"/>
  <c r="M89" i="1"/>
  <c r="M107" i="1"/>
  <c r="M140" i="1"/>
  <c r="M450" i="1"/>
  <c r="M91" i="1"/>
  <c r="M175" i="1"/>
  <c r="M142" i="1"/>
  <c r="M51" i="1"/>
  <c r="M284" i="1"/>
  <c r="M413" i="1"/>
  <c r="T247" i="1"/>
  <c r="R247" i="1"/>
  <c r="N247" i="1"/>
  <c r="M247" i="1"/>
  <c r="L247" i="1"/>
  <c r="I247" i="1"/>
  <c r="K247" i="1"/>
  <c r="M328" i="1"/>
  <c r="M329" i="1"/>
  <c r="T229" i="1"/>
  <c r="R229" i="1"/>
  <c r="I229" i="1"/>
  <c r="K229" i="1"/>
  <c r="L229" i="1"/>
  <c r="N229" i="1"/>
  <c r="M229" i="1"/>
  <c r="M390" i="1"/>
  <c r="M419" i="1"/>
  <c r="I320" i="1"/>
  <c r="K320" i="1"/>
  <c r="R320" i="1"/>
  <c r="T320" i="1"/>
  <c r="M320" i="1"/>
  <c r="N320" i="1"/>
  <c r="L320" i="1"/>
  <c r="M423" i="1"/>
  <c r="M245" i="1"/>
  <c r="M100" i="1"/>
  <c r="M68" i="1"/>
  <c r="M101" i="1"/>
  <c r="M179" i="1"/>
  <c r="M145" i="1"/>
  <c r="M394" i="1"/>
  <c r="M208" i="1"/>
  <c r="M78" i="1"/>
  <c r="M406" i="1"/>
  <c r="M462" i="1"/>
  <c r="M396" i="1"/>
  <c r="M354" i="1"/>
  <c r="M264" i="1"/>
  <c r="M256" i="1"/>
  <c r="M110" i="1"/>
  <c r="M73" i="1"/>
  <c r="M104" i="1"/>
  <c r="M337" i="1"/>
  <c r="M456" i="1"/>
  <c r="M408" i="1"/>
  <c r="M421" i="1"/>
  <c r="M432" i="1"/>
  <c r="M233" i="1"/>
  <c r="I407" i="1"/>
  <c r="K407" i="1"/>
  <c r="T407" i="1"/>
  <c r="L407" i="1"/>
  <c r="R407" i="1"/>
  <c r="N407" i="1"/>
  <c r="M407" i="1"/>
  <c r="M420" i="1"/>
  <c r="M447" i="1"/>
  <c r="M270" i="1"/>
  <c r="M32" i="1"/>
  <c r="M61" i="1"/>
  <c r="M444" i="1"/>
  <c r="M349" i="1"/>
  <c r="M45" i="5"/>
  <c r="R45" i="5"/>
  <c r="N45" i="5"/>
  <c r="L45" i="5"/>
  <c r="I45" i="5"/>
  <c r="K45" i="5"/>
  <c r="T45" i="5"/>
  <c r="N36" i="5"/>
  <c r="T36" i="5"/>
  <c r="R36" i="5"/>
  <c r="M36" i="5"/>
  <c r="L36" i="5"/>
  <c r="I36" i="5"/>
  <c r="I57" i="5"/>
  <c r="K57" i="5"/>
  <c r="M57" i="5"/>
  <c r="T57" i="5"/>
  <c r="N57" i="5"/>
  <c r="L57" i="5"/>
  <c r="R57" i="5"/>
  <c r="N57" i="3"/>
  <c r="T57" i="3"/>
  <c r="I57" i="3"/>
  <c r="K57" i="3"/>
  <c r="M57" i="3"/>
  <c r="L57" i="3"/>
  <c r="R57" i="3"/>
  <c r="R40" i="3"/>
  <c r="N40" i="3"/>
  <c r="M40" i="3"/>
  <c r="L40" i="3"/>
  <c r="I40" i="3"/>
  <c r="K40" i="3"/>
  <c r="T40" i="3"/>
  <c r="L61" i="3"/>
  <c r="M61" i="3"/>
  <c r="N61" i="3"/>
  <c r="R61" i="3"/>
  <c r="I61" i="3"/>
  <c r="K61" i="3"/>
  <c r="T61" i="3"/>
  <c r="M249" i="1"/>
  <c r="M115" i="1"/>
  <c r="M429" i="1"/>
  <c r="M98" i="1"/>
  <c r="M393" i="1"/>
  <c r="M244" i="1"/>
  <c r="M114" i="1"/>
  <c r="M451" i="1"/>
  <c r="K31" i="1"/>
  <c r="M150" i="1"/>
  <c r="M210" i="1"/>
  <c r="M132" i="1"/>
  <c r="M311" i="1"/>
  <c r="M374" i="1"/>
  <c r="M382" i="1"/>
  <c r="M36" i="1"/>
  <c r="M74" i="1"/>
  <c r="R44" i="5"/>
  <c r="M44" i="5"/>
  <c r="L44" i="5"/>
  <c r="T44" i="5"/>
  <c r="I44" i="5"/>
  <c r="K44" i="5"/>
  <c r="N44" i="5"/>
  <c r="M321" i="1"/>
  <c r="R332" i="1"/>
  <c r="M332" i="1"/>
  <c r="L332" i="1"/>
  <c r="I332" i="1"/>
  <c r="K332" i="1"/>
  <c r="N332" i="1"/>
  <c r="T332" i="1"/>
  <c r="M172" i="1"/>
  <c r="M424" i="1"/>
  <c r="M277" i="1"/>
  <c r="M75" i="1"/>
  <c r="M358" i="1"/>
  <c r="R36" i="3"/>
  <c r="L36" i="3"/>
  <c r="N36" i="3"/>
  <c r="M36" i="3"/>
  <c r="I36" i="3"/>
  <c r="K36" i="3"/>
  <c r="T36" i="3"/>
  <c r="N32" i="3"/>
  <c r="R32" i="3"/>
  <c r="I32" i="3"/>
  <c r="B30" i="3"/>
  <c r="M32" i="3"/>
  <c r="L32" i="3"/>
  <c r="T32" i="3"/>
  <c r="I66" i="3"/>
  <c r="K66" i="3"/>
  <c r="N66" i="3"/>
  <c r="R66" i="3"/>
  <c r="T66" i="3"/>
  <c r="M66" i="3"/>
  <c r="L66" i="3"/>
  <c r="M459" i="1"/>
  <c r="M197" i="1"/>
  <c r="M426" i="1"/>
  <c r="L426" i="1"/>
  <c r="I426" i="1"/>
  <c r="K426" i="1"/>
  <c r="N426" i="1"/>
  <c r="T426" i="1"/>
  <c r="R426" i="1"/>
  <c r="M341" i="1"/>
  <c r="T127" i="1"/>
  <c r="R127" i="1"/>
  <c r="M127" i="1"/>
  <c r="M153" i="1"/>
  <c r="M49" i="1"/>
  <c r="M262" i="1"/>
  <c r="M435" i="1"/>
  <c r="M302" i="1"/>
  <c r="M288" i="1"/>
  <c r="M263" i="1"/>
  <c r="M120" i="1"/>
  <c r="M128" i="1"/>
  <c r="M63" i="5"/>
  <c r="R63" i="5"/>
  <c r="T63" i="5"/>
  <c r="N63" i="5"/>
  <c r="L63" i="5"/>
  <c r="I63" i="5"/>
  <c r="K63" i="5"/>
  <c r="N43" i="5"/>
  <c r="R43" i="5"/>
  <c r="I43" i="5"/>
  <c r="K43" i="5"/>
  <c r="T43" i="5"/>
  <c r="M43" i="5"/>
  <c r="L43" i="5"/>
  <c r="M463" i="1"/>
  <c r="M297" i="1"/>
  <c r="M220" i="1"/>
  <c r="M371" i="1"/>
  <c r="M211" i="1"/>
  <c r="M352" i="1"/>
  <c r="M223" i="1"/>
  <c r="M417" i="1"/>
  <c r="R65" i="5"/>
  <c r="I65" i="5"/>
  <c r="K65" i="5"/>
  <c r="T65" i="5"/>
  <c r="N65" i="5"/>
  <c r="M65" i="5"/>
  <c r="L65" i="5"/>
  <c r="I69" i="5"/>
  <c r="K69" i="5"/>
  <c r="R69" i="5"/>
  <c r="N69" i="5"/>
  <c r="M69" i="5"/>
  <c r="L69" i="5"/>
  <c r="T69" i="5"/>
  <c r="I48" i="5"/>
  <c r="K48" i="5"/>
  <c r="N48" i="5"/>
  <c r="R48" i="5"/>
  <c r="T48" i="5"/>
  <c r="M48" i="5"/>
  <c r="L48" i="5"/>
  <c r="T53" i="3"/>
  <c r="L53" i="3"/>
  <c r="R53" i="3"/>
  <c r="M53" i="3"/>
  <c r="I53" i="3"/>
  <c r="K53" i="3"/>
  <c r="N53" i="3"/>
  <c r="T37" i="3"/>
  <c r="R37" i="3"/>
  <c r="L37" i="3"/>
  <c r="I37" i="3"/>
  <c r="K37" i="3"/>
  <c r="N37" i="3"/>
  <c r="M37" i="3"/>
  <c r="N34" i="3"/>
  <c r="R34" i="3"/>
  <c r="M34" i="3"/>
  <c r="L34" i="3"/>
  <c r="T34" i="3"/>
  <c r="I34" i="3"/>
  <c r="K34" i="3"/>
  <c r="M238" i="1"/>
  <c r="M372" i="1"/>
  <c r="M38" i="1"/>
  <c r="M325" i="1"/>
  <c r="M109" i="1"/>
  <c r="M412" i="1"/>
  <c r="M255" i="1"/>
  <c r="M203" i="1"/>
  <c r="M313" i="1"/>
  <c r="M33" i="1"/>
  <c r="M315" i="1"/>
  <c r="M164" i="1"/>
  <c r="M353" i="1"/>
  <c r="M290" i="1"/>
  <c r="M34" i="1"/>
  <c r="M366" i="1"/>
  <c r="M79" i="1"/>
  <c r="M246" i="1"/>
  <c r="M216" i="1"/>
  <c r="M345" i="1"/>
  <c r="N72" i="1"/>
  <c r="T72" i="1"/>
  <c r="R72" i="1"/>
  <c r="M72" i="1"/>
  <c r="L72" i="1"/>
  <c r="I72" i="1"/>
  <c r="K72" i="1"/>
  <c r="M95" i="1"/>
  <c r="M287" i="1"/>
  <c r="M158" i="1"/>
  <c r="M326" i="1"/>
  <c r="M124" i="1"/>
  <c r="M338" i="1"/>
  <c r="M276" i="1"/>
  <c r="M303" i="1"/>
  <c r="T299" i="1"/>
  <c r="R299" i="1"/>
  <c r="I299" i="1"/>
  <c r="K299" i="1"/>
  <c r="N299" i="1"/>
  <c r="M299" i="1"/>
  <c r="L299" i="1"/>
  <c r="M414" i="1"/>
  <c r="M42" i="1"/>
  <c r="M125" i="1"/>
  <c r="M398" i="1"/>
  <c r="M201" i="1"/>
  <c r="M248" i="1"/>
  <c r="M169" i="1"/>
  <c r="M361" i="1"/>
  <c r="M282" i="1"/>
  <c r="B25" i="1"/>
  <c r="M176" i="1"/>
  <c r="M289" i="1"/>
  <c r="M70" i="1"/>
  <c r="M379" i="1"/>
  <c r="M241" i="1"/>
  <c r="M226" i="1"/>
  <c r="M324" i="1"/>
  <c r="M81" i="1"/>
  <c r="M433" i="1"/>
  <c r="M171" i="1"/>
  <c r="M67" i="1"/>
  <c r="M378" i="1"/>
  <c r="M87" i="1"/>
  <c r="M44" i="1"/>
  <c r="M174" i="1"/>
  <c r="L134" i="1"/>
  <c r="M134" i="1"/>
  <c r="I134" i="1"/>
  <c r="K134" i="1"/>
  <c r="N134" i="1"/>
  <c r="R134" i="1"/>
  <c r="T134" i="1"/>
  <c r="R53" i="5"/>
  <c r="N53" i="5"/>
  <c r="M53" i="5"/>
  <c r="T53" i="5"/>
  <c r="I53" i="5"/>
  <c r="K53" i="5"/>
  <c r="L53" i="5"/>
  <c r="N58" i="5"/>
  <c r="M58" i="5"/>
  <c r="I58" i="5"/>
  <c r="K58" i="5"/>
  <c r="L58" i="5"/>
  <c r="T58" i="5"/>
  <c r="R58" i="5"/>
  <c r="R47" i="5"/>
  <c r="T47" i="5"/>
  <c r="I47" i="5"/>
  <c r="K47" i="5"/>
  <c r="L47" i="5"/>
  <c r="N47" i="5"/>
  <c r="M47" i="5"/>
  <c r="R39" i="3"/>
  <c r="N39" i="3"/>
  <c r="M39" i="3"/>
  <c r="I39" i="3"/>
  <c r="K39" i="3"/>
  <c r="T39" i="3"/>
  <c r="L39" i="3"/>
  <c r="M49" i="3"/>
  <c r="L49" i="3"/>
  <c r="I49" i="3"/>
  <c r="K49" i="3"/>
  <c r="N49" i="3"/>
  <c r="T49" i="3"/>
  <c r="R49" i="3"/>
  <c r="R64" i="3"/>
  <c r="L64" i="3"/>
  <c r="M64" i="3"/>
  <c r="I64" i="3"/>
  <c r="K64" i="3"/>
  <c r="T64" i="3"/>
  <c r="N64" i="3"/>
  <c r="M363" i="1"/>
  <c r="M411" i="1"/>
  <c r="M305" i="1"/>
  <c r="M251" i="1"/>
  <c r="M445" i="1"/>
  <c r="M219" i="1"/>
  <c r="M117" i="1"/>
  <c r="M207" i="1"/>
  <c r="O406" i="1"/>
  <c r="O282" i="1"/>
  <c r="O53" i="1"/>
  <c r="O376" i="1"/>
  <c r="O73" i="1"/>
  <c r="O217" i="1"/>
  <c r="O43" i="1"/>
  <c r="O148" i="1"/>
  <c r="O232" i="1"/>
  <c r="O225" i="1"/>
  <c r="O112" i="1"/>
  <c r="O442" i="1"/>
  <c r="O184" i="1"/>
  <c r="O333" i="1"/>
  <c r="O162" i="1"/>
  <c r="O317" i="1"/>
  <c r="O186" i="1"/>
  <c r="O263" i="1"/>
  <c r="O343" i="1"/>
  <c r="O319" i="1"/>
  <c r="O58" i="5"/>
  <c r="O180" i="1"/>
  <c r="O35" i="1"/>
  <c r="O379" i="1"/>
  <c r="O74" i="1"/>
  <c r="O314" i="1"/>
  <c r="O398" i="1"/>
  <c r="O48" i="1"/>
  <c r="O53" i="3"/>
  <c r="O408" i="1"/>
  <c r="O412" i="1"/>
  <c r="O463" i="1"/>
  <c r="O422" i="1"/>
  <c r="O127" i="1"/>
  <c r="O46" i="1"/>
  <c r="O328" i="1"/>
  <c r="O351" i="1"/>
  <c r="O61" i="3"/>
  <c r="O61" i="1"/>
  <c r="O88" i="1"/>
  <c r="O124" i="1"/>
  <c r="O75" i="1"/>
  <c r="O329" i="1"/>
  <c r="O382" i="1"/>
  <c r="O47" i="5"/>
  <c r="O94" i="1"/>
  <c r="O313" i="1"/>
  <c r="O37" i="5"/>
  <c r="O70" i="1"/>
  <c r="O150" i="1"/>
  <c r="O49" i="1"/>
  <c r="O109" i="1"/>
  <c r="O60" i="5"/>
  <c r="O311" i="1"/>
  <c r="O32" i="1"/>
  <c r="O426" i="1"/>
  <c r="O66" i="3"/>
  <c r="O36" i="3"/>
  <c r="O44" i="5"/>
  <c r="O231" i="1"/>
  <c r="O368" i="1"/>
  <c r="O279" i="1"/>
  <c r="O440" i="1"/>
  <c r="O100" i="1"/>
  <c r="O444" i="1"/>
  <c r="O60" i="1"/>
  <c r="O43" i="3"/>
  <c r="O66" i="1"/>
  <c r="O189" i="1"/>
  <c r="O84" i="1"/>
  <c r="O310" i="1"/>
  <c r="O145" i="1"/>
  <c r="O122" i="1"/>
  <c r="O348" i="1"/>
  <c r="O187" i="1"/>
  <c r="O347" i="1"/>
  <c r="O275" i="1"/>
  <c r="O428" i="1"/>
  <c r="O433" i="1"/>
  <c r="O393" i="1"/>
  <c r="O245" i="1"/>
  <c r="O363" i="1"/>
  <c r="O446" i="1"/>
  <c r="O48" i="5"/>
  <c r="O57" i="1"/>
  <c r="O417" i="1"/>
  <c r="O236" i="1"/>
  <c r="O115" i="1"/>
  <c r="O243" i="1"/>
  <c r="O246" i="1"/>
  <c r="O435" i="1"/>
  <c r="O141" i="1"/>
  <c r="O133" i="1"/>
  <c r="O287" i="1"/>
  <c r="O455" i="1"/>
  <c r="O391" i="1"/>
  <c r="O221" i="1"/>
  <c r="O345" i="1"/>
  <c r="O154" i="1"/>
  <c r="O418" i="1"/>
  <c r="O40" i="5"/>
  <c r="O465" i="1"/>
  <c r="O460" i="1"/>
  <c r="O300" i="1"/>
  <c r="O352" i="1"/>
  <c r="O257" i="1"/>
  <c r="O114" i="1"/>
  <c r="O211" i="1"/>
  <c r="O147" i="1"/>
  <c r="O415" i="1"/>
  <c r="O364" i="1"/>
  <c r="O39" i="5"/>
  <c r="O432" i="1"/>
  <c r="O183" i="1"/>
  <c r="O119" i="1"/>
  <c r="O377" i="1"/>
  <c r="O386" i="1"/>
  <c r="O44" i="3"/>
  <c r="O41" i="1"/>
  <c r="O359" i="1"/>
  <c r="O45" i="1"/>
  <c r="O47" i="3"/>
  <c r="O369" i="1"/>
  <c r="O402" i="1"/>
  <c r="O144" i="1"/>
  <c r="O95" i="1"/>
  <c r="O64" i="1"/>
  <c r="O51" i="3"/>
  <c r="O39" i="3"/>
  <c r="O266" i="1"/>
  <c r="O299" i="1"/>
  <c r="O420" i="1"/>
  <c r="O273" i="1"/>
  <c r="O32" i="3"/>
  <c r="O83" i="1"/>
  <c r="O338" i="1"/>
  <c r="O240" i="1"/>
  <c r="O335" i="1"/>
  <c r="O366" i="1"/>
  <c r="O56" i="5"/>
  <c r="O260" i="1"/>
  <c r="O356" i="1"/>
  <c r="O159" i="1"/>
  <c r="O283" i="1"/>
  <c r="O50" i="5"/>
  <c r="O429" i="1"/>
  <c r="O59" i="1"/>
  <c r="O448" i="1"/>
  <c r="O253" i="1"/>
  <c r="O456" i="1"/>
  <c r="O62" i="3"/>
  <c r="O42" i="5"/>
  <c r="O302" i="1"/>
  <c r="O175" i="1"/>
  <c r="O123" i="1"/>
  <c r="O52" i="3"/>
  <c r="O46" i="5"/>
  <c r="O140" i="1"/>
  <c r="O200" i="1"/>
  <c r="O262" i="1"/>
  <c r="O372" i="1"/>
  <c r="O404" i="1"/>
  <c r="O271" i="1"/>
  <c r="G6" i="5"/>
  <c r="I6" i="5"/>
  <c r="J30" i="5"/>
  <c r="K36" i="5"/>
  <c r="O51" i="5"/>
  <c r="O414" i="1"/>
  <c r="O41" i="3"/>
  <c r="O49" i="5"/>
  <c r="O309" i="1"/>
  <c r="O274" i="1"/>
  <c r="O62" i="5"/>
  <c r="O42" i="1"/>
  <c r="O209" i="1"/>
  <c r="O116" i="1"/>
  <c r="O34" i="1"/>
  <c r="O378" i="1"/>
  <c r="O192" i="1"/>
  <c r="O39" i="1"/>
  <c r="O453" i="1"/>
  <c r="O326" i="1"/>
  <c r="O54" i="5"/>
  <c r="O98" i="1"/>
  <c r="O392" i="1"/>
  <c r="O362" i="1"/>
  <c r="O113" i="1"/>
  <c r="O65" i="3"/>
  <c r="O438" i="1"/>
  <c r="O137" i="1"/>
  <c r="O324" i="1"/>
  <c r="O142" i="1"/>
  <c r="O387" i="1"/>
  <c r="O254" i="1"/>
  <c r="O305" i="1"/>
  <c r="O44" i="1"/>
  <c r="O50" i="1"/>
  <c r="O49" i="3"/>
  <c r="O259" i="1"/>
  <c r="O69" i="5"/>
  <c r="O36" i="1"/>
  <c r="O173" i="1"/>
  <c r="O57" i="3"/>
  <c r="O138" i="1"/>
  <c r="O163" i="1"/>
  <c r="O325" i="1"/>
  <c r="O165" i="1"/>
  <c r="O381" i="1"/>
  <c r="O371" i="1"/>
  <c r="O118" i="1"/>
  <c r="O276" i="1"/>
  <c r="O267" i="1"/>
  <c r="O316" i="1"/>
  <c r="O155" i="1"/>
  <c r="O353" i="1"/>
  <c r="O63" i="3"/>
  <c r="O135" i="1"/>
  <c r="O215" i="1"/>
  <c r="O50" i="3"/>
  <c r="O61" i="5"/>
  <c r="O251" i="1"/>
  <c r="O213" i="1"/>
  <c r="O337" i="1"/>
  <c r="O430" i="1"/>
  <c r="O365" i="1"/>
  <c r="B30" i="5"/>
  <c r="O36" i="5"/>
  <c r="O234" i="1"/>
  <c r="O224" i="1"/>
  <c r="O58" i="3"/>
  <c r="O410" i="1"/>
  <c r="O191" i="1"/>
  <c r="O46" i="3"/>
  <c r="O80" i="1"/>
  <c r="O268" i="1"/>
  <c r="O55" i="3"/>
  <c r="O35" i="3"/>
  <c r="O342" i="1"/>
  <c r="O286" i="1"/>
  <c r="O256" i="1"/>
  <c r="O419" i="1"/>
  <c r="O106" i="1"/>
  <c r="O390" i="1"/>
  <c r="O384" i="1"/>
  <c r="O52" i="5"/>
  <c r="O306" i="1"/>
  <c r="O354" i="1"/>
  <c r="O55" i="1"/>
  <c r="O45" i="3"/>
  <c r="O64" i="3"/>
  <c r="O270" i="1"/>
  <c r="O195" i="1"/>
  <c r="O416" i="1"/>
  <c r="O37" i="3"/>
  <c r="O292" i="1"/>
  <c r="O160" i="1"/>
  <c r="E30" i="3"/>
  <c r="O92" i="1"/>
  <c r="O308" i="1"/>
  <c r="O344" i="1"/>
  <c r="O237" i="1"/>
  <c r="O296" i="1"/>
  <c r="O157" i="1"/>
  <c r="O143" i="1"/>
  <c r="O280" i="1"/>
  <c r="O153" i="1"/>
  <c r="O203" i="1"/>
  <c r="O321" i="1"/>
  <c r="O252" i="1"/>
  <c r="O281" i="1"/>
  <c r="O385" i="1"/>
  <c r="O206" i="1"/>
  <c r="O357" i="1"/>
  <c r="O373" i="1"/>
  <c r="O288" i="1"/>
  <c r="O210" i="1"/>
  <c r="O62" i="1"/>
  <c r="O31" i="1"/>
  <c r="O297" i="1"/>
  <c r="O459" i="1"/>
  <c r="O104" i="1"/>
  <c r="O126" i="1"/>
  <c r="O59" i="5"/>
  <c r="O431" i="1"/>
  <c r="O443" i="1"/>
  <c r="O121" i="1"/>
  <c r="O303" i="1"/>
  <c r="O340" i="1"/>
  <c r="O129" i="1"/>
  <c r="O374" i="1"/>
  <c r="O128" i="1"/>
  <c r="O452" i="1"/>
  <c r="O361" i="1"/>
  <c r="O79" i="1"/>
  <c r="O320" i="1"/>
  <c r="O434" i="1"/>
  <c r="O54" i="3"/>
  <c r="O222" i="1"/>
  <c r="O56" i="3"/>
  <c r="O103" i="1"/>
  <c r="O77" i="1"/>
  <c r="O117" i="1"/>
  <c r="O230" i="1"/>
  <c r="O177" i="1"/>
  <c r="O171" i="1"/>
  <c r="O156" i="1"/>
  <c r="O101" i="1"/>
  <c r="O293" i="1"/>
  <c r="O198" i="1"/>
  <c r="O65" i="1"/>
  <c r="O58" i="1"/>
  <c r="O409" i="1"/>
  <c r="O87" i="1"/>
  <c r="O462" i="1"/>
  <c r="O51" i="1"/>
  <c r="O68" i="5"/>
  <c r="O264" i="1"/>
  <c r="O169" i="1"/>
  <c r="O53" i="5"/>
  <c r="O421" i="1"/>
  <c r="O89" i="1"/>
  <c r="O34" i="3"/>
  <c r="O207" i="1"/>
  <c r="O451" i="1"/>
  <c r="O350" i="1"/>
  <c r="O307" i="1"/>
  <c r="O193" i="1"/>
  <c r="O336" i="1"/>
  <c r="O185" i="1"/>
  <c r="O167" i="1"/>
  <c r="O55" i="5"/>
  <c r="O54" i="1"/>
  <c r="O277" i="1"/>
  <c r="O201" i="1"/>
  <c r="O204" i="1"/>
  <c r="O367" i="1"/>
  <c r="O149" i="1"/>
  <c r="O172" i="1"/>
  <c r="O152" i="1"/>
  <c r="O52" i="1"/>
  <c r="O323" i="1"/>
  <c r="O71" i="1"/>
  <c r="O182" i="1"/>
  <c r="O441" i="1"/>
  <c r="O76" i="1"/>
  <c r="O241" i="1"/>
  <c r="O63" i="1"/>
  <c r="O244" i="1"/>
  <c r="O389" i="1"/>
  <c r="O370" i="1"/>
  <c r="O120" i="1"/>
  <c r="O380" i="1"/>
  <c r="O395" i="1"/>
  <c r="O242" i="1"/>
  <c r="O233" i="1"/>
  <c r="O238" i="1"/>
  <c r="O65" i="5"/>
  <c r="O436" i="1"/>
  <c r="O265" i="1"/>
  <c r="O250" i="1"/>
  <c r="O332" i="1"/>
  <c r="I6" i="1"/>
  <c r="J25" i="1"/>
  <c r="O411" i="1"/>
  <c r="O40" i="3"/>
  <c r="O57" i="5"/>
  <c r="O269" i="1"/>
  <c r="O166" i="1"/>
  <c r="O290" i="1"/>
  <c r="O96" i="1"/>
  <c r="O405" i="1"/>
  <c r="O247" i="1"/>
  <c r="O86" i="1"/>
  <c r="O383" i="1"/>
  <c r="O358" i="1"/>
  <c r="E25" i="1"/>
  <c r="O445" i="1"/>
  <c r="O394" i="1"/>
  <c r="O457" i="1"/>
  <c r="O33" i="3"/>
  <c r="O70" i="5"/>
  <c r="O176" i="1"/>
  <c r="O102" i="1"/>
  <c r="O205" i="1"/>
  <c r="O66" i="5"/>
  <c r="O255" i="1"/>
  <c r="O220" i="1"/>
  <c r="O91" i="1"/>
  <c r="O216" i="1"/>
  <c r="O339" i="1"/>
  <c r="O331" i="1"/>
  <c r="O64" i="5"/>
  <c r="O295" i="1"/>
  <c r="O60" i="3"/>
  <c r="O439" i="1"/>
  <c r="O294" i="1"/>
  <c r="O56" i="1"/>
  <c r="O235" i="1"/>
  <c r="O424" i="1"/>
  <c r="O71" i="5"/>
  <c r="O197" i="1"/>
  <c r="O99" i="1"/>
  <c r="O375" i="1"/>
  <c r="O59" i="3"/>
  <c r="O170" i="1"/>
  <c r="O47" i="1"/>
  <c r="O403" i="1"/>
  <c r="O349" i="1"/>
  <c r="O130" i="1"/>
  <c r="O407" i="1"/>
  <c r="O458" i="1"/>
  <c r="O158" i="1"/>
  <c r="O40" i="1"/>
  <c r="O151" i="1"/>
  <c r="O78" i="1"/>
  <c r="O284" i="1"/>
  <c r="O37" i="1"/>
  <c r="O131" i="1"/>
  <c r="O43" i="5"/>
  <c r="O461" i="1"/>
  <c r="O81" i="1"/>
  <c r="O248" i="1"/>
  <c r="O228" i="1"/>
  <c r="O330" i="1"/>
  <c r="O188" i="1"/>
  <c r="O67" i="5"/>
  <c r="O219" i="1"/>
  <c r="O447" i="1"/>
  <c r="O68" i="1"/>
  <c r="O298" i="1"/>
  <c r="O327" i="1"/>
  <c r="O199" i="1"/>
  <c r="O179" i="1"/>
  <c r="O67" i="1"/>
  <c r="O48" i="3"/>
  <c r="O437" i="1"/>
  <c r="O312" i="1"/>
  <c r="O85" i="1"/>
  <c r="O125" i="1"/>
  <c r="O399" i="1"/>
  <c r="O315" i="1"/>
  <c r="O291" i="1"/>
  <c r="O304" i="1"/>
  <c r="O261" i="1"/>
  <c r="O107" i="1"/>
  <c r="O90" i="1"/>
  <c r="O318" i="1"/>
  <c r="O181" i="1"/>
  <c r="O139" i="1"/>
  <c r="O82" i="1"/>
  <c r="O397" i="1"/>
  <c r="O212" i="1"/>
  <c r="O322" i="1"/>
  <c r="O63" i="5"/>
  <c r="O69" i="1"/>
  <c r="O202" i="1"/>
  <c r="O239" i="1"/>
  <c r="O111" i="1"/>
  <c r="O42" i="3"/>
  <c r="O346" i="1"/>
  <c r="O93" i="1"/>
  <c r="O355" i="1"/>
  <c r="O396" i="1"/>
  <c r="O108" i="1"/>
  <c r="O272" i="1"/>
  <c r="O38" i="3"/>
  <c r="O105" i="1"/>
  <c r="O413" i="1"/>
  <c r="O289" i="1"/>
  <c r="O401" i="1"/>
  <c r="O400" i="1"/>
  <c r="O454" i="1"/>
  <c r="O388" i="1"/>
  <c r="O164" i="1"/>
  <c r="O136" i="1"/>
  <c r="O161" i="1"/>
  <c r="O249" i="1"/>
  <c r="O190" i="1"/>
  <c r="O38" i="5"/>
  <c r="O208" i="1"/>
  <c r="O134" i="1"/>
  <c r="O146" i="1"/>
  <c r="O423" i="1"/>
  <c r="O72" i="1"/>
  <c r="O110" i="1"/>
  <c r="O258" i="1"/>
  <c r="O425" i="1"/>
  <c r="K32" i="3"/>
  <c r="I6" i="3"/>
  <c r="J30" i="3"/>
  <c r="G6" i="3"/>
  <c r="O223" i="1"/>
  <c r="G6" i="1"/>
  <c r="O226" i="1"/>
  <c r="O278" i="1"/>
  <c r="O45" i="5"/>
  <c r="O33" i="1"/>
  <c r="O229" i="1"/>
  <c r="O178" i="1"/>
  <c r="O334" i="1"/>
  <c r="O97" i="1"/>
  <c r="O174" i="1"/>
  <c r="O427" i="1"/>
  <c r="O196" i="1"/>
  <c r="O464" i="1"/>
  <c r="O132" i="1"/>
  <c r="O214" i="1"/>
  <c r="O194" i="1"/>
  <c r="O450" i="1"/>
  <c r="O168" i="1"/>
  <c r="O449" i="1"/>
  <c r="O341" i="1"/>
  <c r="O38" i="1"/>
  <c r="O285" i="1"/>
  <c r="O41" i="5"/>
  <c r="O301" i="1"/>
  <c r="O360" i="1"/>
  <c r="O227" i="1"/>
  <c r="O218" i="1"/>
  <c r="F23" i="7"/>
  <c r="B22" i="7"/>
  <c r="C23" i="7"/>
  <c r="B23" i="7"/>
  <c r="G16" i="7"/>
  <c r="G14" i="7"/>
  <c r="G12" i="7"/>
  <c r="E27" i="7"/>
  <c r="G24" i="7"/>
  <c r="E22" i="7"/>
  <c r="E17" i="7"/>
  <c r="D15" i="7"/>
  <c r="C13" i="7"/>
  <c r="B11" i="7"/>
  <c r="E24" i="7"/>
  <c r="D22" i="7"/>
  <c r="G19" i="7"/>
  <c r="D17" i="7"/>
  <c r="C15" i="7"/>
  <c r="B13" i="7"/>
  <c r="C31" i="7"/>
  <c r="E28" i="7"/>
  <c r="D20" i="7"/>
  <c r="C17" i="7"/>
  <c r="F14" i="7"/>
  <c r="F9" i="7"/>
  <c r="D28" i="7"/>
  <c r="G22" i="7"/>
  <c r="B17" i="7"/>
  <c r="C14" i="7"/>
  <c r="G11" i="7"/>
  <c r="E9" i="7"/>
  <c r="G30" i="7"/>
  <c r="C28" i="7"/>
  <c r="F22" i="7"/>
  <c r="F19" i="7"/>
  <c r="B14" i="7"/>
  <c r="F11" i="7"/>
  <c r="D9" i="7"/>
  <c r="G28" i="7"/>
  <c r="E15" i="7"/>
  <c r="F28" i="7"/>
  <c r="B15" i="7"/>
  <c r="E11" i="7"/>
  <c r="D24" i="7"/>
  <c r="D11" i="7"/>
  <c r="C24" i="7"/>
  <c r="E20" i="7"/>
  <c r="B12" i="7"/>
  <c r="B24" i="7"/>
  <c r="G15" i="7"/>
  <c r="G27" i="7"/>
  <c r="D19" i="7"/>
  <c r="F15" i="7"/>
  <c r="C11" i="7"/>
  <c r="D30" i="7"/>
  <c r="B26" i="7"/>
  <c r="F20" i="7"/>
  <c r="C30" i="7"/>
  <c r="C10" i="7"/>
  <c r="C19" i="7"/>
  <c r="G13" i="7"/>
  <c r="E29" i="7"/>
  <c r="F13" i="7"/>
  <c r="G9" i="7"/>
  <c r="E26" i="7"/>
  <c r="G20" i="7"/>
  <c r="G31" i="7"/>
  <c r="C26" i="7"/>
  <c r="E13" i="7"/>
  <c r="D13" i="7"/>
  <c r="F30" i="7"/>
  <c r="F26" i="7"/>
  <c r="C12" i="7"/>
  <c r="F17" i="7"/>
  <c r="F27" i="7"/>
  <c r="D12" i="7"/>
  <c r="D23" i="7"/>
  <c r="E10" i="7"/>
  <c r="E30" i="7"/>
  <c r="G26" i="7"/>
  <c r="C22" i="7"/>
  <c r="C16" i="7"/>
  <c r="B9" i="7"/>
  <c r="F16" i="7"/>
  <c r="G23" i="7"/>
  <c r="E23" i="7"/>
  <c r="E16" i="7"/>
  <c r="B18" i="7"/>
  <c r="G7" i="7"/>
  <c r="E8" i="7"/>
  <c r="D25" i="7"/>
  <c r="D26" i="7"/>
  <c r="B28" i="7"/>
  <c r="C25" i="7"/>
  <c r="D10" i="7"/>
  <c r="B25" i="7"/>
  <c r="B30" i="7"/>
  <c r="F21" i="7"/>
  <c r="F31" i="7"/>
  <c r="F12" i="7"/>
  <c r="C9" i="7"/>
  <c r="D14" i="7"/>
  <c r="C29" i="7"/>
  <c r="D27" i="7"/>
  <c r="B10" i="7"/>
  <c r="D29" i="7"/>
  <c r="C8" i="7"/>
  <c r="C27" i="7"/>
  <c r="E7" i="7"/>
  <c r="F10" i="7"/>
  <c r="G8" i="7"/>
  <c r="D16" i="7"/>
  <c r="F29" i="7"/>
  <c r="F8" i="7"/>
  <c r="B8" i="7"/>
  <c r="F24" i="7"/>
  <c r="C21" i="7"/>
  <c r="F18" i="7"/>
  <c r="F7" i="7"/>
  <c r="D8" i="7"/>
  <c r="B21" i="7"/>
  <c r="C7" i="7"/>
  <c r="E31" i="7"/>
  <c r="C20" i="7"/>
  <c r="G21" i="7"/>
  <c r="G18" i="7"/>
  <c r="B31" i="7"/>
  <c r="G25" i="7"/>
  <c r="E19" i="7"/>
  <c r="E21" i="7"/>
  <c r="F25" i="7"/>
  <c r="E12" i="7"/>
  <c r="E14" i="7"/>
  <c r="B16" i="7"/>
  <c r="B29" i="7"/>
  <c r="B27" i="7"/>
  <c r="D21" i="7"/>
  <c r="E18" i="7"/>
  <c r="D7" i="7"/>
  <c r="E25" i="7"/>
  <c r="B20" i="7"/>
  <c r="D18" i="7"/>
  <c r="D31" i="7"/>
  <c r="G29" i="7"/>
  <c r="G10" i="7"/>
  <c r="G17" i="7"/>
  <c r="C18" i="7"/>
  <c r="B7" i="7"/>
  <c r="B19" i="7"/>
  <c r="H9" i="1"/>
  <c r="J9" i="1"/>
  <c r="H25" i="1"/>
  <c r="E30" i="5"/>
  <c r="G81" i="7"/>
  <c r="F81" i="7"/>
  <c r="F69" i="7"/>
  <c r="G67" i="7"/>
  <c r="D81" i="7"/>
  <c r="E66" i="7"/>
  <c r="E64" i="7"/>
  <c r="C81" i="7"/>
  <c r="D66" i="7"/>
  <c r="D64" i="7"/>
  <c r="B81" i="7"/>
  <c r="G73" i="7"/>
  <c r="C66" i="7"/>
  <c r="E73" i="7"/>
  <c r="B66" i="7"/>
  <c r="C75" i="7"/>
  <c r="D69" i="7"/>
  <c r="G66" i="7"/>
  <c r="G80" i="7"/>
  <c r="C69" i="7"/>
  <c r="F66" i="7"/>
  <c r="F80" i="7"/>
  <c r="B69" i="7"/>
  <c r="E80" i="7"/>
  <c r="D73" i="7"/>
  <c r="D80" i="7"/>
  <c r="C73" i="7"/>
  <c r="G69" i="7"/>
  <c r="F67" i="7"/>
  <c r="C64" i="7"/>
  <c r="C80" i="7"/>
  <c r="E67" i="7"/>
  <c r="B64" i="7"/>
  <c r="B80" i="7"/>
  <c r="E75" i="7"/>
  <c r="D67" i="7"/>
  <c r="F74" i="7"/>
  <c r="E69" i="7"/>
  <c r="G64" i="7"/>
  <c r="E74" i="7"/>
  <c r="F64" i="7"/>
  <c r="C74" i="7"/>
  <c r="B73" i="7"/>
  <c r="F72" i="7"/>
  <c r="F65" i="7"/>
  <c r="E78" i="7"/>
  <c r="D65" i="7"/>
  <c r="B71" i="7"/>
  <c r="C70" i="7"/>
  <c r="C65" i="7"/>
  <c r="F77" i="7"/>
  <c r="F76" i="7"/>
  <c r="B67" i="7"/>
  <c r="D75" i="7"/>
  <c r="G68" i="7"/>
  <c r="D62" i="7"/>
  <c r="G79" i="7"/>
  <c r="B76" i="7"/>
  <c r="F70" i="7"/>
  <c r="G74" i="7"/>
  <c r="B72" i="7"/>
  <c r="F71" i="7"/>
  <c r="F79" i="7"/>
  <c r="F73" i="7"/>
  <c r="C68" i="7"/>
  <c r="D71" i="7"/>
  <c r="B79" i="7"/>
  <c r="C72" i="7"/>
  <c r="E65" i="7"/>
  <c r="G77" i="7"/>
  <c r="B65" i="7"/>
  <c r="D72" i="7"/>
  <c r="G72" i="7"/>
  <c r="C67" i="7"/>
  <c r="B78" i="7"/>
  <c r="E62" i="7"/>
  <c r="C79" i="7"/>
  <c r="D74" i="7"/>
  <c r="E81" i="7"/>
  <c r="E68" i="7"/>
  <c r="G62" i="7"/>
  <c r="C62" i="7"/>
  <c r="E79" i="7"/>
  <c r="G76" i="7"/>
  <c r="E70" i="7"/>
  <c r="D77" i="7"/>
  <c r="C78" i="7"/>
  <c r="E76" i="7"/>
  <c r="D70" i="7"/>
  <c r="E77" i="7"/>
  <c r="B75" i="7"/>
  <c r="C71" i="7"/>
  <c r="E71" i="7"/>
  <c r="G65" i="7"/>
  <c r="G63" i="7"/>
  <c r="C63" i="7"/>
  <c r="B70" i="7"/>
  <c r="E63" i="7"/>
  <c r="G78" i="7"/>
  <c r="D76" i="7"/>
  <c r="D68" i="7"/>
  <c r="F62" i="7"/>
  <c r="D79" i="7"/>
  <c r="G70" i="7"/>
  <c r="B68" i="7"/>
  <c r="F68" i="7"/>
  <c r="D78" i="7"/>
  <c r="G71" i="7"/>
  <c r="C77" i="7"/>
  <c r="B77" i="7"/>
  <c r="E72" i="7"/>
  <c r="G75" i="7"/>
  <c r="B63" i="7"/>
  <c r="F75" i="7"/>
  <c r="F63" i="7"/>
  <c r="B62" i="7"/>
  <c r="C76" i="7"/>
  <c r="B74" i="7"/>
  <c r="D63" i="7"/>
  <c r="F78" i="7"/>
  <c r="H30" i="3"/>
  <c r="H9" i="3"/>
  <c r="J9" i="3"/>
  <c r="F52" i="7"/>
  <c r="G52" i="7"/>
  <c r="G40" i="7"/>
  <c r="B51" i="7"/>
  <c r="C49" i="7"/>
  <c r="B47" i="7"/>
  <c r="E40" i="7"/>
  <c r="F38" i="7"/>
  <c r="D40" i="7"/>
  <c r="E38" i="7"/>
  <c r="G53" i="7"/>
  <c r="E51" i="7"/>
  <c r="E49" i="7"/>
  <c r="D47" i="7"/>
  <c r="F39" i="7"/>
  <c r="E53" i="7"/>
  <c r="D51" i="7"/>
  <c r="D49" i="7"/>
  <c r="E39" i="7"/>
  <c r="E52" i="7"/>
  <c r="G47" i="7"/>
  <c r="E45" i="7"/>
  <c r="C39" i="7"/>
  <c r="D52" i="7"/>
  <c r="B50" i="7"/>
  <c r="F47" i="7"/>
  <c r="C45" i="7"/>
  <c r="B39" i="7"/>
  <c r="C52" i="7"/>
  <c r="E47" i="7"/>
  <c r="G50" i="7"/>
  <c r="B54" i="7"/>
  <c r="F50" i="7"/>
  <c r="B44" i="7"/>
  <c r="F40" i="7"/>
  <c r="C37" i="7"/>
  <c r="E50" i="7"/>
  <c r="C40" i="7"/>
  <c r="D54" i="7"/>
  <c r="G49" i="7"/>
  <c r="B38" i="7"/>
  <c r="F49" i="7"/>
  <c r="D53" i="7"/>
  <c r="D41" i="7"/>
  <c r="G37" i="7"/>
  <c r="F54" i="7"/>
  <c r="G48" i="7"/>
  <c r="B40" i="7"/>
  <c r="F48" i="7"/>
  <c r="D44" i="7"/>
  <c r="C53" i="7"/>
  <c r="D48" i="7"/>
  <c r="D39" i="7"/>
  <c r="C48" i="7"/>
  <c r="G43" i="7"/>
  <c r="E56" i="7"/>
  <c r="C43" i="7"/>
  <c r="B48" i="7"/>
  <c r="B43" i="7"/>
  <c r="G45" i="7"/>
  <c r="G38" i="7"/>
  <c r="G51" i="7"/>
  <c r="F45" i="7"/>
  <c r="D38" i="7"/>
  <c r="F51" i="7"/>
  <c r="D46" i="7"/>
  <c r="C51" i="7"/>
  <c r="C41" i="7"/>
  <c r="B41" i="7"/>
  <c r="B52" i="7"/>
  <c r="F43" i="7"/>
  <c r="E46" i="7"/>
  <c r="F56" i="7"/>
  <c r="D43" i="7"/>
  <c r="E37" i="7"/>
  <c r="B45" i="7"/>
  <c r="E41" i="7"/>
  <c r="D50" i="7"/>
  <c r="G41" i="7"/>
  <c r="B49" i="7"/>
  <c r="D55" i="7"/>
  <c r="E54" i="7"/>
  <c r="C50" i="7"/>
  <c r="C55" i="7"/>
  <c r="G54" i="7"/>
  <c r="B55" i="7"/>
  <c r="C54" i="7"/>
  <c r="E43" i="7"/>
  <c r="D37" i="7"/>
  <c r="F37" i="7"/>
  <c r="D45" i="7"/>
  <c r="C47" i="7"/>
  <c r="D56" i="7"/>
  <c r="E44" i="7"/>
  <c r="G56" i="7"/>
  <c r="G46" i="7"/>
  <c r="C44" i="7"/>
  <c r="C56" i="7"/>
  <c r="F46" i="7"/>
  <c r="E48" i="7"/>
  <c r="G42" i="7"/>
  <c r="G55" i="7"/>
  <c r="F42" i="7"/>
  <c r="B46" i="7"/>
  <c r="E42" i="7"/>
  <c r="E55" i="7"/>
  <c r="B37" i="7"/>
  <c r="B42" i="7"/>
  <c r="C46" i="7"/>
  <c r="G44" i="7"/>
  <c r="F41" i="7"/>
  <c r="D42" i="7"/>
  <c r="B53" i="7"/>
  <c r="G39" i="7"/>
  <c r="F44" i="7"/>
  <c r="F53" i="7"/>
  <c r="B56" i="7"/>
  <c r="C38" i="7"/>
  <c r="F55" i="7"/>
  <c r="C42" i="7"/>
  <c r="H9" i="5"/>
  <c r="J9" i="5"/>
  <c r="H30" i="5"/>
</calcChain>
</file>

<file path=xl/sharedStrings.xml><?xml version="1.0" encoding="utf-8"?>
<sst xmlns="http://schemas.openxmlformats.org/spreadsheetml/2006/main" count="3944" uniqueCount="874">
  <si>
    <t>2026 ELECTION SIMULATOR  /  HOUSE | 435 DISTRICTS</t>
  </si>
  <si>
    <t>Adjust national conditions and Democratic vote shares; live seat totals update automatically.</t>
  </si>
  <si>
    <t>NATIONAL ENVIRONMENT SIMULATOR</t>
  </si>
  <si>
    <r>
      <t xml:space="preserve">LIVE SEAT COUNT! 435 HOUSE SEATS IN TOTAL:  </t>
    </r>
    <r>
      <rPr>
        <b/>
        <sz val="11"/>
        <color rgb="FF00B0F0"/>
        <rFont val="Calibri"/>
        <family val="2"/>
      </rPr>
      <t>218 VOTES NEEDED FOR A MAJORITY</t>
    </r>
    <r>
      <rPr>
        <b/>
        <sz val="11"/>
        <color rgb="FFFFFFFF"/>
        <rFont val="Calibri"/>
        <family val="2"/>
      </rPr>
      <t>. 2024 U.S. House: 220 R 215 D</t>
    </r>
  </si>
  <si>
    <t>National generic ballot baseline (positive values indicate Democratic lead)</t>
  </si>
  <si>
    <t>Democratic seats</t>
  </si>
  <si>
    <t>Republican seats</t>
  </si>
  <si>
    <t>Demographic scenario</t>
  </si>
  <si>
    <t>All edited groups</t>
  </si>
  <si>
    <t>Active demographics: RACE + EDUCATION only</t>
  </si>
  <si>
    <t>Additional swing (pp)</t>
  </si>
  <si>
    <t>0 = no extra adjustment</t>
  </si>
  <si>
    <t>Preset (generic ballot mode only)</t>
  </si>
  <si>
    <t>D seat change</t>
  </si>
  <si>
    <t>R seat change</t>
  </si>
  <si>
    <t>Uniform swing</t>
  </si>
  <si>
    <t>Each contest has its own 2026 forecast baseline</t>
  </si>
  <si>
    <t>435 House districts; majority = 218.</t>
  </si>
  <si>
    <t>2024 presidential baseline (D−R pp)</t>
  </si>
  <si>
    <t>Ballot-locked seats</t>
  </si>
  <si>
    <t>RACE / ETHNICITY</t>
  </si>
  <si>
    <t>EDIT D% for 2026 National %</t>
  </si>
  <si>
    <t>2024 National Baseline (R+1.5)</t>
  </si>
  <si>
    <t>2020 National Baseline (D+ 4.5)</t>
  </si>
  <si>
    <t>2018 National House (D+8.4)</t>
  </si>
  <si>
    <t>2018 US D% (D+8.4)</t>
  </si>
  <si>
    <t>Race</t>
  </si>
  <si>
    <t>2024 reference %</t>
  </si>
  <si>
    <t>2026 entered %</t>
  </si>
  <si>
    <t>Applied %</t>
  </si>
  <si>
    <t>Change pp</t>
  </si>
  <si>
    <t>White (non-Hispanic)</t>
  </si>
  <si>
    <t>White non-Hispanic</t>
  </si>
  <si>
    <t>Race reset</t>
  </si>
  <si>
    <t>Hispanic / Latino</t>
  </si>
  <si>
    <t>Black</t>
  </si>
  <si>
    <t>Asian</t>
  </si>
  <si>
    <t>Other / unclassified</t>
  </si>
  <si>
    <t>EDUCATION GROUP</t>
  </si>
  <si>
    <t>EDIT D %</t>
  </si>
  <si>
    <t>Education</t>
  </si>
  <si>
    <t>2024 electorate %</t>
  </si>
  <si>
    <t>College degree (BA+)</t>
  </si>
  <si>
    <t>Education reset</t>
  </si>
  <si>
    <t>Use entered</t>
  </si>
  <si>
    <t>Without BA degree</t>
  </si>
  <si>
    <t>No BA degree</t>
  </si>
  <si>
    <t>Ballot source: 270toWin 2026 uncontested House races; California SOS top-two election rules.</t>
  </si>
  <si>
    <t>Tipping contest</t>
  </si>
  <si>
    <t>R seats needed</t>
  </si>
  <si>
    <t>2026 interactive scenario • historical baseline fixed • teal cells are controls</t>
  </si>
  <si>
    <t>District / state</t>
  </si>
  <si>
    <t>Original D−R</t>
  </si>
  <si>
    <t>National Δ</t>
  </si>
  <si>
    <t>Race Δ</t>
  </si>
  <si>
    <t>Education Δ</t>
  </si>
  <si>
    <t>SCENARIO D−R</t>
  </si>
  <si>
    <t>Party</t>
  </si>
  <si>
    <t>Baseline holder / reference</t>
  </si>
  <si>
    <t>Flip vs reference</t>
  </si>
  <si>
    <t>Display margin</t>
  </si>
  <si>
    <t>D margin rank</t>
  </si>
  <si>
    <t>Absolute margin</t>
  </si>
  <si>
    <t>Closeness rank</t>
  </si>
  <si>
    <t>Source baseline D−R</t>
  </si>
  <si>
    <t>Source election / proxy</t>
  </si>
  <si>
    <t>Scenario − historical</t>
  </si>
  <si>
    <t>Legacy forecast − baseline</t>
  </si>
  <si>
    <t>Scenario − legacy forecast</t>
  </si>
  <si>
    <t>2026 BALLOT STATUS</t>
  </si>
  <si>
    <t>LOCKED PARTY</t>
  </si>
  <si>
    <t>Ballot details / source</t>
  </si>
  <si>
    <t>Override rationale</t>
  </si>
  <si>
    <t>Contested</t>
  </si>
  <si>
    <t>Both major parties or other ballot arrangement</t>
  </si>
  <si>
    <t>Standard model; verify if ballot changes</t>
  </si>
  <si>
    <t>Two Democrats</t>
  </si>
  <si>
    <t>D</t>
  </si>
  <si>
    <t>California top-two primary: two Democrats advanced</t>
  </si>
  <si>
    <t>Ballot lock: both general-election candidates are Democrats</t>
  </si>
  <si>
    <t>Two Republicans</t>
  </si>
  <si>
    <t>R</t>
  </si>
  <si>
    <t>California top-two primary: two Republicans advanced</t>
  </si>
  <si>
    <t>Ballot lock: both general-election candidates are Republicans</t>
  </si>
  <si>
    <t>Unopposed</t>
  </si>
  <si>
    <t>No general-election opponent listed (write-in rules may apply)</t>
  </si>
  <si>
    <t>Ballot lock: Democratic candidate only</t>
  </si>
  <si>
    <t>One major party; other</t>
  </si>
  <si>
    <t>Democrat versus minor-party / independent opponent(s)</t>
  </si>
  <si>
    <t>No lock: non-major-party candidate can win; LA-02 uses Louisiana all-party primary</t>
  </si>
  <si>
    <t>2026 ELECTION SIMULATOR  /  SENATE | 100 SEATS</t>
  </si>
  <si>
    <t>Linked to House inputs • live seat count and state results below.</t>
  </si>
  <si>
    <t>NATIONAL ENVIRONMENT</t>
  </si>
  <si>
    <t>LIVE SEAT COUNT</t>
  </si>
  <si>
    <t>National generic ballot · D−R</t>
  </si>
  <si>
    <t>Senate baselines vary by state</t>
  </si>
  <si>
    <t>Simulated national margin</t>
  </si>
  <si>
    <t>Scenario</t>
  </si>
  <si>
    <t>Starting baseline</t>
  </si>
  <si>
    <t>Uniform swing = pre-demographic forecast (DATA col C); Original forecast = legacy modeled forecast (DATA col B). Neither is raw 2024 result.</t>
  </si>
  <si>
    <t>100 Senate seats: 35 contested + 65 not up (34 D / 31 R).</t>
  </si>
  <si>
    <t>National calculation</t>
  </si>
  <si>
    <t>Applied D%</t>
  </si>
  <si>
    <t>Category switch</t>
  </si>
  <si>
    <t>2024 baseline = ignore edits</t>
  </si>
  <si>
    <t>2024 education: 42% BA+ / 58% no BA (provided exit-poll screenshot).</t>
  </si>
  <si>
    <t>2024 race/income composition from exit poll; Asian/Other split is estimated.</t>
  </si>
  <si>
    <t>Income composition is editable in House Dashboard S18:S20.</t>
  </si>
  <si>
    <t>Catalist 2024 voter analysis</t>
  </si>
  <si>
    <t>https://catalist.us/whathappened2024/</t>
  </si>
  <si>
    <t>Race entries normalize to 100%; education and income complements auto-fill.</t>
  </si>
  <si>
    <t>2025 Virginia exit poll</t>
  </si>
  <si>
    <t>https://en.wikipedia.org/wiki/2025_Virginia_gubernatorial_election#Exit_poll</t>
  </si>
  <si>
    <t>National and district effects centered; race/education/income weighted 1/3 each.</t>
  </si>
  <si>
    <t>Exploratory sensitivity model, not a validated electorate or seat forecast.</t>
  </si>
  <si>
    <t>State results</t>
  </si>
  <si>
    <t>Tipping-point race (D seat #51)</t>
  </si>
  <si>
    <t>D seats needed</t>
  </si>
  <si>
    <t>2026 ELECTION SIMULATOR  /  GOVERNORS | 36 CONTESTS</t>
  </si>
  <si>
    <t>Governor baselines vary by state</t>
  </si>
  <si>
    <t>50-state governorship count: 36 simulated elections + 14 fixed off-cycle states.</t>
  </si>
  <si>
    <t>Off-cycle states stay with their currently elected party; see GOVERNOR DATA.</t>
  </si>
  <si>
    <t>Closest governor contest (absolute pp)</t>
  </si>
  <si>
    <t>Closest state</t>
  </si>
  <si>
    <t>D projected wins</t>
  </si>
  <si>
    <t>R projected wins</t>
  </si>
  <si>
    <t>House model data and baselines</t>
  </si>
  <si>
    <t>Historical margins in M:N are from the source election-model files; B is the initial 2026 forecast.</t>
  </si>
  <si>
    <t>Contest</t>
  </si>
  <si>
    <t>Original margin</t>
  </si>
  <si>
    <t>Pre-demo margin</t>
  </si>
  <si>
    <t>White %</t>
  </si>
  <si>
    <t>Hispanic %</t>
  </si>
  <si>
    <t>Black %</t>
  </si>
  <si>
    <t>Asian %</t>
  </si>
  <si>
    <t>Other %</t>
  </si>
  <si>
    <t>BA+ %</t>
  </si>
  <si>
    <t>High income PROXY %</t>
  </si>
  <si>
    <t>Previous holder / reference</t>
  </si>
  <si>
    <t>Baseline used</t>
  </si>
  <si>
    <t>Historical election D−R (pp)</t>
  </si>
  <si>
    <t>Historical election / proxy</t>
  </si>
  <si>
    <t>AK-AL</t>
  </si>
  <si>
    <t>2024 HOUSE / prior substitute</t>
  </si>
  <si>
    <t>AL-01</t>
  </si>
  <si>
    <t>2024 PRESIDENT (open seat)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</si>
  <si>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</si>
  <si>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</si>
  <si>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</si>
  <si>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</si>
  <si>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</si>
  <si>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</si>
  <si>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</si>
  <si>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</si>
  <si>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</si>
  <si>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</si>
  <si>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</si>
  <si>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</si>
  <si>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</si>
  <si>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</si>
  <si>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</si>
  <si>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</si>
  <si>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</si>
  <si>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</si>
  <si>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</si>
  <si>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</si>
  <si>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</si>
  <si>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</si>
  <si>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</si>
  <si>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</si>
  <si>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</si>
  <si>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</si>
  <si>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</si>
  <si>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</si>
  <si>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</si>
  <si>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</si>
  <si>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</si>
  <si>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</si>
  <si>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</si>
  <si>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</si>
  <si>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</si>
  <si>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</si>
  <si>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</si>
  <si>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</si>
  <si>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</si>
  <si>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</si>
  <si>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</si>
  <si>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</si>
  <si>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</si>
  <si>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</si>
  <si>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</si>
  <si>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</si>
  <si>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</si>
  <si>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</si>
  <si>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</si>
  <si>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</si>
  <si>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</si>
  <si>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</si>
  <si>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</si>
  <si>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</si>
  <si>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</si>
  <si>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</si>
  <si>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</si>
  <si>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</si>
  <si>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</si>
  <si>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</si>
  <si>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</si>
  <si>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</si>
  <si>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</si>
  <si>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</si>
  <si>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</si>
  <si>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</si>
  <si>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</si>
  <si>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</si>
  <si>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</si>
  <si>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</si>
  <si>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</si>
  <si>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</si>
  <si>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</si>
  <si>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</si>
  <si>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</si>
  <si>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</si>
  <si>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</si>
  <si>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</si>
  <si>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</si>
  <si>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</si>
  <si>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CT-02</t>
  </si>
  <si>
    <t>CT-03</t>
  </si>
  <si>
    <t>CT-04</t>
  </si>
  <si>
    <t>CT-05</t>
  </si>
  <si>
    <t>DE-AL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</si>
  <si>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</si>
  <si>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</si>
  <si>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</si>
  <si>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</si>
  <si>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</si>
  <si>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</si>
  <si>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</si>
  <si>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</si>
  <si>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</si>
  <si>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</si>
  <si>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</si>
  <si>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</si>
  <si>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</si>
  <si>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</si>
  <si>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</si>
  <si>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</si>
  <si>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</si>
  <si>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</si>
  <si>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</si>
  <si>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</si>
  <si>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</si>
  <si>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</si>
  <si>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</si>
  <si>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</si>
  <si>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</si>
  <si>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</si>
  <si>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</si>
  <si>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</si>
  <si>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</si>
  <si>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</si>
  <si>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</si>
  <si>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</si>
  <si>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</si>
  <si>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</si>
  <si>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</si>
  <si>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</si>
  <si>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</si>
  <si>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</si>
  <si>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</si>
  <si>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</si>
  <si>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</si>
  <si>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</si>
  <si>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</si>
  <si>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</si>
  <si>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</si>
  <si>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</si>
  <si>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</si>
  <si>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</si>
  <si>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</si>
  <si>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</si>
  <si>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</si>
  <si>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</si>
  <si>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</si>
  <si>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</si>
  <si>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</si>
  <si>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</si>
  <si>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</si>
  <si>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</si>
  <si>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</si>
  <si>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</si>
  <si>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</si>
  <si>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</si>
  <si>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</si>
  <si>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</si>
  <si>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</si>
  <si>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</si>
  <si>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</si>
  <si>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</si>
  <si>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</si>
  <si>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</si>
  <si>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</si>
  <si>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</si>
  <si>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</si>
  <si>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</si>
  <si>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</si>
  <si>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</si>
  <si>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</si>
  <si>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</si>
  <si>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</si>
  <si>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</si>
  <si>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</si>
  <si>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</si>
  <si>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</si>
  <si>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</si>
  <si>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</si>
  <si>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</si>
  <si>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</si>
  <si>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</si>
  <si>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</si>
  <si>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</si>
  <si>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</si>
  <si>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</si>
  <si>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</si>
  <si>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</si>
  <si>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</si>
  <si>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</si>
  <si>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</si>
  <si>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</si>
  <si>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</si>
  <si>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</si>
  <si>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</si>
  <si>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</si>
  <si>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</si>
  <si>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</si>
  <si>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</si>
  <si>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</si>
  <si>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</si>
  <si>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</si>
  <si>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</si>
  <si>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</si>
  <si>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</si>
  <si>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</si>
  <si>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</si>
  <si>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</si>
  <si>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</si>
  <si>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</si>
  <si>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</si>
  <si>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</si>
  <si>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</si>
  <si>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</si>
  <si>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</si>
  <si>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</si>
  <si>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</si>
  <si>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</si>
  <si>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</si>
  <si>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</si>
  <si>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</si>
  <si>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</si>
  <si>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</si>
  <si>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</si>
  <si>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</si>
  <si>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</si>
  <si>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</si>
  <si>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</si>
  <si>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</si>
  <si>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</si>
  <si>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</si>
  <si>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</si>
  <si>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</si>
  <si>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</si>
  <si>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</si>
  <si>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</si>
  <si>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</si>
  <si>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</si>
  <si>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</si>
  <si>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</si>
  <si>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</si>
  <si>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</si>
  <si>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</si>
  <si>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</si>
  <si>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</si>
  <si>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</si>
  <si>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</si>
  <si>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</si>
  <si>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</si>
  <si>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</si>
  <si>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</si>
  <si>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</si>
  <si>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</si>
  <si>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</si>
  <si>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ND-AL</t>
  </si>
  <si>
    <t>NE-01</t>
  </si>
  <si>
    <t>NE-02</t>
  </si>
  <si>
    <t>NE-03</t>
  </si>
  <si>
    <t>NH-01</t>
  </si>
  <si>
    <t>NH-02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</si>
  <si>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</si>
  <si>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</si>
  <si>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</si>
  <si>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</si>
  <si>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</si>
  <si>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</si>
  <si>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</si>
  <si>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</si>
  <si>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</si>
  <si>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</si>
  <si>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</si>
  <si>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</si>
  <si>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</si>
  <si>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</si>
  <si>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</si>
  <si>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</si>
  <si>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</si>
  <si>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</si>
  <si>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</si>
  <si>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</si>
  <si>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</si>
  <si>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</si>
  <si>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</si>
  <si>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</si>
  <si>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</si>
  <si>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</si>
  <si>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</si>
  <si>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</si>
  <si>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</si>
  <si>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</si>
  <si>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</si>
  <si>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</si>
  <si>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</si>
  <si>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</si>
  <si>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</si>
  <si>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</si>
  <si>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</si>
  <si>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</si>
  <si>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</si>
  <si>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</si>
  <si>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</si>
  <si>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</si>
  <si>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</si>
  <si>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</si>
  <si>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</si>
  <si>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</si>
  <si>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</si>
  <si>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</si>
  <si>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</si>
  <si>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</si>
  <si>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</si>
  <si>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</si>
  <si>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</si>
  <si>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</si>
  <si>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</si>
  <si>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</si>
  <si>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</si>
  <si>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</si>
  <si>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</si>
  <si>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</si>
  <si>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</si>
  <si>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</si>
  <si>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</si>
  <si>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</si>
  <si>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</si>
  <si>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</si>
  <si>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</si>
  <si>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</si>
  <si>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</si>
  <si>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</si>
  <si>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</si>
  <si>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</si>
  <si>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</si>
  <si>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</si>
  <si>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</si>
  <si>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</si>
  <si>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</si>
  <si>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</si>
  <si>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</si>
  <si>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</si>
  <si>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</si>
  <si>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</si>
  <si>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</si>
  <si>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</si>
  <si>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</si>
  <si>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</si>
  <si>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</si>
  <si>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</si>
  <si>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</si>
  <si>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</si>
  <si>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</si>
  <si>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</si>
  <si>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</si>
  <si>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</si>
  <si>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</si>
  <si>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</si>
  <si>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</si>
  <si>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SD-AL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</si>
  <si>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</si>
  <si>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</si>
  <si>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</si>
  <si>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</si>
  <si>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</si>
  <si>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</si>
  <si>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</si>
  <si>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</si>
  <si>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</si>
  <si>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</si>
  <si>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</si>
  <si>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</si>
  <si>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</si>
  <si>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</si>
  <si>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</si>
  <si>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</si>
  <si>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</si>
  <si>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</si>
  <si>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</si>
  <si>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</si>
  <si>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</si>
  <si>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</si>
  <si>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</si>
  <si>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</si>
  <si>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</si>
  <si>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</si>
  <si>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</si>
  <si>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</si>
  <si>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</si>
  <si>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</si>
  <si>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</si>
  <si>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</si>
  <si>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</si>
  <si>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</si>
  <si>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</si>
  <si>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</si>
  <si>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</si>
  <si>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</si>
  <si>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</si>
  <si>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</si>
  <si>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</si>
  <si>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</si>
  <si>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</si>
  <si>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</si>
  <si>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</si>
  <si>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</si>
  <si>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</si>
  <si>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</si>
  <si>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</si>
  <si>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</si>
  <si>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</si>
  <si>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</si>
  <si>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</si>
  <si>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</si>
  <si>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</si>
  <si>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</si>
  <si>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</si>
  <si>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</si>
  <si>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</si>
  <si>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</si>
  <si>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</si>
  <si>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</si>
  <si>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VT-AL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</si>
  <si>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</si>
  <si>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</si>
  <si>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</si>
  <si>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</si>
  <si>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</si>
  <si>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</si>
  <si>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</si>
  <si>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</si>
  <si>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</si>
  <si>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</si>
  <si>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</si>
  <si>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</si>
  <si>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</si>
  <si>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</si>
  <si>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</si>
  <si>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</si>
  <si>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</si>
  <si>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</si>
  <si>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</si>
  <si>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</si>
  <si>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WY-AL</t>
  </si>
  <si>
    <t>Senate model data and baselines</t>
  </si>
  <si>
    <t>INDEPENDENT SENATE SCENARIO</t>
  </si>
  <si>
    <t>Margin points</t>
  </si>
  <si>
    <t>Osborn vs Fischer, NE 2024</t>
  </si>
  <si>
    <t>Independent bonus vs Harris</t>
  </si>
  <si>
    <t>Alabama</t>
  </si>
  <si>
    <t>2024 PRESIDENTIAL</t>
  </si>
  <si>
    <t>Harris vs Trump, NE 2024</t>
  </si>
  <si>
    <t>Alaska</t>
  </si>
  <si>
    <t>2020 PRES + 2024 HOUSE (50/50)</t>
  </si>
  <si>
    <t>Method</t>
  </si>
  <si>
    <t>Osborn margin minus Harris margin</t>
  </si>
  <si>
    <t>Arkansas</t>
  </si>
  <si>
    <t>Applies to</t>
  </si>
  <si>
    <t>Idaho and South Dakota; scenario assumption</t>
  </si>
  <si>
    <t>Colorado</t>
  </si>
  <si>
    <t>2020 SENATE</t>
  </si>
  <si>
    <t>Historical baseline</t>
  </si>
  <si>
    <t>2020 incumbent Senate margin (D−R)</t>
  </si>
  <si>
    <t>Delaware</t>
  </si>
  <si>
    <t>2020 baseline national adjustment</t>
  </si>
  <si>
    <t>Florida</t>
  </si>
  <si>
    <t>Georgia</t>
  </si>
  <si>
    <t>2021 SENATE RUNOFF</t>
  </si>
  <si>
    <t>Idaho</t>
  </si>
  <si>
    <t>Illinois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</si>
  <si>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</si>
  <si>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</si>
  <si>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</si>
  <si>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</si>
  <si>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</si>
  <si>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</si>
  <si>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</si>
  <si>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</si>
  <si>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</si>
  <si>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Montana</t>
  </si>
  <si>
    <t>Nebraska</t>
  </si>
  <si>
    <t>2024 SENATE (returning challenger)</t>
  </si>
  <si>
    <t>New Hampshire</t>
  </si>
  <si>
    <t>New Jersey</t>
  </si>
  <si>
    <t>New Mexico</t>
  </si>
  <si>
    <t>North Carolina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</si>
  <si>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</si>
  <si>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</si>
  <si>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</si>
  <si>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</si>
  <si>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</si>
  <si>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</si>
  <si>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</si>
  <si>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</si>
  <si>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Virginia</t>
  </si>
  <si>
    <t>West Virginia</t>
  </si>
  <si>
    <t>Wyoming</t>
  </si>
  <si>
    <t>Governor model data and baselines</t>
  </si>
  <si>
    <t>OFF-CYCLE GOVERNORSHIPS</t>
  </si>
  <si>
    <t>Last election</t>
  </si>
  <si>
    <t>2024 President (2024)</t>
  </si>
  <si>
    <t>Indiana</t>
  </si>
  <si>
    <t>Arizona</t>
  </si>
  <si>
    <t>Prior Governor (2022)</t>
  </si>
  <si>
    <t>Missouri</t>
  </si>
  <si>
    <t>California</t>
  </si>
  <si>
    <t>North Dakota</t>
  </si>
  <si>
    <t>Connecticut</t>
  </si>
  <si>
    <t>Utah</t>
  </si>
  <si>
    <t>Washington</t>
  </si>
  <si>
    <t>Hawaii</t>
  </si>
  <si>
    <t>Maryland</t>
  </si>
  <si>
    <t>Nevada</t>
  </si>
  <si>
    <t>Prior Governor (2024)</t>
  </si>
  <si>
    <t>New York</t>
  </si>
  <si>
    <t>Pennsylvania</t>
  </si>
  <si>
    <t>Vermont</t>
  </si>
  <si>
    <t>Wisconsin</t>
  </si>
  <si>
    <t>2026 race rankings — updated from the three dashboards</t>
  </si>
  <si>
    <t>These are deterministic scenario margins, not probabilities. Change inputs on a dashboard to update this list.</t>
  </si>
  <si>
    <t>HOUSE — 25 closest districts</t>
  </si>
  <si>
    <t>Scenario margin</t>
  </si>
  <si>
    <t>Projected party</t>
  </si>
  <si>
    <t>Reference holder</t>
  </si>
  <si>
    <t>Flip</t>
  </si>
  <si>
    <t>Abs. margin</t>
  </si>
  <si>
    <t>SENATE — 20 closest races</t>
  </si>
  <si>
    <t>GOVERNOR — 20 closest races</t>
  </si>
  <si>
    <t>2026 election scenario model — methodology and sources</t>
  </si>
  <si>
    <t>Governor count</t>
  </si>
  <si>
    <t>36 modeled contests</t>
  </si>
  <si>
    <t>6 D + 8 R off-cycle governors</t>
  </si>
  <si>
    <t>Sum of 50 governorships = 50</t>
  </si>
  <si>
    <t>House tipping point</t>
  </si>
  <si>
    <t>218th highest district Democratic margin; 218 wins constitute a House majority.</t>
  </si>
  <si>
    <t>Generic ballot threshold = effective generic ballot minus 218th margin, holding other inputs fixed.</t>
  </si>
  <si>
    <t>Dashboard B43:B45</t>
  </si>
  <si>
    <t>Senate tipping point</t>
  </si>
  <si>
    <t>51st Democratic Senate seat, accounting for 34 D + 31 R seats outside modeled contests.</t>
  </si>
  <si>
    <t>17th highest Democratic margin among 35 modeled contests; no 50-50 VP assumption.</t>
  </si>
  <si>
    <t>Governor closest race</t>
  </si>
  <si>
    <t>Smallest absolute governor scenario margin among 36 elections.</t>
  </si>
  <si>
    <t>Governors do not form a single legislative chamber, so no chamber tipping point.</t>
  </si>
  <si>
    <t>Dashboard B43:E43</t>
  </si>
  <si>
    <t>Race vote-share input</t>
  </si>
  <si>
    <t>2024 presidential race D two-party reference (user-confirmed ElectIndex): White 42.4%; Hispanic 54.2%; Black 85.4%; Asian 60.7%; Other 53.5%.</t>
  </si>
  <si>
    <t>All five 2024 racial reference percentages are user-confirmed ElectIndex figures. 2025 NJ/VA references are separate exit-poll comparisons.</t>
  </si>
  <si>
    <t>https://electindex.com/shuffler/</t>
  </si>
  <si>
    <t>Race district composition</t>
  </si>
  <si>
    <t>District-level White, Hispanic, Black, Asian CVAP shares; residual assigned Other.</t>
  </si>
  <si>
    <t>CVAP is not voter turnout; Senate and Governor state shares approximate unweighted House district means.</t>
  </si>
  <si>
    <t>2026_House_Forecast_Portfolio_Polished.xlsx</t>
  </si>
  <si>
    <t>Race vote-share change</t>
  </si>
  <si>
    <t>District race effect = 2 × composition-weighted change in group Democratic two-party share, minus the national reference shift. No turnout multipliers.</t>
  </si>
  <si>
    <t>Racial population shares are CVAP proxies, not observed 2024 electorate composition.</t>
  </si>
  <si>
    <t>Dashboard D49:Dend</t>
  </si>
  <si>
    <t>Education composition</t>
  </si>
  <si>
    <t>2024 ElectIndex education two-party reference: BA+ 55.6%, non-BA 44.9%; college attainment shares are population proxies.</t>
  </si>
  <si>
    <t>Attainment of population is not the BA+ share of actual voters.</t>
  </si>
  <si>
    <t>Income composition</t>
  </si>
  <si>
    <t>Income 2024 presidential reference remains exit-poll-based; district high-income composition is derived from median household income and is not measured voter income.</t>
  </si>
  <si>
    <t>Not actual high-income share of voters. Treat income-mode outputs as illustrative.</t>
  </si>
  <si>
    <t>https://www.foxnews.com/elections/2024/general-results/voter-analysis</t>
  </si>
  <si>
    <t>No dynamic reweighting</t>
  </si>
  <si>
    <t>Every category always has a fixed weight of 1/3, including when it is unchanged. Unchanged category effects equal zero.</t>
  </si>
  <si>
    <t>Avoids the earlier bug: editing education no longer halves the weight assigned to existing racial adjustments.</t>
  </si>
  <si>
    <t>Dashboard G49:Gend</t>
  </si>
  <si>
    <t>2025 exit poll reference</t>
  </si>
  <si>
    <t>NJ and VA gubernatorial exit poll group estimates shown next to editable inputs.</t>
  </si>
  <si>
    <t>A two-state average is not representative of the national electorate.</t>
  </si>
  <si>
    <t>https://en.wikipedia.org/wiki/2025_New_Jersey_gubernatorial_election</t>
  </si>
  <si>
    <t>2025 Virginia reference</t>
  </si>
  <si>
    <t>Virginia 2025 gubernatorial exit poll.</t>
  </si>
  <si>
    <t>Exit poll categories, sample sizes and weighting may differ across states.</t>
  </si>
  <si>
    <t>https://en.wikipedia.org/wiki/2025_Virginia_gubernatorial_election</t>
  </si>
  <si>
    <t>Backtest scope</t>
  </si>
  <si>
    <t>2020 Senate historical exercise reproduced on the BACKTEST 2020 sheet.</t>
  </si>
  <si>
    <t>It evaluates a historical national-swing baseline, NOT the 2026 House/Senate/Governor demographic simulator.</t>
  </si>
  <si>
    <t>2020_Senate_Historical_Backtest.xlsx</t>
  </si>
  <si>
    <t>Limitations</t>
  </si>
  <si>
    <t>Deterministic scenario model. The national reference is an unweighted average across House districts, not the measured national electorate.</t>
  </si>
  <si>
    <t>Education and income district shares are population proxies. No calibrated uncertainty intervals.</t>
  </si>
  <si>
    <t>Caution</t>
  </si>
  <si>
    <t>2024 race source</t>
  </si>
  <si>
    <t>ElectIndex 2024 presidential Democratic two-party: White 42.4; Hispanic 54.2; Black 85.4; Asian 60.7; Other 53.5.</t>
  </si>
  <si>
    <t>User-confirmed ElectIndex values; no racial-group reference remains provisional.</t>
  </si>
  <si>
    <t>Shared House inputs</t>
  </si>
  <si>
    <t>All race, education, and income two-party vote shares are entered on HOUSE DASHBOARD; Senate and Governor link automatically.</t>
  </si>
  <si>
    <t>B6 remains All edited groups; fixed weights in MODEL ENGINE K2:K4.</t>
  </si>
  <si>
    <t>House / Senate / Governor B11</t>
  </si>
  <si>
    <t>Generic-ballot mechanics</t>
  </si>
  <si>
    <t>B8 set by B5/B9; national demographic effects are centered away; the fixed-weight average of centered local effects redistributes support.</t>
  </si>
  <si>
    <t>Fixed national margin means an increase in one demographic share may lower some districts relative to others.</t>
  </si>
  <si>
    <t>Dashboard B5,B6,B7,B8,B9</t>
  </si>
  <si>
    <t>Demographic-driven mechanics</t>
  </si>
  <si>
    <t>B8 = 2024 presidential D−R (-1.48) + 1/3 national Race + 1/3 national Education + 1/3 national Income + optional B7.</t>
  </si>
  <si>
    <t>No activation flags or changing denominator. Local effects use exactly the same fixed weights.</t>
  </si>
  <si>
    <t>Dashboard B6,B7,B8,B11,C11</t>
  </si>
  <si>
    <t>National race swing</t>
  </si>
  <si>
    <t>Mean of the 435 House district raw race vote-share effects, computed from district race composition.</t>
  </si>
  <si>
    <t>No turnout indices; no user-editable national race weights. See MODEL ENGINE G2.</t>
  </si>
  <si>
    <t>Dashboard J23</t>
  </si>
  <si>
    <t>National education swing</t>
  </si>
  <si>
    <t>Mean of the 435 House district raw education vote-share effects.</t>
  </si>
  <si>
    <t>The former 34.1% national BA proxy control has been removed. See MODEL ENGINE G3.</t>
  </si>
  <si>
    <t>Dashboard J28</t>
  </si>
  <si>
    <t>National income swing</t>
  </si>
  <si>
    <t>Mean of the 435 House district raw income vote-share effects.</t>
  </si>
  <si>
    <t>The former national high-income proxy control has been removed. See MODEL ENGINE G4.</t>
  </si>
  <si>
    <t>Dashboard J34</t>
  </si>
  <si>
    <t>Preventing dilution</t>
  </si>
  <si>
    <t>Former model averaged only edited categories; adding a smaller positive education shift could reduce the modeled national swing.</t>
  </si>
  <si>
    <t>Now all categories have constant weights. This fixes that non-monotonic artifact, but is not a fitted model.</t>
  </si>
  <si>
    <t>Dashboard G49:Hend</t>
  </si>
  <si>
    <t>Fixed demographic weights</t>
  </si>
  <si>
    <t>Race = 1/3; Education = 1/3; Income = 1/3. Unchanged inputs contribute zero, without changing the other weights.</t>
  </si>
  <si>
    <t>MODEL ENGINE K2:K4. H2:H4 edit flags are diagnostics only; they do not control weights.</t>
  </si>
  <si>
    <t>Dashboard I23,I28,I34; J23,J28,J34; G49:Gend</t>
  </si>
  <si>
    <t>Starting margin choice</t>
  </si>
  <si>
    <t>B10 Uniform swing starts from the existing pre-demographic 2026 forecast; Original forecast starts from the legacy 2026 modeled margin.</t>
  </si>
  <si>
    <t>Both were originally based on D+8.7. The switch changes starting margins, not the national vote formula.</t>
  </si>
  <si>
    <t>Dashboard B10, data B:C</t>
  </si>
  <si>
    <t>Baseline and scope</t>
  </si>
  <si>
    <t>2024 national presidential D−R is −1.48 pp (R+1.48), used only as the Mode B reference. 2024 national House vote R+2.56 is a distinct House historical baseline.</t>
  </si>
  <si>
    <t>State Senate and Governor baselines vary by state; the presidential national reference is a simplified environment calibration, not a direct Senate or Governor vote forecast.</t>
  </si>
  <si>
    <t>Dashboard C11, E5</t>
  </si>
  <si>
    <t>Model interpretation</t>
  </si>
  <si>
    <t>In demographic-driven mode, increasing one D two-party vote share cannot reduce any district D margin with all else held fixed.</t>
  </si>
  <si>
    <t>This is mathematical monotonicity, not statistical calibration. Overlapping categories require joint voter data for rigorous inference.</t>
  </si>
  <si>
    <t>Model limitations</t>
  </si>
  <si>
    <t>ELECTORATE COMPOSITION — OCTOBER 2026 SCENARIO UPDATE</t>
  </si>
  <si>
    <t>The former right-hand turnout-index block and national BA/high-income proxy cells were removed from dashboards.</t>
  </si>
  <si>
    <t>MODEL ENGINE calculates national shifts from House district-level demographic composition; no separate turnout controls.</t>
  </si>
  <si>
    <t>HOUSE DASHBOARD / MODEL ENGINE</t>
  </si>
  <si>
    <t>House Dashboard J:P controls national electorate composition (race, education, income). Senate/Governor link to it.</t>
  </si>
  <si>
    <t>House local demographic residuals are centered against national proxy shifts, with fixed weights applied both nationally and locally.</t>
  </si>
  <si>
    <t>In demographic-driven mode the centered terms cancel to leave each district fixed-weight raw swing.</t>
  </si>
  <si>
    <t>MODEL ENGINE G2:G4; K2:K4</t>
  </si>
  <si>
    <t>2024 education electorate: 42% BA+ / 58% no BA from user-provided 2024 exit-poll screenshot (119,959 respondents).</t>
  </si>
  <si>
    <t>Fixed 1/3 weights are transparent modeling choices, not estimates from voting data. Population proxies do not identify voter turnout.</t>
  </si>
  <si>
    <t>Adding overlapping effects with fixed weights is an illustrative compromise, not a statistical guarantee of no double counting.</t>
  </si>
  <si>
    <t>MODEL ENGINE</t>
  </si>
  <si>
    <t>UPDATED: 2024 race composition from user exit-poll screenshot: White 75%, Black 10%, Latino 10%, Other 5%.</t>
  </si>
  <si>
    <t>HOUSE DASHBOARD H17 (Race), H26 (Education), H32 (Income): Use entered / 2024 baseline.</t>
  </si>
  <si>
    <t>The reset switch changes APPLIED D% (F) without deleting scenario inputs (B); choose Use entered to restore the scenario. Senate/Governor mirror House.</t>
  </si>
  <si>
    <t>House F17:F21, F26:F27, F32:F33; Senate/Governor linked</t>
  </si>
  <si>
    <t>Other includes Asian; Asian/remaining Other split estimated by their earlier district-population proxy ratio.</t>
  </si>
  <si>
    <t>Every contest has its own two modeled 2026 margin versions: Original (DATA column B) and pre-demographic (DATA column C). Historical election margin is DATA column M.</t>
  </si>
  <si>
    <t>Dashboard B10 selects which contest-level modeled starting margin to use. Dashboard B11 separately selects how the national scenario is determined.</t>
  </si>
  <si>
    <t>Dashboard A10:B11; DATA B:C,M</t>
  </si>
  <si>
    <t>2024 income composition from screenshot: &lt;50k 33%, 50–99,999 37%, 100k+ 29%; 99% sum due to rounding.</t>
  </si>
  <si>
    <t>Each category's national D−R change = 2 × (scenario electorate-weighted D% − 2024 reference-weighted D%).</t>
  </si>
  <si>
    <t>Local category effects are centered using the mean of 435 House district effects, avoiding duplicate national swing.</t>
  </si>
  <si>
    <t>Demographic-driven: 2024 presidential D−R + 1/3 each category's national change + optional extra swing.</t>
  </si>
  <si>
    <t>Generic ballot: national D−R fixed by B5/preset; demographic composition redistributes geographic margins.</t>
  </si>
  <si>
    <t>Race/education/income overlap; fixed equal 1/3 coefficients are heuristic, not statistically calibrated.</t>
  </si>
  <si>
    <t>No actual 2026 electorate composition is known; changing assumptions tests scenarios, not forecast accuracy.</t>
  </si>
  <si>
    <t>Model aggregates first two income brackets to &lt;100k and normalizes percentages to 100; no separate geographic income bins.</t>
  </si>
  <si>
    <t>2026 BALLOT CONFIGURATION OVERRIDES (checked 2026-10-19)</t>
  </si>
  <si>
    <t>NEW HISTORICAL COMPARISON REFERENCES</t>
  </si>
  <si>
    <t>2018 House Edison exit poll: 2018 U.S. House election national exit-poll demographics; race, degree, income. https://en.wikipedia.org/wiki/2018_United_States_House_of_Representatives_elections</t>
  </si>
  <si>
    <t>2020 Edison national presidential exit poll: https://en.wikipedia.org/wiki/2020_United_States_presidential_election#Voter_demographics</t>
  </si>
  <si>
    <t>Vote share historical columns Q:R computed as D/(D+R)*100 from reported survey percentage (third-party excluded).</t>
  </si>
  <si>
    <t>Electorate composition historical columns U:V (race/degree), W:X (three-bin income), raw rounded exit-poll reported shares.</t>
  </si>
  <si>
    <t>2024 baseline ElectIndex and 2025 NJ/VA original data preserved, no automatic 2026 adjusted inputs; user must edit B to simulate.</t>
  </si>
  <si>
    <t>2025 shift used to generate adjusted 2026 D% is a scenario comparison; it mixes 2024 national estimates and 2025 two-state results.</t>
  </si>
  <si>
    <t>Rounding may cause electorate composition to sum to 99% or 101%. 2018 House and 2020 Presidential samples are not equivalent.</t>
  </si>
  <si>
    <t>2024 baseline context; preset and teal inputs determine scenario</t>
  </si>
  <si>
    <t>Implied national D−R (after demographic changes)</t>
  </si>
  <si>
    <t>Implied national vote margin reflects scenario settings.</t>
  </si>
  <si>
    <t>Generic ballot preset</t>
  </si>
  <si>
    <t>Custom</t>
  </si>
  <si>
    <t>Custom uses teal B5; select D/R preset to override B5.</t>
  </si>
  <si>
    <t>Baseline method</t>
  </si>
  <si>
    <t>Historical race margins stay fixed in DATA sheets.</t>
  </si>
  <si>
    <t>National environment mode</t>
  </si>
  <si>
    <t>Generic ballot</t>
  </si>
  <si>
    <t>Mode: Generic ballot combines the ballot swing with vote-share changes; Demographic-driven uses vote-share changes alone.</t>
  </si>
  <si>
    <t>Edit only teal B inputs. Fixed historical D% comparisons never change the simulation.</t>
  </si>
  <si>
    <t>National race shift (pp)</t>
  </si>
  <si>
    <t>National education shift (pp)</t>
  </si>
  <si>
    <t>Income (excluded)</t>
  </si>
  <si>
    <t>Race + Education Δ</t>
  </si>
  <si>
    <t>INTERACTIVE MODEL</t>
  </si>
  <si>
    <t>User control</t>
  </si>
  <si>
    <t>Calculation</t>
  </si>
  <si>
    <t>What to expect</t>
  </si>
  <si>
    <t>Generic ballot mode</t>
  </si>
  <si>
    <t>House B9 preset or teal B5</t>
  </si>
  <si>
    <t>National change = selected ballot minus D+8.7, plus B7</t>
  </si>
  <si>
    <t>Demographic adjustments add local and nationwide effects</t>
  </si>
  <si>
    <t>Demographic-driven mode</t>
  </si>
  <si>
    <t>House B11</t>
  </si>
  <si>
    <t>Ignores B5/preset; uses demographic changes and B7</t>
  </si>
  <si>
    <t>A 90% white Democratic vote share produces a very large Democratic shift</t>
  </si>
  <si>
    <t>Race voting inputs</t>
  </si>
  <si>
    <t>House B14:B18</t>
  </si>
  <si>
    <t>Local race shares × national D% change × 2</t>
  </si>
  <si>
    <t>Five independently adjustable vote-share inputs</t>
  </si>
  <si>
    <t>Education voting inputs</t>
  </si>
  <si>
    <t>House B21:B22</t>
  </si>
  <si>
    <t>Local BA+/no-BA shares × national D% change × 2</t>
  </si>
  <si>
    <t>Two independently adjustable vote-share inputs</t>
  </si>
  <si>
    <t>Combined demographics</t>
  </si>
  <si>
    <t>Race and education</t>
  </si>
  <si>
    <t>Mean of race and education margin changes</t>
  </si>
  <si>
    <t>50/50 heuristic weighting; groups overlap</t>
  </si>
  <si>
    <t>Historical comparison data</t>
  </si>
  <si>
    <t>C/D/E reference columns</t>
  </si>
  <si>
    <t>Display only, no references in scenario calculations</t>
  </si>
  <si>
    <t>Editing historical voting comparison cells has no scenario effect</t>
  </si>
  <si>
    <t>Fixed geography</t>
  </si>
  <si>
    <t>DATA sheets D:I</t>
  </si>
  <si>
    <t>Geographic population/education proportions</t>
  </si>
  <si>
    <t>Not the same as 2026 voter turnout composition</t>
  </si>
  <si>
    <t>Caveats</t>
  </si>
  <si>
    <t>Heuristic simulator</t>
  </si>
  <si>
    <t>Not statistically calibrated or validated</t>
  </si>
  <si>
    <t>Extreme inputs are illustrative stress tests</t>
  </si>
  <si>
    <t>SCENARIO CHECKS</t>
  </si>
  <si>
    <t>Action</t>
  </si>
  <si>
    <t>Expected</t>
  </si>
  <si>
    <t>Interpretation</t>
  </si>
  <si>
    <t>Custom ballot</t>
  </si>
  <si>
    <t>B9 Custom; change B5 by +1</t>
  </si>
  <si>
    <t>All unlocked margins increase by +1 pp</t>
  </si>
  <si>
    <t>National input works</t>
  </si>
  <si>
    <t>Preset</t>
  </si>
  <si>
    <t>Select R+3 in B9, Generic ballot mode</t>
  </si>
  <si>
    <t>Uses -3 instead of teal B5</t>
  </si>
  <si>
    <t>Independent of custom value</t>
  </si>
  <si>
    <t>Demographic mode</t>
  </si>
  <si>
    <t>Select Demographic-driven in B11</t>
  </si>
  <si>
    <t>B5/preset no longer affect national swing</t>
  </si>
  <si>
    <t>Demographics drive scenario</t>
  </si>
  <si>
    <t>Historical comparison</t>
  </si>
  <si>
    <t>Edit C14 or D14</t>
  </si>
  <si>
    <t>No effect on simulated margins</t>
  </si>
  <si>
    <t>Historical figures are display-only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</si>
</sst>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;[Red]\-0;0"/>
    <numFmt numFmtId="165" formatCode="0.00;[Red]\-0.00;0.00"/>
    <numFmt numFmtId="166" formatCode="0.0;[Red]\(0.0\);0.0"/>
    <numFmt numFmtId="167" formatCode="0.0"/>
  </numFmts>
  <fonts count="38" x14ac:knownFonts="1">
    <font>
      <sz val="11"/>
      <name val="Carlito"/>
    </font>
    <font>
      <b/>
      <sz val="11"/>
      <color rgb="FFFFFFFF"/>
      <name val="Carlito"/>
      <family val="2"/>
    </font>
    <font>
      <b/>
      <sz val="11"/>
      <color rgb="FF17243B"/>
      <name val="Carlito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273444"/>
      <name val="Calibri"/>
      <family val="2"/>
    </font>
    <font>
      <sz val="10"/>
      <color rgb="FF273444"/>
      <name val="Calibri"/>
      <family val="2"/>
    </font>
    <font>
      <b/>
      <sz val="15"/>
      <color rgb="FF273444"/>
      <name val="Calibri"/>
      <family val="2"/>
    </font>
    <font>
      <b/>
      <sz val="10"/>
      <color rgb="FF596579"/>
      <name val="Calibri"/>
      <family val="2"/>
    </font>
    <font>
      <b/>
      <sz val="11"/>
      <color rgb="FF273444"/>
      <name val="Calibri"/>
      <family val="2"/>
    </font>
    <font>
      <sz val="10"/>
      <color rgb="FF596579"/>
      <name val="Calibri"/>
      <family val="2"/>
    </font>
    <font>
      <sz val="9"/>
      <color rgb="FF596579"/>
      <name val="Calibri"/>
      <family val="2"/>
    </font>
    <font>
      <b/>
      <sz val="9"/>
      <color rgb="FF273444"/>
      <name val="Calibri"/>
      <family val="2"/>
    </font>
    <font>
      <b/>
      <sz val="14"/>
      <color rgb="FF273444"/>
      <name val="Calibri"/>
      <family val="2"/>
    </font>
    <font>
      <b/>
      <sz val="10"/>
      <color rgb="FF273444"/>
      <name val="Carlito"/>
      <family val="2"/>
    </font>
    <font>
      <b/>
      <sz val="11"/>
      <color rgb="FF273444"/>
      <name val="Carlito"/>
      <family val="2"/>
    </font>
    <font>
      <sz val="10"/>
      <color rgb="FF536171"/>
      <name val="Calibri"/>
      <family val="2"/>
    </font>
    <font>
      <b/>
      <sz val="10"/>
      <color rgb="FF536171"/>
      <name val="Calibri"/>
      <family val="2"/>
    </font>
    <font>
      <b/>
      <sz val="11"/>
      <color rgb="FF15324D"/>
      <name val="Carlito"/>
      <family val="2"/>
    </font>
    <font>
      <sz val="11"/>
      <color rgb="FFFFFFFF"/>
      <name val="Carlito"/>
      <family val="2"/>
    </font>
    <font>
      <sz val="10"/>
      <color rgb="FFFFFFFF"/>
      <name val="Calibri"/>
      <family val="2"/>
    </font>
    <font>
      <i/>
      <sz val="10"/>
      <color rgb="FFFFFFFF"/>
      <name val="Calibri"/>
      <family val="2"/>
    </font>
    <font>
      <sz val="9"/>
      <color rgb="FFFFFFFF"/>
      <name val="Calibri"/>
      <family val="2"/>
    </font>
    <font>
      <b/>
      <sz val="10"/>
      <color rgb="FF14263D"/>
      <name val="Calibri"/>
      <family val="2"/>
    </font>
    <font>
      <b/>
      <sz val="16"/>
      <color rgb="FFFFFFFF"/>
      <name val="Calibri"/>
      <family val="2"/>
    </font>
    <font>
      <b/>
      <i/>
      <sz val="10"/>
      <color rgb="FF213E59"/>
      <name val="Calibri"/>
      <family val="2"/>
    </font>
    <font>
      <sz val="10"/>
      <color rgb="FF14263D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00B0F0"/>
      <name val="Calibri"/>
      <family val="2"/>
    </font>
    <font>
      <b/>
      <sz val="11"/>
      <color rgb="FFFFFFFF"/>
      <name val="Calibri"/>
      <family val="2"/>
    </font>
    <font>
      <b/>
      <sz val="22"/>
      <color rgb="FFFF0000"/>
      <name val="Calibri"/>
      <family val="2"/>
    </font>
    <font>
      <b/>
      <sz val="10"/>
      <color theme="4"/>
      <name val="Calibri"/>
      <family val="2"/>
    </font>
    <font>
      <b/>
      <sz val="22"/>
      <color theme="4"/>
      <name val="Calibri"/>
      <family val="2"/>
    </font>
    <font>
      <b/>
      <sz val="10"/>
      <color rgb="FF14263D"/>
      <name val="Calibri"/>
      <family val="2"/>
    </font>
    <font>
      <b/>
      <sz val="16"/>
      <color theme="4"/>
      <name val="Calibri"/>
      <family val="2"/>
    </font>
    <font>
      <b/>
      <sz val="16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9FAFD"/>
      </patternFill>
    </fill>
    <fill>
      <patternFill patternType="solid">
        <fgColor rgb="FFE4F6F0"/>
      </patternFill>
    </fill>
    <fill>
      <patternFill patternType="solid">
        <fgColor rgb="FFE9EEF3"/>
      </patternFill>
    </fill>
    <fill>
      <patternFill patternType="solid">
        <fgColor rgb="FFF4F6F8"/>
      </patternFill>
    </fill>
    <fill>
      <patternFill patternType="solid">
        <fgColor rgb="FFDDEAF6"/>
      </patternFill>
    </fill>
    <fill>
      <patternFill patternType="solid">
        <fgColor rgb="FFF7E8E8"/>
      </patternFill>
    </fill>
    <fill>
      <patternFill patternType="solid">
        <fgColor rgb="FFF5F7FA"/>
      </patternFill>
    </fill>
    <fill>
      <patternFill patternType="solid">
        <fgColor rgb="FFE7EBEF"/>
      </patternFill>
    </fill>
    <fill>
      <patternFill patternType="solid">
        <fgColor rgb="FF143A5A"/>
      </patternFill>
    </fill>
    <fill>
      <patternFill patternType="solid">
        <fgColor rgb="FFFFFFFF"/>
      </patternFill>
    </fill>
    <fill>
      <patternFill patternType="solid">
        <fgColor rgb="FF14263D"/>
      </patternFill>
    </fill>
    <fill>
      <patternFill patternType="solid">
        <fgColor rgb="FF213E59"/>
      </patternFill>
    </fill>
    <fill>
      <patternFill patternType="solid">
        <fgColor rgb="FFE8EEF5"/>
      </patternFill>
    </fill>
    <fill>
      <patternFill patternType="solid">
        <fgColor rgb="FFEAF0F6"/>
      </patternFill>
    </fill>
    <fill>
      <patternFill patternType="solid">
        <fgColor rgb="FFF4E3BD"/>
      </patternFill>
    </fill>
    <fill>
      <patternFill patternType="solid">
        <fgColor rgb="FF263B57"/>
      </patternFill>
    </fill>
    <fill>
      <patternFill patternType="solid">
        <fgColor theme="0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17375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NumberFormat="1" applyFont="1" applyFill="1" applyBorder="1"/>
    <xf numFmtId="165" fontId="2" fillId="3" borderId="0" xfId="0" applyNumberFormat="1" applyFont="1" applyFill="1" applyBorder="1"/>
    <xf numFmtId="0" fontId="2" fillId="3" borderId="0" xfId="0" applyNumberFormat="1" applyFont="1" applyFill="1" applyBorder="1"/>
    <xf numFmtId="164" fontId="5" fillId="5" borderId="0" xfId="0" applyNumberFormat="1" applyFont="1" applyFill="1" applyBorder="1"/>
    <xf numFmtId="0" fontId="12" fillId="5" borderId="0" xfId="0" applyNumberFormat="1" applyFont="1" applyFill="1" applyBorder="1" applyAlignment="1">
      <alignment vertical="center" wrapText="1"/>
    </xf>
    <xf numFmtId="0" fontId="14" fillId="5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2" fontId="6" fillId="8" borderId="0" xfId="0" applyNumberFormat="1" applyFont="1" applyFill="1" applyBorder="1"/>
    <xf numFmtId="0" fontId="6" fillId="8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/>
    <xf numFmtId="0" fontId="15" fillId="9" borderId="0" xfId="0" applyNumberFormat="1" applyFont="1" applyFill="1" applyBorder="1"/>
    <xf numFmtId="0" fontId="15" fillId="9" borderId="0" xfId="0" applyNumberFormat="1" applyFont="1" applyFill="1" applyBorder="1" applyAlignment="1">
      <alignment vertical="center" wrapText="1"/>
    </xf>
    <xf numFmtId="0" fontId="1" fillId="10" borderId="0" xfId="0" applyNumberFormat="1" applyFont="1" applyFill="1" applyBorder="1"/>
    <xf numFmtId="0" fontId="4" fillId="11" borderId="0" xfId="0" applyNumberFormat="1" applyFont="1" applyFill="1" applyBorder="1" applyAlignment="1">
      <alignment vertical="center" wrapText="1"/>
    </xf>
    <xf numFmtId="0" fontId="4" fillId="11" borderId="0" xfId="0" applyNumberFormat="1" applyFont="1" applyFill="1" applyBorder="1"/>
    <xf numFmtId="0" fontId="1" fillId="11" borderId="0" xfId="0" applyNumberFormat="1" applyFont="1" applyFill="1" applyBorder="1"/>
    <xf numFmtId="0" fontId="19" fillId="11" borderId="0" xfId="0" applyNumberFormat="1" applyFont="1" applyFill="1" applyBorder="1"/>
    <xf numFmtId="166" fontId="20" fillId="11" borderId="0" xfId="0" applyNumberFormat="1" applyFont="1" applyFill="1" applyBorder="1"/>
    <xf numFmtId="167" fontId="20" fillId="11" borderId="0" xfId="0" applyNumberFormat="1" applyFont="1" applyFill="1" applyBorder="1"/>
    <xf numFmtId="166" fontId="4" fillId="11" borderId="0" xfId="0" applyNumberFormat="1" applyFont="1" applyFill="1" applyBorder="1" applyAlignment="1">
      <alignment horizontal="center"/>
    </xf>
    <xf numFmtId="167" fontId="19" fillId="11" borderId="0" xfId="0" applyNumberFormat="1" applyFont="1" applyFill="1" applyBorder="1"/>
    <xf numFmtId="0" fontId="21" fillId="11" borderId="0" xfId="0" applyNumberFormat="1" applyFont="1" applyFill="1" applyBorder="1"/>
    <xf numFmtId="167" fontId="4" fillId="11" borderId="0" xfId="0" applyNumberFormat="1" applyFont="1" applyFill="1" applyBorder="1"/>
    <xf numFmtId="167" fontId="1" fillId="11" borderId="0" xfId="0" applyNumberFormat="1" applyFont="1" applyFill="1" applyBorder="1"/>
    <xf numFmtId="165" fontId="20" fillId="11" borderId="0" xfId="0" applyNumberFormat="1" applyFont="1" applyFill="1" applyBorder="1"/>
    <xf numFmtId="0" fontId="23" fillId="14" borderId="0" xfId="0" applyNumberFormat="1" applyFont="1" applyFill="1" applyBorder="1"/>
    <xf numFmtId="164" fontId="23" fillId="14" borderId="0" xfId="0" applyNumberFormat="1" applyFont="1" applyFill="1" applyBorder="1"/>
    <xf numFmtId="0" fontId="4" fillId="13" borderId="0" xfId="0" applyNumberFormat="1" applyFont="1" applyFill="1" applyBorder="1" applyAlignment="1">
      <alignment vertical="center" wrapText="1"/>
    </xf>
    <xf numFmtId="166" fontId="5" fillId="16" borderId="0" xfId="0" applyNumberFormat="1" applyFont="1" applyFill="1" applyBorder="1" applyAlignment="1">
      <alignment horizontal="center"/>
    </xf>
    <xf numFmtId="49" fontId="5" fillId="16" borderId="0" xfId="0" applyNumberFormat="1" applyFont="1" applyFill="1" applyBorder="1" applyAlignment="1">
      <alignment horizontal="center"/>
    </xf>
    <xf numFmtId="166" fontId="5" fillId="16" borderId="0" xfId="0" applyNumberFormat="1" applyFont="1" applyFill="1" applyBorder="1"/>
    <xf numFmtId="49" fontId="6" fillId="16" borderId="0" xfId="0" applyNumberFormat="1" applyFont="1" applyFill="1" applyBorder="1"/>
    <xf numFmtId="0" fontId="5" fillId="16" borderId="0" xfId="0" applyNumberFormat="1" applyFont="1" applyFill="1" applyBorder="1"/>
    <xf numFmtId="0" fontId="1" fillId="17" borderId="0" xfId="0" applyNumberFormat="1" applyFont="1" applyFill="1" applyBorder="1"/>
    <xf numFmtId="0" fontId="20" fillId="11" borderId="0" xfId="0" applyNumberFormat="1" applyFont="1" applyFill="1" applyBorder="1"/>
    <xf numFmtId="0" fontId="4" fillId="18" borderId="0" xfId="0" applyNumberFormat="1" applyFont="1" applyFill="1" applyBorder="1" applyAlignment="1">
      <alignment vertical="center" wrapText="1"/>
    </xf>
    <xf numFmtId="166" fontId="20" fillId="18" borderId="0" xfId="0" applyNumberFormat="1" applyFont="1" applyFill="1" applyBorder="1"/>
    <xf numFmtId="167" fontId="20" fillId="18" borderId="0" xfId="0" applyNumberFormat="1" applyFont="1" applyFill="1" applyBorder="1"/>
    <xf numFmtId="0" fontId="27" fillId="18" borderId="0" xfId="0" applyNumberFormat="1" applyFont="1" applyFill="1" applyBorder="1" applyAlignment="1">
      <alignment vertical="center" wrapText="1"/>
    </xf>
    <xf numFmtId="167" fontId="27" fillId="18" borderId="0" xfId="0" applyNumberFormat="1" applyFont="1" applyFill="1" applyBorder="1" applyAlignment="1">
      <alignment vertical="center" wrapText="1"/>
    </xf>
    <xf numFmtId="2" fontId="28" fillId="18" borderId="0" xfId="0" applyNumberFormat="1" applyFont="1" applyFill="1" applyBorder="1"/>
    <xf numFmtId="167" fontId="28" fillId="18" borderId="0" xfId="0" applyNumberFormat="1" applyFont="1" applyFill="1" applyBorder="1"/>
    <xf numFmtId="0" fontId="29" fillId="13" borderId="0" xfId="0" applyNumberFormat="1" applyFont="1" applyFill="1" applyBorder="1" applyAlignment="1">
      <alignment vertical="center" wrapText="1"/>
    </xf>
    <xf numFmtId="164" fontId="33" fillId="14" borderId="0" xfId="0" applyNumberFormat="1" applyFont="1" applyFill="1" applyBorder="1"/>
    <xf numFmtId="0" fontId="0" fillId="18" borderId="0" xfId="0" applyFill="1"/>
    <xf numFmtId="0" fontId="19" fillId="18" borderId="0" xfId="0" applyNumberFormat="1" applyFont="1" applyFill="1" applyBorder="1"/>
    <xf numFmtId="0" fontId="1" fillId="18" borderId="0" xfId="0" applyNumberFormat="1" applyFont="1" applyFill="1" applyBorder="1"/>
    <xf numFmtId="0" fontId="18" fillId="18" borderId="0" xfId="0" applyNumberFormat="1" applyFont="1" applyFill="1" applyBorder="1"/>
    <xf numFmtId="167" fontId="19" fillId="18" borderId="0" xfId="0" applyNumberFormat="1" applyFont="1" applyFill="1" applyBorder="1"/>
    <xf numFmtId="167" fontId="0" fillId="18" borderId="0" xfId="0" applyNumberFormat="1" applyFont="1" applyFill="1" applyBorder="1"/>
    <xf numFmtId="167" fontId="18" fillId="18" borderId="0" xfId="0" applyNumberFormat="1" applyFont="1" applyFill="1" applyBorder="1"/>
    <xf numFmtId="0" fontId="27" fillId="18" borderId="1" xfId="0" applyNumberFormat="1" applyFont="1" applyFill="1" applyBorder="1" applyAlignment="1">
      <alignment vertical="center" wrapText="1"/>
    </xf>
    <xf numFmtId="167" fontId="27" fillId="18" borderId="1" xfId="0" applyNumberFormat="1" applyFont="1" applyFill="1" applyBorder="1" applyAlignment="1">
      <alignment vertical="center" wrapText="1"/>
    </xf>
    <xf numFmtId="2" fontId="28" fillId="18" borderId="2" xfId="0" applyNumberFormat="1" applyFont="1" applyFill="1" applyBorder="1"/>
    <xf numFmtId="167" fontId="28" fillId="18" borderId="2" xfId="0" applyNumberFormat="1" applyFont="1" applyFill="1" applyBorder="1"/>
    <xf numFmtId="0" fontId="6" fillId="18" borderId="0" xfId="0" applyNumberFormat="1" applyFont="1" applyFill="1" applyBorder="1"/>
    <xf numFmtId="0" fontId="20" fillId="18" borderId="0" xfId="0" applyNumberFormat="1" applyFont="1" applyFill="1" applyBorder="1"/>
    <xf numFmtId="0" fontId="4" fillId="18" borderId="0" xfId="0" applyNumberFormat="1" applyFont="1" applyFill="1" applyBorder="1"/>
    <xf numFmtId="166" fontId="4" fillId="18" borderId="0" xfId="0" applyNumberFormat="1" applyFont="1" applyFill="1" applyBorder="1" applyAlignment="1">
      <alignment horizontal="center"/>
    </xf>
    <xf numFmtId="167" fontId="4" fillId="18" borderId="0" xfId="0" applyNumberFormat="1" applyFont="1" applyFill="1" applyBorder="1"/>
    <xf numFmtId="167" fontId="1" fillId="18" borderId="0" xfId="0" applyNumberFormat="1" applyFont="1" applyFill="1" applyBorder="1"/>
    <xf numFmtId="0" fontId="5" fillId="18" borderId="0" xfId="0" applyNumberFormat="1" applyFont="1" applyFill="1" applyBorder="1"/>
    <xf numFmtId="2" fontId="6" fillId="18" borderId="0" xfId="0" applyNumberFormat="1" applyFont="1" applyFill="1" applyBorder="1"/>
    <xf numFmtId="0" fontId="6" fillId="11" borderId="0" xfId="0" applyNumberFormat="1" applyFont="1" applyFill="1" applyBorder="1"/>
    <xf numFmtId="0" fontId="35" fillId="11" borderId="0" xfId="0" applyNumberFormat="1" applyFont="1" applyFill="1" applyBorder="1" applyAlignment="1">
      <alignment wrapText="1"/>
    </xf>
    <xf numFmtId="166" fontId="6" fillId="11" borderId="0" xfId="0" applyNumberFormat="1" applyFont="1" applyFill="1" applyBorder="1"/>
    <xf numFmtId="0" fontId="23" fillId="11" borderId="0" xfId="0" applyNumberFormat="1" applyFont="1" applyFill="1" applyBorder="1"/>
    <xf numFmtId="0" fontId="26" fillId="11" borderId="0" xfId="0" applyNumberFormat="1" applyFont="1" applyFill="1" applyBorder="1"/>
    <xf numFmtId="0" fontId="16" fillId="11" borderId="0" xfId="0" applyNumberFormat="1" applyFont="1" applyFill="1" applyBorder="1"/>
    <xf numFmtId="0" fontId="5" fillId="11" borderId="0" xfId="0" applyNumberFormat="1" applyFont="1" applyFill="1" applyBorder="1"/>
    <xf numFmtId="0" fontId="15" fillId="9" borderId="0" xfId="0" applyNumberFormat="1" applyFont="1" applyFill="1" applyBorder="1" applyAlignment="1">
      <alignment vertical="center"/>
    </xf>
    <xf numFmtId="2" fontId="23" fillId="19" borderId="0" xfId="0" applyNumberFormat="1" applyFont="1" applyFill="1" applyBorder="1" applyAlignment="1">
      <alignment horizontal="center"/>
    </xf>
    <xf numFmtId="167" fontId="23" fillId="19" borderId="0" xfId="0" applyNumberFormat="1" applyFont="1" applyFill="1" applyBorder="1" applyAlignment="1">
      <alignment horizontal="center"/>
    </xf>
    <xf numFmtId="166" fontId="5" fillId="19" borderId="0" xfId="0" applyNumberFormat="1" applyFont="1" applyFill="1" applyBorder="1" applyAlignment="1">
      <alignment horizontal="center"/>
    </xf>
    <xf numFmtId="49" fontId="5" fillId="19" borderId="0" xfId="0" applyNumberFormat="1" applyFont="1" applyFill="1" applyBorder="1" applyAlignment="1">
      <alignment horizontal="center"/>
    </xf>
    <xf numFmtId="166" fontId="5" fillId="19" borderId="0" xfId="0" applyNumberFormat="1" applyFont="1" applyFill="1" applyBorder="1"/>
    <xf numFmtId="49" fontId="6" fillId="19" borderId="0" xfId="0" applyNumberFormat="1" applyFont="1" applyFill="1" applyBorder="1"/>
    <xf numFmtId="0" fontId="5" fillId="19" borderId="0" xfId="0" applyNumberFormat="1" applyFont="1" applyFill="1" applyBorder="1"/>
    <xf numFmtId="2" fontId="20" fillId="11" borderId="0" xfId="0" applyNumberFormat="1" applyFont="1" applyFill="1" applyBorder="1"/>
    <xf numFmtId="0" fontId="1" fillId="20" borderId="0" xfId="0" applyNumberFormat="1" applyFont="1" applyFill="1" applyBorder="1" applyAlignment="1">
      <alignment vertical="center" wrapText="1"/>
    </xf>
    <xf numFmtId="0" fontId="1" fillId="20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 applyAlignment="1">
      <alignment vertical="center"/>
    </xf>
    <xf numFmtId="0" fontId="11" fillId="11" borderId="0" xfId="0" applyNumberFormat="1" applyFont="1" applyFill="1" applyBorder="1" applyAlignment="1"/>
    <xf numFmtId="0" fontId="34" fillId="14" borderId="0" xfId="0" applyNumberFormat="1" applyFont="1" applyFill="1" applyBorder="1" applyAlignment="1">
      <alignment horizontal="center" vertical="center"/>
    </xf>
    <xf numFmtId="0" fontId="34" fillId="6" borderId="0" xfId="0" applyNumberFormat="1" applyFont="1" applyFill="1" applyBorder="1" applyAlignment="1">
      <alignment horizontal="center" vertical="center"/>
    </xf>
    <xf numFmtId="0" fontId="32" fillId="14" borderId="0" xfId="0" applyNumberFormat="1" applyFont="1" applyFill="1" applyBorder="1" applyAlignment="1">
      <alignment horizontal="center" vertical="center"/>
    </xf>
    <xf numFmtId="0" fontId="32" fillId="7" borderId="0" xfId="0" applyNumberFormat="1" applyFont="1" applyFill="1" applyBorder="1" applyAlignment="1">
      <alignment horizontal="center" vertical="center"/>
    </xf>
    <xf numFmtId="0" fontId="10" fillId="11" borderId="0" xfId="0" applyNumberFormat="1" applyFont="1" applyFill="1" applyBorder="1" applyAlignment="1">
      <alignment wrapText="1"/>
    </xf>
    <xf numFmtId="0" fontId="17" fillId="4" borderId="0" xfId="0" applyNumberFormat="1" applyFont="1" applyFill="1" applyBorder="1" applyAlignment="1">
      <alignment vertical="center"/>
    </xf>
    <xf numFmtId="0" fontId="4" fillId="11" borderId="0" xfId="0" applyNumberFormat="1" applyFont="1" applyFill="1" applyBorder="1" applyAlignment="1">
      <alignment vertical="center"/>
    </xf>
    <xf numFmtId="0" fontId="24" fillId="12" borderId="0" xfId="0" applyNumberFormat="1" applyFont="1" applyFill="1" applyBorder="1" applyAlignment="1">
      <alignment vertical="center"/>
    </xf>
    <xf numFmtId="0" fontId="7" fillId="4" borderId="0" xfId="0" applyNumberFormat="1" applyFont="1" applyFill="1" applyBorder="1" applyAlignment="1">
      <alignment vertical="center"/>
    </xf>
    <xf numFmtId="0" fontId="25" fillId="15" borderId="0" xfId="0" applyNumberFormat="1" applyFont="1" applyFill="1" applyBorder="1" applyAlignment="1"/>
    <xf numFmtId="0" fontId="8" fillId="11" borderId="0" xfId="0" applyNumberFormat="1" applyFont="1" applyFill="1" applyBorder="1" applyAlignment="1"/>
    <xf numFmtId="0" fontId="31" fillId="13" borderId="0" xfId="0" applyNumberFormat="1" applyFont="1" applyFill="1" applyBorder="1" applyAlignment="1">
      <alignment vertical="center"/>
    </xf>
    <xf numFmtId="0" fontId="3" fillId="13" borderId="0" xfId="0" applyNumberFormat="1" applyFont="1" applyFill="1" applyBorder="1" applyAlignment="1">
      <alignment vertical="center"/>
    </xf>
    <xf numFmtId="0" fontId="31" fillId="12" borderId="0" xfId="0" applyNumberFormat="1" applyFont="1" applyFill="1" applyBorder="1" applyAlignment="1">
      <alignment vertical="center"/>
    </xf>
    <xf numFmtId="0" fontId="3" fillId="12" borderId="0" xfId="0" applyNumberFormat="1" applyFont="1" applyFill="1" applyBorder="1" applyAlignment="1">
      <alignment vertical="center"/>
    </xf>
    <xf numFmtId="0" fontId="36" fillId="13" borderId="0" xfId="0" applyNumberFormat="1" applyFont="1" applyFill="1" applyBorder="1" applyAlignment="1">
      <alignment horizontal="center"/>
    </xf>
    <xf numFmtId="0" fontId="37" fillId="13" borderId="0" xfId="0" applyNumberFormat="1" applyFont="1" applyFill="1" applyBorder="1" applyAlignment="1">
      <alignment horizontal="center"/>
    </xf>
    <xf numFmtId="0" fontId="37" fillId="5" borderId="0" xfId="0" applyNumberFormat="1" applyFont="1" applyFill="1" applyBorder="1" applyAlignment="1">
      <alignment horizontal="center"/>
    </xf>
    <xf numFmtId="0" fontId="6" fillId="11" borderId="0" xfId="0" applyNumberFormat="1" applyFont="1" applyFill="1" applyBorder="1" applyAlignment="1"/>
    <xf numFmtId="0" fontId="20" fillId="11" borderId="0" xfId="0" applyNumberFormat="1" applyFont="1" applyFill="1" applyBorder="1" applyAlignment="1"/>
    <xf numFmtId="0" fontId="16" fillId="11" borderId="0" xfId="0" applyNumberFormat="1" applyFont="1" applyFill="1" applyBorder="1" applyAlignment="1">
      <alignment wrapText="1"/>
    </xf>
    <xf numFmtId="0" fontId="11" fillId="11" borderId="0" xfId="0" applyNumberFormat="1" applyFont="1" applyFill="1" applyBorder="1" applyAlignment="1">
      <alignment wrapText="1"/>
    </xf>
    <xf numFmtId="0" fontId="22" fillId="11" borderId="0" xfId="0" applyNumberFormat="1" applyFont="1" applyFill="1" applyBorder="1" applyAlignment="1">
      <alignment wrapText="1"/>
    </xf>
    <xf numFmtId="0" fontId="13" fillId="4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12"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numFmt numFmtId="167" formatCode="0.0"/>
      <fill>
        <patternFill>
          <bgColor indexed="64"/>
        </patternFill>
      </fill>
    </dxf>
    <dxf>
      <font>
        <u val="none"/>
        <sz val="10"/>
        <color theme="1"/>
        <name val="Calibri"/>
        <family val="2"/>
        <scheme val="none"/>
      </font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3:E18" totalsRowShown="0" dataDxfId="11">
  <tableColumns count="3">
    <tableColumn id="1" xr3:uid="{00000000-0010-0000-0000-000001000000}" name="2024 National Baseline (R+1.5)" dataDxfId="10"/>
    <tableColumn id="2" xr3:uid="{00000000-0010-0000-0000-000002000000}" name="2020 National Baseline (D+ 4.5)" dataDxfId="9"/>
    <tableColumn id="3" xr3:uid="{00000000-0010-0000-0000-000003000000}" name="2018 National House (D+8.4)" dataDxfId="8"/>
  </tableColumns>
  <tableStyleInfo name="TableStyleLight20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C13:E18" totalsRowShown="0" dataDxfId="7">
  <tableColumns count="3">
    <tableColumn id="1" xr3:uid="{00000000-0010-0000-0100-000001000000}" name="2024 National Baseline (R+1.5)" dataDxfId="6"/>
    <tableColumn id="2" xr3:uid="{00000000-0010-0000-0100-000002000000}" name="2020 National Baseline (D+ 4.5)" dataDxfId="5"/>
    <tableColumn id="3" xr3:uid="{00000000-0010-0000-0100-000003000000}" name="2018 National House (D+8.4)" dataDxfId="4"/>
  </tableColumns>
  <tableStyleInfo name="TableStyleLight20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C13:E18" totalsRowShown="0" dataDxfId="3">
  <tableColumns count="3">
    <tableColumn id="1" xr3:uid="{00000000-0010-0000-0200-000001000000}" name="2024 National Baseline (R+1.5)" dataDxfId="2"/>
    <tableColumn id="2" xr3:uid="{00000000-0010-0000-0200-000002000000}" name="2020 National Baseline (D+ 4.5)" dataDxfId="1"/>
    <tableColumn id="3" xr3:uid="{00000000-0010-0000-0200-000003000000}" name="2018 National House (D+8.4)" dataDxfId="0"/>
  </tableColumns>
  <tableStyleInfo name="TableStyleLight20" showFirstColumn="0" showLastColumn="0" showRowStripes="1" showColumn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5"/>
  <sheetViews>
    <sheetView tabSelected="1" zoomScale="80" zoomScaleNormal="80" workbookViewId="0">
      <pane ySplit="4" topLeftCell="A5" activePane="bottomLeft" state="frozen"/>
      <selection pane="bottomLeft" activeCell="J22" sqref="J22"/>
    </sheetView>
  </sheetViews>
  <sheetFormatPr defaultRowHeight="15" x14ac:dyDescent="0.2"/>
  <cols>
    <col min="1" max="1" width="34.5703125" customWidth="1"/>
    <col min="2" max="2" width="23.80859375" customWidth="1"/>
    <col min="3" max="4" width="26.76953125" customWidth="1"/>
    <col min="5" max="5" width="28.65234375" customWidth="1"/>
    <col min="6" max="6" width="22.8671875" customWidth="1"/>
    <col min="7" max="9" width="18.96484375" customWidth="1"/>
    <col min="10" max="10" width="23.9453125" customWidth="1"/>
    <col min="11" max="14" width="16.94921875" customWidth="1"/>
    <col min="15" max="15" width="18.96484375" customWidth="1"/>
    <col min="16" max="16" width="18.0234375" customWidth="1"/>
    <col min="17" max="18" width="18.96484375" customWidth="1"/>
    <col min="19" max="20" width="23" customWidth="1"/>
    <col min="21" max="24" width="18.96484375" customWidth="1"/>
  </cols>
  <sheetData>
    <row r="1" spans="1:26" ht="39" customHeight="1" x14ac:dyDescent="0.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94"/>
      <c r="L1" s="94"/>
    </row>
    <row r="2" spans="1:26" ht="25.15" customHeight="1" x14ac:dyDescent="0.2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6"/>
      <c r="K2" s="96"/>
      <c r="L2" s="96"/>
    </row>
    <row r="3" spans="1:26" ht="19.149999999999999" customHeigh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26" ht="23.1" customHeight="1" x14ac:dyDescent="0.2">
      <c r="A4" s="97" t="s">
        <v>2</v>
      </c>
      <c r="B4" s="98"/>
      <c r="C4" s="84"/>
      <c r="D4" s="84"/>
      <c r="E4" s="84"/>
      <c r="F4" s="66"/>
      <c r="G4" s="99" t="s">
        <v>3</v>
      </c>
      <c r="H4" s="100"/>
      <c r="I4" s="100"/>
      <c r="J4" s="84"/>
      <c r="K4" s="84"/>
      <c r="L4" s="84"/>
    </row>
    <row r="5" spans="1:26" ht="29.65" customHeight="1" x14ac:dyDescent="0.3">
      <c r="A5" s="67" t="s">
        <v>4</v>
      </c>
      <c r="B5" s="76">
        <v>8.4</v>
      </c>
      <c r="C5" s="68">
        <v>8.6999999999999993</v>
      </c>
      <c r="D5" s="68">
        <f>IF(B11="Demographic-driven",0,IF(B9="Custom",B5,IFERROR(IF(LEFT(B9,1)="R",-1,1)*VALUE(MID(B9,3,20)),B5))-8.7)+B7</f>
        <v>-0.29999999999999893</v>
      </c>
      <c r="E5" s="66" t="s">
        <v>802</v>
      </c>
      <c r="F5" s="66"/>
      <c r="G5" s="101" t="s">
        <v>5</v>
      </c>
      <c r="H5" s="101"/>
      <c r="I5" s="102" t="s">
        <v>6</v>
      </c>
      <c r="J5" s="103"/>
      <c r="K5" s="66"/>
      <c r="L5" s="66"/>
    </row>
    <row r="6" spans="1:26" ht="24" customHeight="1" x14ac:dyDescent="0.2">
      <c r="A6" s="69" t="s">
        <v>7</v>
      </c>
      <c r="B6" s="77" t="s">
        <v>8</v>
      </c>
      <c r="C6" s="66"/>
      <c r="D6" s="66"/>
      <c r="E6" s="66" t="s">
        <v>9</v>
      </c>
      <c r="F6" s="66"/>
      <c r="G6" s="86">
        <f>COUNTIF(I31:I465,"D")</f>
        <v>235</v>
      </c>
      <c r="H6" s="86"/>
      <c r="I6" s="88">
        <f>COUNTIF(I31:I465,"R")</f>
        <v>200</v>
      </c>
      <c r="J6" s="89"/>
      <c r="K6" s="66"/>
      <c r="L6" s="66"/>
    </row>
    <row r="7" spans="1:26" ht="24" customHeight="1" x14ac:dyDescent="0.2">
      <c r="A7" s="69" t="s">
        <v>10</v>
      </c>
      <c r="B7" s="76">
        <v>0</v>
      </c>
      <c r="C7" s="66"/>
      <c r="D7" s="66"/>
      <c r="E7" s="66" t="s">
        <v>11</v>
      </c>
      <c r="F7" s="66"/>
      <c r="G7" s="87"/>
      <c r="H7" s="87"/>
      <c r="I7" s="89"/>
      <c r="J7" s="89"/>
      <c r="K7" s="66"/>
      <c r="L7" s="66"/>
    </row>
    <row r="8" spans="1:26" ht="24" customHeight="1" x14ac:dyDescent="0.2">
      <c r="A8" s="69" t="s">
        <v>803</v>
      </c>
      <c r="B8" s="78">
        <f>8.7+D5+(F26+F27)/2</f>
        <v>8.4</v>
      </c>
      <c r="C8" s="66"/>
      <c r="D8" s="66"/>
      <c r="E8" s="66" t="s">
        <v>804</v>
      </c>
      <c r="F8" s="66"/>
      <c r="G8" s="66"/>
      <c r="H8" s="66"/>
      <c r="I8" s="66"/>
      <c r="J8" s="66"/>
      <c r="K8" s="66"/>
      <c r="L8" s="66"/>
    </row>
    <row r="9" spans="1:26" ht="24" customHeight="1" x14ac:dyDescent="0.2">
      <c r="A9" s="70" t="s">
        <v>805</v>
      </c>
      <c r="B9" s="79" t="s">
        <v>806</v>
      </c>
      <c r="C9" s="37" t="s">
        <v>12</v>
      </c>
      <c r="D9" s="37"/>
      <c r="E9" s="37" t="s">
        <v>807</v>
      </c>
      <c r="F9" s="37"/>
      <c r="G9" s="28" t="s">
        <v>13</v>
      </c>
      <c r="H9" s="46">
        <f>G6-215</f>
        <v>20</v>
      </c>
      <c r="I9" s="28" t="s">
        <v>14</v>
      </c>
      <c r="J9" s="4">
        <f>-H9</f>
        <v>-20</v>
      </c>
      <c r="K9" s="66"/>
      <c r="L9" s="66"/>
    </row>
    <row r="10" spans="1:26" ht="24" customHeight="1" x14ac:dyDescent="0.2">
      <c r="A10" s="69" t="s">
        <v>808</v>
      </c>
      <c r="B10" s="80" t="s">
        <v>15</v>
      </c>
      <c r="C10" s="37" t="s">
        <v>16</v>
      </c>
      <c r="D10" s="37"/>
      <c r="E10" s="37" t="s">
        <v>809</v>
      </c>
      <c r="F10" s="37"/>
      <c r="G10" s="90" t="s">
        <v>17</v>
      </c>
      <c r="H10" s="90"/>
      <c r="I10" s="90"/>
      <c r="J10" s="90"/>
      <c r="K10" s="90"/>
      <c r="L10" s="90"/>
    </row>
    <row r="11" spans="1:26" ht="24" customHeight="1" x14ac:dyDescent="0.2">
      <c r="A11" s="70" t="s">
        <v>810</v>
      </c>
      <c r="B11" s="80" t="s">
        <v>811</v>
      </c>
      <c r="C11" s="27"/>
      <c r="D11" s="37" t="s">
        <v>18</v>
      </c>
      <c r="E11" s="37" t="s">
        <v>812</v>
      </c>
      <c r="F11" s="37"/>
      <c r="G11" s="66"/>
      <c r="H11" s="66"/>
      <c r="I11" s="66"/>
      <c r="J11" s="66"/>
      <c r="K11" s="66"/>
      <c r="L11" s="66"/>
    </row>
    <row r="12" spans="1:26" ht="18" customHeight="1" x14ac:dyDescent="0.2">
      <c r="A12" s="91"/>
      <c r="B12" s="91"/>
      <c r="C12" s="92"/>
      <c r="D12" s="92"/>
      <c r="E12" s="92"/>
      <c r="F12" s="37"/>
      <c r="G12" s="84" t="s">
        <v>19</v>
      </c>
      <c r="H12" s="84">
        <f>COUNTIF(V31:V465,"D")+COUNTIF(V31:V465,"R")</f>
        <v>14</v>
      </c>
      <c r="I12" s="84"/>
      <c r="J12" s="84"/>
      <c r="K12" s="84"/>
      <c r="L12" s="84"/>
    </row>
    <row r="13" spans="1:26" ht="23.1" customHeight="1" x14ac:dyDescent="0.2">
      <c r="A13" s="30" t="s">
        <v>20</v>
      </c>
      <c r="B13" s="45" t="s">
        <v>21</v>
      </c>
      <c r="C13" s="41" t="s">
        <v>22</v>
      </c>
      <c r="D13" s="41" t="s">
        <v>23</v>
      </c>
      <c r="E13" s="42" t="s">
        <v>24</v>
      </c>
      <c r="F13" s="17" t="s">
        <v>102</v>
      </c>
      <c r="G13" s="16"/>
      <c r="H13" s="16"/>
      <c r="I13" s="16" t="s">
        <v>25</v>
      </c>
      <c r="J13" s="16" t="s">
        <v>26</v>
      </c>
      <c r="K13" s="17" t="s">
        <v>27</v>
      </c>
      <c r="L13" s="17" t="s">
        <v>28</v>
      </c>
      <c r="M13" s="18" t="s">
        <v>29</v>
      </c>
      <c r="N13" s="18" t="s">
        <v>30</v>
      </c>
      <c r="O13" s="19"/>
      <c r="P13" s="48"/>
      <c r="Q13" s="49"/>
      <c r="R13" s="49"/>
      <c r="S13" s="48"/>
      <c r="T13" s="48"/>
      <c r="U13" s="50"/>
      <c r="V13" s="50"/>
      <c r="W13" s="50"/>
      <c r="X13" s="50"/>
      <c r="Y13" s="47"/>
      <c r="Z13" s="47"/>
    </row>
    <row r="14" spans="1:26" ht="27" customHeight="1" x14ac:dyDescent="0.2">
      <c r="A14" s="66" t="s">
        <v>31</v>
      </c>
      <c r="B14" s="74">
        <v>42.4</v>
      </c>
      <c r="C14" s="43">
        <v>42.4</v>
      </c>
      <c r="D14" s="44">
        <v>42</v>
      </c>
      <c r="E14" s="44">
        <v>45</v>
      </c>
      <c r="F14" s="21">
        <f>B14</f>
        <v>42.4</v>
      </c>
      <c r="G14" s="17" t="s">
        <v>26</v>
      </c>
      <c r="H14" s="22"/>
      <c r="I14" s="20">
        <v>44</v>
      </c>
      <c r="J14" s="37" t="s">
        <v>32</v>
      </c>
      <c r="K14" s="21">
        <v>75</v>
      </c>
      <c r="L14" s="21">
        <v>75</v>
      </c>
      <c r="M14" s="23">
        <f>IF($P$14="2024 baseline",K14,IFERROR(100*L14/SUM($L$14:$L$18),K14))</f>
        <v>75</v>
      </c>
      <c r="N14" s="23">
        <f>M14-K14</f>
        <v>0</v>
      </c>
      <c r="O14" s="19" t="s">
        <v>33</v>
      </c>
      <c r="P14" s="48"/>
      <c r="Q14" s="51"/>
      <c r="R14" s="51"/>
      <c r="S14" s="48"/>
      <c r="T14" s="48"/>
      <c r="U14" s="52"/>
      <c r="V14" s="52"/>
      <c r="W14" s="52"/>
      <c r="X14" s="52"/>
      <c r="Y14" s="47"/>
      <c r="Z14" s="47"/>
    </row>
    <row r="15" spans="1:26" ht="27" customHeight="1" x14ac:dyDescent="0.2">
      <c r="A15" s="66" t="s">
        <v>34</v>
      </c>
      <c r="B15" s="75">
        <v>54.2</v>
      </c>
      <c r="C15" s="44">
        <v>54.2</v>
      </c>
      <c r="D15" s="44">
        <v>63</v>
      </c>
      <c r="E15" s="44">
        <v>67</v>
      </c>
      <c r="F15" s="21">
        <f>B15</f>
        <v>54.2</v>
      </c>
      <c r="G15" s="24"/>
      <c r="H15" s="22"/>
      <c r="I15" s="20">
        <v>69</v>
      </c>
      <c r="J15" s="37" t="s">
        <v>34</v>
      </c>
      <c r="K15" s="21">
        <v>10</v>
      </c>
      <c r="L15" s="21">
        <v>10</v>
      </c>
      <c r="M15" s="23">
        <f>IF($P$14="2024 baseline",K15,IFERROR(100*L15/SUM($L$14:$L$18),K15))</f>
        <v>10</v>
      </c>
      <c r="N15" s="23">
        <f>M15-K15</f>
        <v>0</v>
      </c>
      <c r="O15" s="19"/>
      <c r="P15" s="48"/>
      <c r="Q15" s="51"/>
      <c r="R15" s="51"/>
      <c r="S15" s="51"/>
      <c r="T15" s="51"/>
      <c r="U15" s="52"/>
      <c r="V15" s="52"/>
      <c r="W15" s="52"/>
      <c r="X15" s="52"/>
      <c r="Y15" s="47"/>
      <c r="Z15" s="47"/>
    </row>
    <row r="16" spans="1:26" ht="27" customHeight="1" x14ac:dyDescent="0.2">
      <c r="A16" s="66" t="s">
        <v>35</v>
      </c>
      <c r="B16" s="75">
        <v>85.4</v>
      </c>
      <c r="C16" s="44">
        <v>85.4</v>
      </c>
      <c r="D16" s="44">
        <v>90</v>
      </c>
      <c r="E16" s="44">
        <v>91</v>
      </c>
      <c r="F16" s="21">
        <f>B16</f>
        <v>85.4</v>
      </c>
      <c r="G16" s="37"/>
      <c r="H16" s="22"/>
      <c r="I16" s="20">
        <v>90</v>
      </c>
      <c r="J16" s="37" t="s">
        <v>35</v>
      </c>
      <c r="K16" s="21">
        <v>10</v>
      </c>
      <c r="L16" s="21">
        <v>10</v>
      </c>
      <c r="M16" s="23">
        <f>IF($P$14="2024 baseline",K16,IFERROR(100*L16/SUM($L$14:$L$18),K16))</f>
        <v>10</v>
      </c>
      <c r="N16" s="23">
        <f>M16-K16</f>
        <v>0</v>
      </c>
      <c r="O16" s="19"/>
      <c r="P16" s="48"/>
      <c r="Q16" s="51"/>
      <c r="R16" s="51"/>
      <c r="S16" s="51"/>
      <c r="T16" s="51"/>
      <c r="U16" s="52"/>
      <c r="V16" s="52"/>
      <c r="W16" s="52"/>
      <c r="X16" s="52"/>
      <c r="Y16" s="47"/>
      <c r="Z16" s="47"/>
    </row>
    <row r="17" spans="1:27" ht="27" customHeight="1" x14ac:dyDescent="0.2">
      <c r="A17" s="66" t="s">
        <v>36</v>
      </c>
      <c r="B17" s="75">
        <v>60.7</v>
      </c>
      <c r="C17" s="44">
        <v>60.7</v>
      </c>
      <c r="D17" s="44">
        <v>64</v>
      </c>
      <c r="E17" s="44">
        <v>62</v>
      </c>
      <c r="F17" s="21">
        <f>B17</f>
        <v>60.7</v>
      </c>
      <c r="G17" s="81"/>
      <c r="H17" s="22"/>
      <c r="I17" s="20">
        <v>77</v>
      </c>
      <c r="J17" s="37" t="s">
        <v>36</v>
      </c>
      <c r="K17" s="21">
        <v>2.3011941182275732</v>
      </c>
      <c r="L17" s="21">
        <v>2.3011941182275732</v>
      </c>
      <c r="M17" s="23">
        <f>IF($P$14="2024 baseline",K17,IFERROR(100*L17/SUM($L$14:$L$18),K17))</f>
        <v>2.3011941182275732</v>
      </c>
      <c r="N17" s="23">
        <f>M17-K17</f>
        <v>0</v>
      </c>
      <c r="O17" s="19"/>
      <c r="P17" s="48"/>
      <c r="Q17" s="51"/>
      <c r="R17" s="51"/>
      <c r="S17" s="51"/>
      <c r="T17" s="51"/>
      <c r="U17" s="52"/>
      <c r="V17" s="52"/>
      <c r="W17" s="52"/>
      <c r="X17" s="52"/>
      <c r="Y17" s="47"/>
      <c r="Z17" s="47"/>
    </row>
    <row r="18" spans="1:27" ht="27" customHeight="1" x14ac:dyDescent="0.2">
      <c r="A18" s="66" t="s">
        <v>37</v>
      </c>
      <c r="B18" s="75">
        <v>53.5</v>
      </c>
      <c r="C18" s="44">
        <v>53.5</v>
      </c>
      <c r="D18" s="44"/>
      <c r="E18" s="44"/>
      <c r="F18" s="21">
        <f>B18</f>
        <v>53.5</v>
      </c>
      <c r="G18" s="37"/>
      <c r="H18" s="22"/>
      <c r="I18" s="20"/>
      <c r="J18" s="37" t="s">
        <v>37</v>
      </c>
      <c r="K18" s="21">
        <v>2.6988058817724268</v>
      </c>
      <c r="L18" s="21">
        <v>2.6988058817724268</v>
      </c>
      <c r="M18" s="23">
        <f>IF($P$14="2024 baseline",K18,IFERROR(100*L18/SUM($L$14:$L$18),K18))</f>
        <v>2.6988058817724268</v>
      </c>
      <c r="N18" s="23">
        <f>M18-K18</f>
        <v>0</v>
      </c>
      <c r="O18" s="19"/>
      <c r="P18" s="48"/>
      <c r="Q18" s="51"/>
      <c r="R18" s="51"/>
      <c r="S18" s="51"/>
      <c r="T18" s="51"/>
      <c r="U18" s="52"/>
      <c r="V18" s="52"/>
      <c r="W18" s="52"/>
      <c r="X18" s="52"/>
      <c r="Y18" s="47"/>
      <c r="Z18" s="47"/>
    </row>
    <row r="19" spans="1:27" ht="19.149999999999999" customHeight="1" x14ac:dyDescent="0.2">
      <c r="A19" s="66"/>
      <c r="B19" s="66"/>
      <c r="C19" s="37"/>
      <c r="D19" s="37"/>
      <c r="E19" s="21"/>
      <c r="F19" s="37"/>
      <c r="G19" s="37"/>
      <c r="H19" s="37"/>
      <c r="I19" s="37"/>
      <c r="J19" s="37"/>
      <c r="K19" s="21"/>
      <c r="L19" s="21"/>
      <c r="M19" s="23"/>
      <c r="N19" s="23"/>
      <c r="O19" s="19"/>
      <c r="P19" s="19"/>
      <c r="Q19" s="48"/>
      <c r="R19" s="48"/>
      <c r="S19" s="51"/>
      <c r="T19" s="51"/>
      <c r="U19" s="52"/>
      <c r="V19" s="52"/>
      <c r="W19" s="52"/>
      <c r="X19" s="52"/>
      <c r="Y19" s="47"/>
      <c r="Z19" s="47"/>
      <c r="AA19" s="47"/>
    </row>
    <row r="20" spans="1:27" ht="23.1" customHeight="1" x14ac:dyDescent="0.2">
      <c r="A20" s="30" t="s">
        <v>38</v>
      </c>
      <c r="B20" s="30" t="s">
        <v>39</v>
      </c>
      <c r="C20" s="54" t="s">
        <v>22</v>
      </c>
      <c r="D20" s="54" t="s">
        <v>23</v>
      </c>
      <c r="E20" s="55" t="s">
        <v>24</v>
      </c>
      <c r="F20" s="17" t="s">
        <v>102</v>
      </c>
      <c r="G20" s="37"/>
      <c r="H20" s="37"/>
      <c r="I20" s="37"/>
      <c r="J20" s="17" t="s">
        <v>40</v>
      </c>
      <c r="K20" s="25" t="s">
        <v>41</v>
      </c>
      <c r="L20" s="25" t="s">
        <v>28</v>
      </c>
      <c r="M20" s="26" t="s">
        <v>29</v>
      </c>
      <c r="N20" s="26" t="s">
        <v>30</v>
      </c>
      <c r="O20" s="19"/>
      <c r="P20" s="19"/>
      <c r="Q20" s="49"/>
      <c r="R20" s="49"/>
      <c r="S20" s="48"/>
      <c r="T20" s="48"/>
      <c r="U20" s="53"/>
      <c r="V20" s="53"/>
      <c r="W20" s="52"/>
      <c r="X20" s="52"/>
      <c r="Y20" s="47"/>
      <c r="Z20" s="47"/>
      <c r="AA20" s="47"/>
    </row>
    <row r="21" spans="1:27" ht="27" customHeight="1" x14ac:dyDescent="0.2">
      <c r="A21" s="66" t="s">
        <v>42</v>
      </c>
      <c r="B21" s="74">
        <v>55.6</v>
      </c>
      <c r="C21" s="56">
        <v>55.6</v>
      </c>
      <c r="D21" s="57">
        <v>56</v>
      </c>
      <c r="E21" s="57">
        <v>57</v>
      </c>
      <c r="F21" s="21">
        <f>B21</f>
        <v>55.6</v>
      </c>
      <c r="G21" s="17" t="s">
        <v>40</v>
      </c>
      <c r="H21" s="37"/>
      <c r="I21" s="20"/>
      <c r="J21" s="37" t="s">
        <v>42</v>
      </c>
      <c r="K21" s="21">
        <v>42</v>
      </c>
      <c r="L21" s="21">
        <v>42</v>
      </c>
      <c r="M21" s="23">
        <f>IF($P$21="2024 baseline",K21,L21)</f>
        <v>42</v>
      </c>
      <c r="N21" s="23">
        <f>M21-K21</f>
        <v>0</v>
      </c>
      <c r="O21" s="19" t="s">
        <v>43</v>
      </c>
      <c r="P21" s="19" t="s">
        <v>44</v>
      </c>
      <c r="Q21" s="51"/>
      <c r="R21" s="51"/>
      <c r="S21" s="48"/>
      <c r="T21" s="48"/>
      <c r="U21" s="52"/>
      <c r="V21" s="52"/>
      <c r="W21" s="52"/>
      <c r="X21" s="52"/>
      <c r="Y21" s="47"/>
      <c r="Z21" s="47"/>
      <c r="AA21" s="47"/>
    </row>
    <row r="22" spans="1:27" ht="27" customHeight="1" x14ac:dyDescent="0.2">
      <c r="A22" s="66" t="s">
        <v>45</v>
      </c>
      <c r="B22" s="74">
        <v>44.9</v>
      </c>
      <c r="C22" s="57">
        <v>44.9</v>
      </c>
      <c r="D22" s="57">
        <v>49</v>
      </c>
      <c r="E22" s="57">
        <v>52</v>
      </c>
      <c r="F22" s="21">
        <f>B22</f>
        <v>44.9</v>
      </c>
      <c r="G22" s="37"/>
      <c r="H22" s="37"/>
      <c r="I22" s="37"/>
      <c r="J22" s="37" t="s">
        <v>46</v>
      </c>
      <c r="K22" s="21">
        <v>58</v>
      </c>
      <c r="L22" s="21">
        <f>100-L21</f>
        <v>58</v>
      </c>
      <c r="M22" s="23">
        <f>IF($P$21="2024 baseline",K22,L22)</f>
        <v>58</v>
      </c>
      <c r="N22" s="23">
        <f>M22-K22</f>
        <v>0</v>
      </c>
      <c r="O22" s="19"/>
      <c r="P22" s="19"/>
      <c r="Q22" s="51"/>
      <c r="R22" s="51"/>
      <c r="S22" s="48"/>
      <c r="T22" s="48"/>
      <c r="U22" s="52"/>
      <c r="V22" s="52"/>
      <c r="W22" s="52"/>
      <c r="X22" s="52"/>
      <c r="Y22" s="47"/>
      <c r="Z22" s="47"/>
      <c r="AA22" s="47"/>
    </row>
    <row r="23" spans="1:27" ht="26.1" customHeight="1" x14ac:dyDescent="0.2">
      <c r="A23" s="84" t="s">
        <v>813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ht="22.15" customHeight="1" x14ac:dyDescent="0.2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23.1" customHeight="1" x14ac:dyDescent="0.2">
      <c r="A25" s="72" t="s">
        <v>47</v>
      </c>
      <c r="B25" s="8">
        <f>LARGE(H31:H465,218)</f>
        <v>8.2400000000000091</v>
      </c>
      <c r="C25" s="66"/>
      <c r="D25" s="66" t="s">
        <v>48</v>
      </c>
      <c r="E25" s="9" t="str">
        <f>INDEX(A31:A465,MATCH(218,M31:M465,0))</f>
        <v>WI-03</v>
      </c>
      <c r="F25" s="66"/>
      <c r="G25" s="72" t="s">
        <v>117</v>
      </c>
      <c r="H25" s="9">
        <f>MAX(0,218-G6)</f>
        <v>0</v>
      </c>
      <c r="I25" s="72" t="s">
        <v>49</v>
      </c>
      <c r="J25" s="9">
        <f>MAX(0,218-I6)</f>
        <v>18</v>
      </c>
      <c r="K25" s="66"/>
      <c r="L25" s="66"/>
    </row>
    <row r="26" spans="1:27" s="47" customFormat="1" ht="21" customHeight="1" x14ac:dyDescent="0.2">
      <c r="A26" s="64"/>
      <c r="B26" s="65"/>
      <c r="C26" s="58"/>
      <c r="D26" s="58"/>
      <c r="E26" s="58" t="s">
        <v>814</v>
      </c>
      <c r="F26" s="58">
        <f>2*(75*(B14-42.4)+10*(B15-54.2)+10*(B16-85.4)+2.301194118*(B17-60.7)+2.698805882*(B18-53.5))/100</f>
        <v>0</v>
      </c>
      <c r="G26" s="64"/>
      <c r="H26" s="58"/>
      <c r="I26" s="64"/>
      <c r="J26" s="58"/>
      <c r="K26" s="58"/>
      <c r="L26" s="58"/>
    </row>
    <row r="27" spans="1:27" s="47" customFormat="1" ht="22.9" hidden="1" customHeight="1" x14ac:dyDescent="0.2">
      <c r="A27" s="64" t="s">
        <v>50</v>
      </c>
      <c r="B27" s="65"/>
      <c r="C27" s="58"/>
      <c r="D27" s="58"/>
      <c r="E27" s="58" t="s">
        <v>815</v>
      </c>
      <c r="F27" s="58">
        <f>2*(42*(B21-55.6)+58*(B22-44.9))/100</f>
        <v>0</v>
      </c>
      <c r="G27" s="64"/>
      <c r="H27" s="58"/>
      <c r="I27" s="64"/>
      <c r="J27" s="58"/>
      <c r="K27" s="58"/>
      <c r="L27" s="58"/>
    </row>
    <row r="28" spans="1:27" s="47" customFormat="1" ht="18.75" hidden="1" customHeight="1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1:27" s="47" customFormat="1" ht="18.75" hidden="1" customHeight="1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</row>
    <row r="30" spans="1:27" ht="27.75" x14ac:dyDescent="0.2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55</v>
      </c>
      <c r="F30" s="5" t="s">
        <v>816</v>
      </c>
      <c r="G30" s="5" t="s">
        <v>817</v>
      </c>
      <c r="H30" s="5" t="s">
        <v>56</v>
      </c>
      <c r="I30" s="5" t="s">
        <v>57</v>
      </c>
      <c r="J30" s="5" t="s">
        <v>58</v>
      </c>
      <c r="K30" s="5" t="s">
        <v>59</v>
      </c>
      <c r="L30" s="5" t="s">
        <v>60</v>
      </c>
      <c r="M30" s="14" t="s">
        <v>61</v>
      </c>
      <c r="N30" s="14" t="s">
        <v>62</v>
      </c>
      <c r="O30" s="14" t="s">
        <v>63</v>
      </c>
      <c r="P30" s="14" t="s">
        <v>64</v>
      </c>
      <c r="Q30" s="14" t="s">
        <v>65</v>
      </c>
      <c r="R30" s="14" t="s">
        <v>66</v>
      </c>
      <c r="S30" s="14" t="s">
        <v>67</v>
      </c>
      <c r="T30" s="14" t="s">
        <v>68</v>
      </c>
      <c r="U30" s="15" t="s">
        <v>69</v>
      </c>
      <c r="V30" s="15" t="s">
        <v>70</v>
      </c>
      <c r="W30" s="15" t="s">
        <v>71</v>
      </c>
      <c r="X30" s="15" t="s">
        <v>72</v>
      </c>
    </row>
    <row r="31" spans="1:27" x14ac:dyDescent="0.2">
      <c r="A31" t="str">
        <f>'HOUSE DATA'!A4</f>
        <v>AK-AL</v>
      </c>
      <c r="B31" s="10">
        <f>'HOUSE DATA'!B4</f>
        <v>8.1315241629244337</v>
      </c>
      <c r="C31" s="10">
        <f t="shared" ref="C31:C94" si="0">$D$5</f>
        <v>-0.29999999999999893</v>
      </c>
      <c r="D31" s="10">
        <f>2*('HOUSE DATA'!D4*('HOUSE DASHBOARD'!$B$14-42.4)+'HOUSE DATA'!E4*('HOUSE DASHBOARD'!$B$15-54.2)+'HOUSE DATA'!F4*('HOUSE DASHBOARD'!$B$16-85.4)+'HOUSE DATA'!G4*('HOUSE DASHBOARD'!$B$17-60.7)+'HOUSE DATA'!H4*('HOUSE DASHBOARD'!$B$18-53.5))/100</f>
        <v>0</v>
      </c>
      <c r="E31" s="10">
        <f>2*('HOUSE DATA'!I4*('HOUSE DASHBOARD'!$B$21-55.6)+(100-'HOUSE DATA'!I4)*('HOUSE DASHBOARD'!$B$22-44.9))/100</f>
        <v>0</v>
      </c>
      <c r="F31" s="10">
        <f>0</f>
        <v>0</v>
      </c>
      <c r="G31" s="10">
        <f t="shared" ref="G31:G94" si="1">(D31+E31)/2</f>
        <v>0</v>
      </c>
      <c r="H31" s="2">
        <f>'HOUSE DATA'!C4+C31+G31</f>
        <v>9.9200000000000088</v>
      </c>
      <c r="I31" s="3" t="str">
        <f t="shared" ref="I31:I94" si="2">IF(V31="D","D",IF(V31="R","R",IF(H31&gt;=0,"D","R")))</f>
        <v>D</v>
      </c>
      <c r="J31" s="1" t="str">
        <f>'HOUSE DATA'!K4</f>
        <v>R</v>
      </c>
      <c r="K31" s="1" t="str">
        <f t="shared" ref="K31:K94" si="3">IF(I31=J31,"—",J31&amp;" → "&amp;I31)</f>
        <v>R → D</v>
      </c>
      <c r="L31" t="str">
        <f t="shared" ref="L31:L94" si="4">IF(V31="D","D — BALLOT LOCK",IF(V31="R","R — BALLOT LOCK",IF(H31&gt;=0,"D+"&amp;TEXT(H31,"0.00"),"R+"&amp;TEXT(-H31,"0.00"))))</f>
        <v>D+9.92</v>
      </c>
      <c r="M31">
        <f>COUNTIF($H$31:$H$465,"&gt;"&amp;H31)+COUNTIF($H$31:H31,H31)</f>
        <v>213</v>
      </c>
      <c r="N31" s="7">
        <f t="shared" ref="N31:N94" si="5">IF(V31&lt;&gt;"",100,ABS(H31))</f>
        <v>9.9200000000000088</v>
      </c>
      <c r="O31">
        <f>COUNTIF($N$31:$N$465,"&lt;"&amp;N31)+COUNTIF($N$31:N31,N31)</f>
        <v>85</v>
      </c>
      <c r="P31" s="10">
        <f>'HOUSE DATA'!M4</f>
        <v>-1.039999999999992</v>
      </c>
      <c r="Q31" t="str">
        <f>'HOUSE DATA'!N4</f>
        <v>2024 HOUSE / prior substitute</v>
      </c>
      <c r="R31" s="10">
        <f t="shared" ref="R31:R94" si="6">H31-P31</f>
        <v>10.96</v>
      </c>
      <c r="S31" s="10">
        <f t="shared" ref="S31:S94" si="7">B31-P31</f>
        <v>9.1715241629244257</v>
      </c>
      <c r="T31" s="10">
        <f t="shared" ref="T31:T94" si="8">H31-B31</f>
        <v>1.7884758370755751</v>
      </c>
      <c r="U31" t="s">
        <v>73</v>
      </c>
      <c r="W31" t="s">
        <v>74</v>
      </c>
      <c r="X31" t="s">
        <v>75</v>
      </c>
    </row>
    <row r="32" spans="1:27" x14ac:dyDescent="0.2">
      <c r="A32" t="str">
        <f>'HOUSE DATA'!A5</f>
        <v>AL-01</v>
      </c>
      <c r="B32" s="10">
        <f>'HOUSE DATA'!B5</f>
        <v>-24.724555843621363</v>
      </c>
      <c r="C32" s="10">
        <f t="shared" si="0"/>
        <v>-0.29999999999999893</v>
      </c>
      <c r="D32" s="10">
        <f>2*('HOUSE DATA'!D5*('HOUSE DASHBOARD'!$B$14-42.4)+'HOUSE DATA'!E5*('HOUSE DASHBOARD'!$B$15-54.2)+'HOUSE DATA'!F5*('HOUSE DASHBOARD'!$B$16-85.4)+'HOUSE DATA'!G5*('HOUSE DASHBOARD'!$B$17-60.7)+'HOUSE DATA'!H5*('HOUSE DASHBOARD'!$B$18-53.5))/100</f>
        <v>0</v>
      </c>
      <c r="E32" s="10">
        <f>2*('HOUSE DATA'!I5*('HOUSE DASHBOARD'!$B$21-55.6)+(100-'HOUSE DATA'!I5)*('HOUSE DASHBOARD'!$B$22-44.9))/100</f>
        <v>0</v>
      </c>
      <c r="F32" s="10">
        <f>0</f>
        <v>0</v>
      </c>
      <c r="G32" s="10">
        <f t="shared" si="1"/>
        <v>0</v>
      </c>
      <c r="H32" s="2">
        <f>'HOUSE DATA'!C5+C32+G32</f>
        <v>-25.47</v>
      </c>
      <c r="I32" s="3" t="str">
        <f t="shared" si="2"/>
        <v>R</v>
      </c>
      <c r="J32" s="1" t="str">
        <f>'HOUSE DATA'!K5</f>
        <v>R</v>
      </c>
      <c r="K32" s="1" t="str">
        <f t="shared" si="3"/>
        <v>—</v>
      </c>
      <c r="L32" t="str">
        <f t="shared" si="4"/>
        <v>R+25.47</v>
      </c>
      <c r="M32">
        <f>COUNTIF($H$31:$H$465,"&gt;"&amp;H32)+COUNTIF($H$31:H32,H32)</f>
        <v>385</v>
      </c>
      <c r="N32" s="7">
        <f t="shared" si="5"/>
        <v>25.47</v>
      </c>
      <c r="O32">
        <f>COUNTIF($N$31:$N$465,"&lt;"&amp;N32)+COUNTIF($N$31:N32,N32)</f>
        <v>242</v>
      </c>
      <c r="P32" s="10">
        <f>'HOUSE DATA'!M5</f>
        <v>-36.020000000000003</v>
      </c>
      <c r="Q32" t="str">
        <f>'HOUSE DATA'!N5</f>
        <v>2024 PRESIDENT (open seat)</v>
      </c>
      <c r="R32" s="10">
        <f t="shared" si="6"/>
        <v>10.550000000000004</v>
      </c>
      <c r="S32" s="10">
        <f t="shared" si="7"/>
        <v>11.29544415637864</v>
      </c>
      <c r="T32" s="10">
        <f t="shared" si="8"/>
        <v>-0.74544415637863537</v>
      </c>
      <c r="U32" t="s">
        <v>73</v>
      </c>
      <c r="W32" t="s">
        <v>74</v>
      </c>
      <c r="X32" t="s">
        <v>75</v>
      </c>
    </row>
    <row r="33" spans="1:24" x14ac:dyDescent="0.2">
      <c r="A33" t="str">
        <f>'HOUSE DATA'!A6</f>
        <v>AL-02</v>
      </c>
      <c r="B33" s="10">
        <f>'HOUSE DATA'!B6</f>
        <v>-2.8761421545273347</v>
      </c>
      <c r="C33" s="10">
        <f t="shared" si="0"/>
        <v>-0.29999999999999893</v>
      </c>
      <c r="D33" s="10">
        <f>2*('HOUSE DATA'!D6*('HOUSE DASHBOARD'!$B$14-42.4)+'HOUSE DATA'!E6*('HOUSE DASHBOARD'!$B$15-54.2)+'HOUSE DATA'!F6*('HOUSE DASHBOARD'!$B$16-85.4)+'HOUSE DATA'!G6*('HOUSE DASHBOARD'!$B$17-60.7)+'HOUSE DATA'!H6*('HOUSE DASHBOARD'!$B$18-53.5))/100</f>
        <v>0</v>
      </c>
      <c r="E33" s="10">
        <f>2*('HOUSE DATA'!I6*('HOUSE DASHBOARD'!$B$21-55.6)+(100-'HOUSE DATA'!I6)*('HOUSE DASHBOARD'!$B$22-44.9))/100</f>
        <v>0</v>
      </c>
      <c r="F33" s="10">
        <f>0</f>
        <v>0</v>
      </c>
      <c r="G33" s="10">
        <f t="shared" si="1"/>
        <v>0</v>
      </c>
      <c r="H33" s="2">
        <f>'HOUSE DATA'!C6+C33+G33</f>
        <v>-3.4990495449949464</v>
      </c>
      <c r="I33" s="3" t="str">
        <f t="shared" si="2"/>
        <v>R</v>
      </c>
      <c r="J33" s="1" t="str">
        <f>'HOUSE DATA'!K6</f>
        <v>D</v>
      </c>
      <c r="K33" s="1" t="str">
        <f t="shared" si="3"/>
        <v>D → R</v>
      </c>
      <c r="L33" t="str">
        <f t="shared" si="4"/>
        <v>R+3.50</v>
      </c>
      <c r="M33">
        <f>COUNTIF($H$31:$H$465,"&gt;"&amp;H33)+COUNTIF($H$31:H33,H33)</f>
        <v>258</v>
      </c>
      <c r="N33" s="7">
        <f t="shared" si="5"/>
        <v>3.4990495449949464</v>
      </c>
      <c r="O33">
        <f>COUNTIF($N$31:$N$465,"&lt;"&amp;N33)+COUNTIF($N$31:N33,N33)</f>
        <v>30</v>
      </c>
      <c r="P33" s="10">
        <f>'HOUSE DATA'!M6</f>
        <v>-14.459049544994947</v>
      </c>
      <c r="Q33" t="str">
        <f>'HOUSE DATA'!N6</f>
        <v>2024 HOUSE / prior substitute</v>
      </c>
      <c r="R33" s="10">
        <f t="shared" si="6"/>
        <v>10.96</v>
      </c>
      <c r="S33" s="10">
        <f t="shared" si="7"/>
        <v>11.582907390467613</v>
      </c>
      <c r="T33" s="10">
        <f t="shared" si="8"/>
        <v>-0.62290739046761168</v>
      </c>
      <c r="U33" t="s">
        <v>73</v>
      </c>
      <c r="W33" t="s">
        <v>74</v>
      </c>
      <c r="X33" t="s">
        <v>75</v>
      </c>
    </row>
    <row r="34" spans="1:24" x14ac:dyDescent="0.2">
      <c r="A34" t="str">
        <f>'HOUSE DATA'!A7</f>
        <v>AL-03</v>
      </c>
      <c r="B34" s="10">
        <f>'HOUSE DATA'!B7</f>
        <v>-35.422943904319169</v>
      </c>
      <c r="C34" s="10">
        <f t="shared" si="0"/>
        <v>-0.29999999999999893</v>
      </c>
      <c r="D34" s="10">
        <f>2*('HOUSE DATA'!D7*('HOUSE DASHBOARD'!$B$14-42.4)+'HOUSE DATA'!E7*('HOUSE DASHBOARD'!$B$15-54.2)+'HOUSE DATA'!F7*('HOUSE DASHBOARD'!$B$16-85.4)+'HOUSE DATA'!G7*('HOUSE DASHBOARD'!$B$17-60.7)+'HOUSE DATA'!H7*('HOUSE DASHBOARD'!$B$18-53.5))/100</f>
        <v>0</v>
      </c>
      <c r="E34" s="10">
        <f>2*('HOUSE DATA'!I7*('HOUSE DASHBOARD'!$B$21-55.6)+(100-'HOUSE DATA'!I7)*('HOUSE DASHBOARD'!$B$22-44.9))/100</f>
        <v>0</v>
      </c>
      <c r="F34" s="10">
        <f>0</f>
        <v>0</v>
      </c>
      <c r="G34" s="10">
        <f t="shared" si="1"/>
        <v>0</v>
      </c>
      <c r="H34" s="2">
        <f>'HOUSE DATA'!C7+C34+G34</f>
        <v>-36.057189079878668</v>
      </c>
      <c r="I34" s="3" t="str">
        <f t="shared" si="2"/>
        <v>R</v>
      </c>
      <c r="J34" s="1" t="str">
        <f>'HOUSE DATA'!K7</f>
        <v>R</v>
      </c>
      <c r="K34" s="1" t="str">
        <f t="shared" si="3"/>
        <v>—</v>
      </c>
      <c r="L34" t="str">
        <f t="shared" si="4"/>
        <v>R+36.06</v>
      </c>
      <c r="M34">
        <f>COUNTIF($H$31:$H$465,"&gt;"&amp;H34)+COUNTIF($H$31:H34,H34)</f>
        <v>418</v>
      </c>
      <c r="N34" s="7">
        <f t="shared" si="5"/>
        <v>36.057189079878668</v>
      </c>
      <c r="O34">
        <f>COUNTIF($N$31:$N$465,"&lt;"&amp;N34)+COUNTIF($N$31:N34,N34)</f>
        <v>317</v>
      </c>
      <c r="P34" s="10">
        <f>'HOUSE DATA'!M7</f>
        <v>-47.017189079878669</v>
      </c>
      <c r="Q34" t="str">
        <f>'HOUSE DATA'!N7</f>
        <v>2024 HOUSE / prior substitute</v>
      </c>
      <c r="R34" s="10">
        <f t="shared" si="6"/>
        <v>10.96</v>
      </c>
      <c r="S34" s="10">
        <f t="shared" si="7"/>
        <v>11.5942451755595</v>
      </c>
      <c r="T34" s="10">
        <f t="shared" si="8"/>
        <v>-0.63424517555949933</v>
      </c>
      <c r="U34" t="s">
        <v>73</v>
      </c>
      <c r="W34" t="s">
        <v>74</v>
      </c>
      <c r="X34" t="s">
        <v>75</v>
      </c>
    </row>
    <row r="35" spans="1:24" x14ac:dyDescent="0.2">
      <c r="A35" t="str">
        <f>'HOUSE DATA'!A8</f>
        <v>AL-04</v>
      </c>
      <c r="B35" s="10">
        <f>'HOUSE DATA'!B8</f>
        <v>-56.160298557372606</v>
      </c>
      <c r="C35" s="10">
        <f t="shared" si="0"/>
        <v>-0.29999999999999893</v>
      </c>
      <c r="D35" s="10">
        <f>2*('HOUSE DATA'!D8*('HOUSE DASHBOARD'!$B$14-42.4)+'HOUSE DATA'!E8*('HOUSE DASHBOARD'!$B$15-54.2)+'HOUSE DATA'!F8*('HOUSE DASHBOARD'!$B$16-85.4)+'HOUSE DATA'!G8*('HOUSE DASHBOARD'!$B$17-60.7)+'HOUSE DATA'!H8*('HOUSE DASHBOARD'!$B$18-53.5))/100</f>
        <v>0</v>
      </c>
      <c r="E35" s="10">
        <f>2*('HOUSE DATA'!I8*('HOUSE DASHBOARD'!$B$21-55.6)+(100-'HOUSE DATA'!I8)*('HOUSE DASHBOARD'!$B$22-44.9))/100</f>
        <v>0</v>
      </c>
      <c r="F35" s="10">
        <f>0</f>
        <v>0</v>
      </c>
      <c r="G35" s="10">
        <f t="shared" si="1"/>
        <v>0</v>
      </c>
      <c r="H35" s="2">
        <f>'HOUSE DATA'!C8+C35+G35</f>
        <v>-56.077411526794741</v>
      </c>
      <c r="I35" s="3" t="str">
        <f t="shared" si="2"/>
        <v>R</v>
      </c>
      <c r="J35" s="1" t="str">
        <f>'HOUSE DATA'!K8</f>
        <v>R</v>
      </c>
      <c r="K35" s="1" t="str">
        <f t="shared" si="3"/>
        <v>—</v>
      </c>
      <c r="L35" t="str">
        <f t="shared" si="4"/>
        <v>R+56.08</v>
      </c>
      <c r="M35">
        <f>COUNTIF($H$31:$H$465,"&gt;"&amp;H35)+COUNTIF($H$31:H35,H35)</f>
        <v>435</v>
      </c>
      <c r="N35" s="7">
        <f t="shared" si="5"/>
        <v>56.077411526794741</v>
      </c>
      <c r="O35">
        <f>COUNTIF($N$31:$N$465,"&lt;"&amp;N35)+COUNTIF($N$31:N35,N35)</f>
        <v>384</v>
      </c>
      <c r="P35" s="10">
        <f>'HOUSE DATA'!M8</f>
        <v>-67.037411526794742</v>
      </c>
      <c r="Q35" t="str">
        <f>'HOUSE DATA'!N8</f>
        <v>2024 HOUSE / prior substitute</v>
      </c>
      <c r="R35" s="10">
        <f t="shared" si="6"/>
        <v>10.96</v>
      </c>
      <c r="S35" s="10">
        <f t="shared" si="7"/>
        <v>10.877112969422136</v>
      </c>
      <c r="T35" s="10">
        <f t="shared" si="8"/>
        <v>8.2887030577865062E-2</v>
      </c>
      <c r="U35" t="s">
        <v>73</v>
      </c>
      <c r="W35" t="s">
        <v>74</v>
      </c>
      <c r="X35" t="s">
        <v>75</v>
      </c>
    </row>
    <row r="36" spans="1:24" x14ac:dyDescent="0.2">
      <c r="A36" t="str">
        <f>'HOUSE DATA'!A9</f>
        <v>AL-05</v>
      </c>
      <c r="B36" s="10">
        <f>'HOUSE DATA'!B9</f>
        <v>-19.750267234047456</v>
      </c>
      <c r="C36" s="10">
        <f t="shared" si="0"/>
        <v>-0.29999999999999893</v>
      </c>
      <c r="D36" s="10">
        <f>2*('HOUSE DATA'!D9*('HOUSE DASHBOARD'!$B$14-42.4)+'HOUSE DATA'!E9*('HOUSE DASHBOARD'!$B$15-54.2)+'HOUSE DATA'!F9*('HOUSE DASHBOARD'!$B$16-85.4)+'HOUSE DATA'!G9*('HOUSE DASHBOARD'!$B$17-60.7)+'HOUSE DATA'!H9*('HOUSE DASHBOARD'!$B$18-53.5))/100</f>
        <v>0</v>
      </c>
      <c r="E36" s="10">
        <f>2*('HOUSE DATA'!I9*('HOUSE DASHBOARD'!$B$21-55.6)+(100-'HOUSE DATA'!I9)*('HOUSE DASHBOARD'!$B$22-44.9))/100</f>
        <v>0</v>
      </c>
      <c r="F36" s="10">
        <f>0</f>
        <v>0</v>
      </c>
      <c r="G36" s="10">
        <f t="shared" si="1"/>
        <v>0</v>
      </c>
      <c r="H36" s="2">
        <f>'HOUSE DATA'!C9+C36+G36</f>
        <v>-18.571568228105917</v>
      </c>
      <c r="I36" s="3" t="str">
        <f t="shared" si="2"/>
        <v>R</v>
      </c>
      <c r="J36" s="1" t="str">
        <f>'HOUSE DATA'!K9</f>
        <v>R</v>
      </c>
      <c r="K36" s="1" t="str">
        <f t="shared" si="3"/>
        <v>—</v>
      </c>
      <c r="L36" t="str">
        <f t="shared" si="4"/>
        <v>R+18.57</v>
      </c>
      <c r="M36">
        <f>COUNTIF($H$31:$H$465,"&gt;"&amp;H36)+COUNTIF($H$31:H36,H36)</f>
        <v>350</v>
      </c>
      <c r="N36" s="7">
        <f t="shared" si="5"/>
        <v>18.571568228105917</v>
      </c>
      <c r="O36">
        <f>COUNTIF($N$31:$N$465,"&lt;"&amp;N36)+COUNTIF($N$31:N36,N36)</f>
        <v>169</v>
      </c>
      <c r="P36" s="10">
        <f>'HOUSE DATA'!M9</f>
        <v>-29.531568228105918</v>
      </c>
      <c r="Q36" t="str">
        <f>'HOUSE DATA'!N9</f>
        <v>2024 HOUSE / prior substitute</v>
      </c>
      <c r="R36" s="10">
        <f t="shared" si="6"/>
        <v>10.96</v>
      </c>
      <c r="S36" s="10">
        <f t="shared" si="7"/>
        <v>9.7813009940584621</v>
      </c>
      <c r="T36" s="10">
        <f t="shared" si="8"/>
        <v>1.1786990059415388</v>
      </c>
      <c r="U36" t="s">
        <v>73</v>
      </c>
      <c r="W36" t="s">
        <v>74</v>
      </c>
      <c r="X36" t="s">
        <v>75</v>
      </c>
    </row>
    <row r="37" spans="1:24" x14ac:dyDescent="0.2">
      <c r="A37" t="str">
        <f>'HOUSE DATA'!A10</f>
        <v>AL-06</v>
      </c>
      <c r="B37" s="10">
        <f>'HOUSE DATA'!B10</f>
        <v>-25.430454688340149</v>
      </c>
      <c r="C37" s="10">
        <f t="shared" si="0"/>
        <v>-0.29999999999999893</v>
      </c>
      <c r="D37" s="10">
        <f>2*('HOUSE DATA'!D10*('HOUSE DASHBOARD'!$B$14-42.4)+'HOUSE DATA'!E10*('HOUSE DASHBOARD'!$B$15-54.2)+'HOUSE DATA'!F10*('HOUSE DASHBOARD'!$B$16-85.4)+'HOUSE DATA'!G10*('HOUSE DASHBOARD'!$B$17-60.7)+'HOUSE DATA'!H10*('HOUSE DASHBOARD'!$B$18-53.5))/100</f>
        <v>0</v>
      </c>
      <c r="E37" s="10">
        <f>2*('HOUSE DATA'!I10*('HOUSE DASHBOARD'!$B$21-55.6)+(100-'HOUSE DATA'!I10)*('HOUSE DASHBOARD'!$B$22-44.9))/100</f>
        <v>0</v>
      </c>
      <c r="F37" s="10">
        <f>0</f>
        <v>0</v>
      </c>
      <c r="G37" s="10">
        <f t="shared" si="1"/>
        <v>0</v>
      </c>
      <c r="H37" s="2">
        <f>'HOUSE DATA'!C10+C37+G37</f>
        <v>-23.796097560975603</v>
      </c>
      <c r="I37" s="3" t="str">
        <f t="shared" si="2"/>
        <v>R</v>
      </c>
      <c r="J37" s="1" t="str">
        <f>'HOUSE DATA'!K10</f>
        <v>R</v>
      </c>
      <c r="K37" s="1" t="str">
        <f t="shared" si="3"/>
        <v>—</v>
      </c>
      <c r="L37" t="str">
        <f t="shared" si="4"/>
        <v>R+23.80</v>
      </c>
      <c r="M37">
        <f>COUNTIF($H$31:$H$465,"&gt;"&amp;H37)+COUNTIF($H$31:H37,H37)</f>
        <v>380</v>
      </c>
      <c r="N37" s="7">
        <f t="shared" si="5"/>
        <v>23.796097560975603</v>
      </c>
      <c r="O37">
        <f>COUNTIF($N$31:$N$465,"&lt;"&amp;N37)+COUNTIF($N$31:N37,N37)</f>
        <v>228</v>
      </c>
      <c r="P37" s="10">
        <f>'HOUSE DATA'!M10</f>
        <v>-34.756097560975604</v>
      </c>
      <c r="Q37" t="str">
        <f>'HOUSE DATA'!N10</f>
        <v>2024 HOUSE / prior substitute</v>
      </c>
      <c r="R37" s="10">
        <f t="shared" si="6"/>
        <v>10.96</v>
      </c>
      <c r="S37" s="10">
        <f t="shared" si="7"/>
        <v>9.3256428726354557</v>
      </c>
      <c r="T37" s="10">
        <f t="shared" si="8"/>
        <v>1.6343571273645452</v>
      </c>
      <c r="U37" t="s">
        <v>73</v>
      </c>
      <c r="W37" t="s">
        <v>74</v>
      </c>
      <c r="X37" t="s">
        <v>75</v>
      </c>
    </row>
    <row r="38" spans="1:24" x14ac:dyDescent="0.2">
      <c r="A38" t="str">
        <f>'HOUSE DATA'!A11</f>
        <v>AL-07</v>
      </c>
      <c r="B38" s="10">
        <f>'HOUSE DATA'!B11</f>
        <v>30.934188814999029</v>
      </c>
      <c r="C38" s="10">
        <f t="shared" si="0"/>
        <v>-0.29999999999999893</v>
      </c>
      <c r="D38" s="10">
        <f>2*('HOUSE DATA'!D11*('HOUSE DASHBOARD'!$B$14-42.4)+'HOUSE DATA'!E11*('HOUSE DASHBOARD'!$B$15-54.2)+'HOUSE DATA'!F11*('HOUSE DASHBOARD'!$B$16-85.4)+'HOUSE DATA'!G11*('HOUSE DASHBOARD'!$B$17-60.7)+'HOUSE DATA'!H11*('HOUSE DASHBOARD'!$B$18-53.5))/100</f>
        <v>0</v>
      </c>
      <c r="E38" s="10">
        <f>2*('HOUSE DATA'!I11*('HOUSE DASHBOARD'!$B$21-55.6)+(100-'HOUSE DATA'!I11)*('HOUSE DASHBOARD'!$B$22-44.9))/100</f>
        <v>0</v>
      </c>
      <c r="F38" s="10">
        <f>0</f>
        <v>0</v>
      </c>
      <c r="G38" s="10">
        <f t="shared" si="1"/>
        <v>0</v>
      </c>
      <c r="H38" s="2">
        <f>'HOUSE DATA'!C11+C38+G38</f>
        <v>28.976194331983798</v>
      </c>
      <c r="I38" s="3" t="str">
        <f t="shared" si="2"/>
        <v>D</v>
      </c>
      <c r="J38" s="1" t="str">
        <f>'HOUSE DATA'!K11</f>
        <v>D</v>
      </c>
      <c r="K38" s="1" t="str">
        <f t="shared" si="3"/>
        <v>—</v>
      </c>
      <c r="L38" t="str">
        <f t="shared" si="4"/>
        <v>D+28.98</v>
      </c>
      <c r="M38">
        <f>COUNTIF($H$31:$H$465,"&gt;"&amp;H38)+COUNTIF($H$31:H38,H38)</f>
        <v>125</v>
      </c>
      <c r="N38" s="7">
        <f t="shared" si="5"/>
        <v>28.976194331983798</v>
      </c>
      <c r="O38">
        <f>COUNTIF($N$31:$N$465,"&lt;"&amp;N38)+COUNTIF($N$31:N38,N38)</f>
        <v>271</v>
      </c>
      <c r="P38" s="10">
        <f>'HOUSE DATA'!M11</f>
        <v>18.016194331983797</v>
      </c>
      <c r="Q38" t="str">
        <f>'HOUSE DATA'!N11</f>
        <v>2024 HOUSE / prior substitute</v>
      </c>
      <c r="R38" s="10">
        <f t="shared" si="6"/>
        <v>10.96</v>
      </c>
      <c r="S38" s="10">
        <f t="shared" si="7"/>
        <v>12.917994483015232</v>
      </c>
      <c r="T38" s="10">
        <f t="shared" si="8"/>
        <v>-1.9579944830152307</v>
      </c>
      <c r="U38" t="s">
        <v>73</v>
      </c>
      <c r="W38" t="s">
        <v>74</v>
      </c>
      <c r="X38" t="s">
        <v>75</v>
      </c>
    </row>
    <row r="39" spans="1:24" x14ac:dyDescent="0.2">
      <c r="A39" t="str">
        <f>'HOUSE DATA'!A12</f>
        <v>AR-01</v>
      </c>
      <c r="B39" s="10">
        <f>'HOUSE DATA'!B12</f>
        <v>-39.099401615752896</v>
      </c>
      <c r="C39" s="10">
        <f t="shared" si="0"/>
        <v>-0.29999999999999893</v>
      </c>
      <c r="D39" s="10">
        <f>2*('HOUSE DATA'!D12*('HOUSE DASHBOARD'!$B$14-42.4)+'HOUSE DATA'!E12*('HOUSE DASHBOARD'!$B$15-54.2)+'HOUSE DATA'!F12*('HOUSE DASHBOARD'!$B$16-85.4)+'HOUSE DATA'!G12*('HOUSE DASHBOARD'!$B$17-60.7)+'HOUSE DATA'!H12*('HOUSE DASHBOARD'!$B$18-53.5))/100</f>
        <v>0</v>
      </c>
      <c r="E39" s="10">
        <f>2*('HOUSE DATA'!I12*('HOUSE DASHBOARD'!$B$21-55.6)+(100-'HOUSE DATA'!I12)*('HOUSE DASHBOARD'!$B$22-44.9))/100</f>
        <v>0</v>
      </c>
      <c r="F39" s="10">
        <f>0</f>
        <v>0</v>
      </c>
      <c r="G39" s="10">
        <f t="shared" si="1"/>
        <v>0</v>
      </c>
      <c r="H39" s="2">
        <f>'HOUSE DATA'!C12+C39+G39</f>
        <v>-39.499999999999993</v>
      </c>
      <c r="I39" s="3" t="str">
        <f t="shared" si="2"/>
        <v>R</v>
      </c>
      <c r="J39" s="1" t="str">
        <f>'HOUSE DATA'!K12</f>
        <v>R</v>
      </c>
      <c r="K39" s="1" t="str">
        <f t="shared" si="3"/>
        <v>—</v>
      </c>
      <c r="L39" t="str">
        <f t="shared" si="4"/>
        <v>R+39.50</v>
      </c>
      <c r="M39">
        <f>COUNTIF($H$31:$H$465,"&gt;"&amp;H39)+COUNTIF($H$31:H39,H39)</f>
        <v>426</v>
      </c>
      <c r="N39" s="7">
        <f t="shared" si="5"/>
        <v>39.499999999999993</v>
      </c>
      <c r="O39">
        <f>COUNTIF($N$31:$N$465,"&lt;"&amp;N39)+COUNTIF($N$31:N39,N39)</f>
        <v>335</v>
      </c>
      <c r="P39" s="10">
        <f>'HOUSE DATA'!M12</f>
        <v>-50.459999999999994</v>
      </c>
      <c r="Q39" t="str">
        <f>'HOUSE DATA'!N12</f>
        <v>2024 HOUSE / prior substitute</v>
      </c>
      <c r="R39" s="10">
        <f t="shared" si="6"/>
        <v>10.96</v>
      </c>
      <c r="S39" s="10">
        <f t="shared" si="7"/>
        <v>11.360598384247098</v>
      </c>
      <c r="T39" s="10">
        <f t="shared" si="8"/>
        <v>-0.40059838424709682</v>
      </c>
      <c r="U39" t="s">
        <v>73</v>
      </c>
      <c r="W39" t="s">
        <v>74</v>
      </c>
      <c r="X39" t="s">
        <v>75</v>
      </c>
    </row>
    <row r="40" spans="1:24" x14ac:dyDescent="0.2">
      <c r="A40" t="str">
        <f>'HOUSE DATA'!A13</f>
        <v>AR-02</v>
      </c>
      <c r="B40" s="10">
        <f>'HOUSE DATA'!B13</f>
        <v>-6.9580951991577074</v>
      </c>
      <c r="C40" s="10">
        <f t="shared" si="0"/>
        <v>-0.29999999999999893</v>
      </c>
      <c r="D40" s="10">
        <f>2*('HOUSE DATA'!D13*('HOUSE DASHBOARD'!$B$14-42.4)+'HOUSE DATA'!E13*('HOUSE DASHBOARD'!$B$15-54.2)+'HOUSE DATA'!F13*('HOUSE DASHBOARD'!$B$16-85.4)+'HOUSE DATA'!G13*('HOUSE DASHBOARD'!$B$17-60.7)+'HOUSE DATA'!H13*('HOUSE DASHBOARD'!$B$18-53.5))/100</f>
        <v>0</v>
      </c>
      <c r="E40" s="10">
        <f>2*('HOUSE DATA'!I13*('HOUSE DASHBOARD'!$B$21-55.6)+(100-'HOUSE DATA'!I13)*('HOUSE DASHBOARD'!$B$22-44.9))/100</f>
        <v>0</v>
      </c>
      <c r="F40" s="10">
        <f>0</f>
        <v>0</v>
      </c>
      <c r="G40" s="10">
        <f t="shared" si="1"/>
        <v>0</v>
      </c>
      <c r="H40" s="2">
        <f>'HOUSE DATA'!C13+C40+G40</f>
        <v>-6.9000000000000057</v>
      </c>
      <c r="I40" s="3" t="str">
        <f t="shared" si="2"/>
        <v>R</v>
      </c>
      <c r="J40" s="1" t="str">
        <f>'HOUSE DATA'!K13</f>
        <v>R</v>
      </c>
      <c r="K40" s="1" t="str">
        <f t="shared" si="3"/>
        <v>—</v>
      </c>
      <c r="L40" t="str">
        <f t="shared" si="4"/>
        <v>R+6.90</v>
      </c>
      <c r="M40">
        <f>COUNTIF($H$31:$H$465,"&gt;"&amp;H40)+COUNTIF($H$31:H40,H40)</f>
        <v>280</v>
      </c>
      <c r="N40" s="7">
        <f t="shared" si="5"/>
        <v>6.9000000000000057</v>
      </c>
      <c r="O40">
        <f>COUNTIF($N$31:$N$465,"&lt;"&amp;N40)+COUNTIF($N$31:N40,N40)</f>
        <v>57</v>
      </c>
      <c r="P40" s="10">
        <f>'HOUSE DATA'!M13</f>
        <v>-17.860000000000007</v>
      </c>
      <c r="Q40" t="str">
        <f>'HOUSE DATA'!N13</f>
        <v>2024 HOUSE / prior substitute</v>
      </c>
      <c r="R40" s="10">
        <f t="shared" si="6"/>
        <v>10.96</v>
      </c>
      <c r="S40" s="10">
        <f t="shared" si="7"/>
        <v>10.901904800842299</v>
      </c>
      <c r="T40" s="10">
        <f t="shared" si="8"/>
        <v>5.8095199157701671E-2</v>
      </c>
      <c r="U40" t="s">
        <v>73</v>
      </c>
      <c r="W40" t="s">
        <v>74</v>
      </c>
      <c r="X40" t="s">
        <v>75</v>
      </c>
    </row>
    <row r="41" spans="1:24" x14ac:dyDescent="0.2">
      <c r="A41" t="str">
        <f>'HOUSE DATA'!A14</f>
        <v>AR-03</v>
      </c>
      <c r="B41" s="10">
        <f>'HOUSE DATA'!B14</f>
        <v>-23.054683745549397</v>
      </c>
      <c r="C41" s="10">
        <f t="shared" si="0"/>
        <v>-0.29999999999999893</v>
      </c>
      <c r="D41" s="10">
        <f>2*('HOUSE DATA'!D14*('HOUSE DASHBOARD'!$B$14-42.4)+'HOUSE DATA'!E14*('HOUSE DASHBOARD'!$B$15-54.2)+'HOUSE DATA'!F14*('HOUSE DASHBOARD'!$B$16-85.4)+'HOUSE DATA'!G14*('HOUSE DASHBOARD'!$B$17-60.7)+'HOUSE DATA'!H14*('HOUSE DASHBOARD'!$B$18-53.5))/100</f>
        <v>0</v>
      </c>
      <c r="E41" s="10">
        <f>2*('HOUSE DATA'!I14*('HOUSE DASHBOARD'!$B$21-55.6)+(100-'HOUSE DATA'!I14)*('HOUSE DASHBOARD'!$B$22-44.9))/100</f>
        <v>0</v>
      </c>
      <c r="F41" s="10">
        <f>0</f>
        <v>0</v>
      </c>
      <c r="G41" s="10">
        <f t="shared" si="1"/>
        <v>0</v>
      </c>
      <c r="H41" s="2">
        <f>'HOUSE DATA'!C14+C41+G41</f>
        <v>-22.559999999999995</v>
      </c>
      <c r="I41" s="3" t="str">
        <f t="shared" si="2"/>
        <v>R</v>
      </c>
      <c r="J41" s="1" t="str">
        <f>'HOUSE DATA'!K14</f>
        <v>R</v>
      </c>
      <c r="K41" s="1" t="str">
        <f t="shared" si="3"/>
        <v>—</v>
      </c>
      <c r="L41" t="str">
        <f t="shared" si="4"/>
        <v>R+22.56</v>
      </c>
      <c r="M41">
        <f>COUNTIF($H$31:$H$465,"&gt;"&amp;H41)+COUNTIF($H$31:H41,H41)</f>
        <v>373</v>
      </c>
      <c r="N41" s="7">
        <f t="shared" si="5"/>
        <v>22.559999999999995</v>
      </c>
      <c r="O41">
        <f>COUNTIF($N$31:$N$465,"&lt;"&amp;N41)+COUNTIF($N$31:N41,N41)</f>
        <v>215</v>
      </c>
      <c r="P41" s="10">
        <f>'HOUSE DATA'!M14</f>
        <v>-33.519999999999996</v>
      </c>
      <c r="Q41" t="str">
        <f>'HOUSE DATA'!N14</f>
        <v>2024 HOUSE / prior substitute</v>
      </c>
      <c r="R41" s="10">
        <f t="shared" si="6"/>
        <v>10.96</v>
      </c>
      <c r="S41" s="10">
        <f t="shared" si="7"/>
        <v>10.465316254450599</v>
      </c>
      <c r="T41" s="10">
        <f t="shared" si="8"/>
        <v>0.49468374554940198</v>
      </c>
      <c r="U41" t="s">
        <v>73</v>
      </c>
      <c r="W41" t="s">
        <v>74</v>
      </c>
      <c r="X41" t="s">
        <v>75</v>
      </c>
    </row>
    <row r="42" spans="1:24" x14ac:dyDescent="0.2">
      <c r="A42" t="str">
        <f>'HOUSE DATA'!A15</f>
        <v>AR-04</v>
      </c>
      <c r="B42" s="10">
        <f>'HOUSE DATA'!B15</f>
        <v>-34.156732782454171</v>
      </c>
      <c r="C42" s="10">
        <f t="shared" si="0"/>
        <v>-0.29999999999999893</v>
      </c>
      <c r="D42" s="10">
        <f>2*('HOUSE DATA'!D15*('HOUSE DASHBOARD'!$B$14-42.4)+'HOUSE DATA'!E15*('HOUSE DASHBOARD'!$B$15-54.2)+'HOUSE DATA'!F15*('HOUSE DASHBOARD'!$B$16-85.4)+'HOUSE DATA'!G15*('HOUSE DASHBOARD'!$B$17-60.7)+'HOUSE DATA'!H15*('HOUSE DASHBOARD'!$B$18-53.5))/100</f>
        <v>0</v>
      </c>
      <c r="E42" s="10">
        <f>2*('HOUSE DATA'!I15*('HOUSE DASHBOARD'!$B$21-55.6)+(100-'HOUSE DATA'!I15)*('HOUSE DASHBOARD'!$B$22-44.9))/100</f>
        <v>0</v>
      </c>
      <c r="F42" s="10">
        <f>0</f>
        <v>0</v>
      </c>
      <c r="G42" s="10">
        <f t="shared" si="1"/>
        <v>0</v>
      </c>
      <c r="H42" s="2">
        <f>'HOUSE DATA'!C15+C42+G42</f>
        <v>-34.86</v>
      </c>
      <c r="I42" s="3" t="str">
        <f t="shared" si="2"/>
        <v>R</v>
      </c>
      <c r="J42" s="1" t="str">
        <f>'HOUSE DATA'!K15</f>
        <v>R</v>
      </c>
      <c r="K42" s="1" t="str">
        <f t="shared" si="3"/>
        <v>—</v>
      </c>
      <c r="L42" t="str">
        <f t="shared" si="4"/>
        <v>R+34.86</v>
      </c>
      <c r="M42">
        <f>COUNTIF($H$31:$H$465,"&gt;"&amp;H42)+COUNTIF($H$31:H42,H42)</f>
        <v>412</v>
      </c>
      <c r="N42" s="7">
        <f t="shared" si="5"/>
        <v>34.86</v>
      </c>
      <c r="O42">
        <f>COUNTIF($N$31:$N$465,"&lt;"&amp;N42)+COUNTIF($N$31:N42,N42)</f>
        <v>306</v>
      </c>
      <c r="P42" s="10">
        <f>'HOUSE DATA'!M15</f>
        <v>-45.82</v>
      </c>
      <c r="Q42" t="str">
        <f>'HOUSE DATA'!N15</f>
        <v>2024 HOUSE / prior substitute</v>
      </c>
      <c r="R42" s="10">
        <f t="shared" si="6"/>
        <v>10.96</v>
      </c>
      <c r="S42" s="10">
        <f t="shared" si="7"/>
        <v>11.66326721754583</v>
      </c>
      <c r="T42" s="10">
        <f t="shared" si="8"/>
        <v>-0.70326721754582877</v>
      </c>
      <c r="U42" t="s">
        <v>73</v>
      </c>
      <c r="W42" t="s">
        <v>74</v>
      </c>
      <c r="X42" t="s">
        <v>75</v>
      </c>
    </row>
    <row r="43" spans="1:24" x14ac:dyDescent="0.2">
      <c r="A43" t="str">
        <f>'HOUSE DATA'!A16</f>
        <v>AZ-01</v>
      </c>
      <c r="B43" s="10">
        <f>'HOUSE DATA'!B16</f>
        <v>5.4536575388987094</v>
      </c>
      <c r="C43" s="10">
        <f t="shared" si="0"/>
        <v>-0.29999999999999893</v>
      </c>
      <c r="D43" s="10">
        <f>2*('HOUSE DATA'!D16*('HOUSE DASHBOARD'!$B$14-42.4)+'HOUSE DATA'!E16*('HOUSE DASHBOARD'!$B$15-54.2)+'HOUSE DATA'!F16*('HOUSE DASHBOARD'!$B$16-85.4)+'HOUSE DATA'!G16*('HOUSE DASHBOARD'!$B$17-60.7)+'HOUSE DATA'!H16*('HOUSE DASHBOARD'!$B$18-53.5))/100</f>
        <v>0</v>
      </c>
      <c r="E43" s="10">
        <f>2*('HOUSE DATA'!I16*('HOUSE DASHBOARD'!$B$21-55.6)+(100-'HOUSE DATA'!I16)*('HOUSE DASHBOARD'!$B$22-44.9))/100</f>
        <v>0</v>
      </c>
      <c r="F43" s="10">
        <f>0</f>
        <v>0</v>
      </c>
      <c r="G43" s="10">
        <f t="shared" si="1"/>
        <v>0</v>
      </c>
      <c r="H43" s="2">
        <f>'HOUSE DATA'!C16+C43+G43</f>
        <v>7.4400000000000013</v>
      </c>
      <c r="I43" s="3" t="str">
        <f t="shared" si="2"/>
        <v>D</v>
      </c>
      <c r="J43" s="1" t="str">
        <f>'HOUSE DATA'!K16</f>
        <v>R</v>
      </c>
      <c r="K43" s="1" t="str">
        <f t="shared" si="3"/>
        <v>R → D</v>
      </c>
      <c r="L43" t="str">
        <f t="shared" si="4"/>
        <v>D+7.44</v>
      </c>
      <c r="M43">
        <f>COUNTIF($H$31:$H$465,"&gt;"&amp;H43)+COUNTIF($H$31:H43,H43)</f>
        <v>219</v>
      </c>
      <c r="N43" s="7">
        <f t="shared" si="5"/>
        <v>7.4400000000000013</v>
      </c>
      <c r="O43">
        <f>COUNTIF($N$31:$N$465,"&lt;"&amp;N43)+COUNTIF($N$31:N43,N43)</f>
        <v>62</v>
      </c>
      <c r="P43" s="10">
        <f>'HOUSE DATA'!M16</f>
        <v>-3.11</v>
      </c>
      <c r="Q43" t="str">
        <f>'HOUSE DATA'!N16</f>
        <v>2024 PRESIDENT (open seat)</v>
      </c>
      <c r="R43" s="10">
        <f t="shared" si="6"/>
        <v>10.55</v>
      </c>
      <c r="S43" s="10">
        <f t="shared" si="7"/>
        <v>8.5636575388987097</v>
      </c>
      <c r="T43" s="10">
        <f t="shared" si="8"/>
        <v>1.9863424611012919</v>
      </c>
      <c r="U43" t="s">
        <v>73</v>
      </c>
      <c r="W43" t="s">
        <v>74</v>
      </c>
      <c r="X43" t="s">
        <v>75</v>
      </c>
    </row>
    <row r="44" spans="1:24" x14ac:dyDescent="0.2">
      <c r="A44" t="str">
        <f>'HOUSE DATA'!A17</f>
        <v>AZ-02</v>
      </c>
      <c r="B44" s="10">
        <f>'HOUSE DATA'!B17</f>
        <v>2.3651025886261952</v>
      </c>
      <c r="C44" s="10">
        <f t="shared" si="0"/>
        <v>-0.29999999999999893</v>
      </c>
      <c r="D44" s="10">
        <f>2*('HOUSE DATA'!D17*('HOUSE DASHBOARD'!$B$14-42.4)+'HOUSE DATA'!E17*('HOUSE DASHBOARD'!$B$15-54.2)+'HOUSE DATA'!F17*('HOUSE DASHBOARD'!$B$16-85.4)+'HOUSE DATA'!G17*('HOUSE DASHBOARD'!$B$17-60.7)+'HOUSE DATA'!H17*('HOUSE DASHBOARD'!$B$18-53.5))/100</f>
        <v>0</v>
      </c>
      <c r="E44" s="10">
        <f>2*('HOUSE DATA'!I17*('HOUSE DASHBOARD'!$B$21-55.6)+(100-'HOUSE DATA'!I17)*('HOUSE DASHBOARD'!$B$22-44.9))/100</f>
        <v>0</v>
      </c>
      <c r="F44" s="10">
        <f>0</f>
        <v>0</v>
      </c>
      <c r="G44" s="10">
        <f t="shared" si="1"/>
        <v>0</v>
      </c>
      <c r="H44" s="2">
        <f>'HOUSE DATA'!C17+C44+G44</f>
        <v>2</v>
      </c>
      <c r="I44" s="3" t="str">
        <f t="shared" si="2"/>
        <v>D</v>
      </c>
      <c r="J44" s="1" t="str">
        <f>'HOUSE DATA'!K17</f>
        <v>R</v>
      </c>
      <c r="K44" s="1" t="str">
        <f t="shared" si="3"/>
        <v>R → D</v>
      </c>
      <c r="L44" t="str">
        <f t="shared" si="4"/>
        <v>D+2.00</v>
      </c>
      <c r="M44">
        <f>COUNTIF($H$31:$H$465,"&gt;"&amp;H44)+COUNTIF($H$31:H44,H44)</f>
        <v>229</v>
      </c>
      <c r="N44" s="7">
        <f t="shared" si="5"/>
        <v>2</v>
      </c>
      <c r="O44">
        <f>COUNTIF($N$31:$N$465,"&lt;"&amp;N44)+COUNTIF($N$31:N44,N44)</f>
        <v>19</v>
      </c>
      <c r="P44" s="10">
        <f>'HOUSE DATA'!M17</f>
        <v>-8.9600000000000009</v>
      </c>
      <c r="Q44" t="str">
        <f>'HOUSE DATA'!N17</f>
        <v>2024 HOUSE / prior substitute</v>
      </c>
      <c r="R44" s="10">
        <f t="shared" si="6"/>
        <v>10.96</v>
      </c>
      <c r="S44" s="10">
        <f t="shared" si="7"/>
        <v>11.325102588626196</v>
      </c>
      <c r="T44" s="10">
        <f t="shared" si="8"/>
        <v>-0.36510258862619516</v>
      </c>
      <c r="U44" t="s">
        <v>73</v>
      </c>
      <c r="W44" t="s">
        <v>74</v>
      </c>
      <c r="X44" t="s">
        <v>75</v>
      </c>
    </row>
    <row r="45" spans="1:24" x14ac:dyDescent="0.2">
      <c r="A45" t="str">
        <f>'HOUSE DATA'!A18</f>
        <v>AZ-03</v>
      </c>
      <c r="B45" s="10">
        <f>'HOUSE DATA'!B18</f>
        <v>60.382714213548297</v>
      </c>
      <c r="C45" s="10">
        <f t="shared" si="0"/>
        <v>-0.29999999999999893</v>
      </c>
      <c r="D45" s="10">
        <f>2*('HOUSE DATA'!D18*('HOUSE DASHBOARD'!$B$14-42.4)+'HOUSE DATA'!E18*('HOUSE DASHBOARD'!$B$15-54.2)+'HOUSE DATA'!F18*('HOUSE DASHBOARD'!$B$16-85.4)+'HOUSE DATA'!G18*('HOUSE DASHBOARD'!$B$17-60.7)+'HOUSE DATA'!H18*('HOUSE DASHBOARD'!$B$18-53.5))/100</f>
        <v>0</v>
      </c>
      <c r="E45" s="10">
        <f>2*('HOUSE DATA'!I18*('HOUSE DASHBOARD'!$B$21-55.6)+(100-'HOUSE DATA'!I18)*('HOUSE DASHBOARD'!$B$22-44.9))/100</f>
        <v>0</v>
      </c>
      <c r="F45" s="10">
        <f>0</f>
        <v>0</v>
      </c>
      <c r="G45" s="10">
        <f t="shared" si="1"/>
        <v>0</v>
      </c>
      <c r="H45" s="2">
        <f>'HOUSE DATA'!C18+C45+G45</f>
        <v>56.440000000000005</v>
      </c>
      <c r="I45" s="3" t="str">
        <f t="shared" si="2"/>
        <v>D</v>
      </c>
      <c r="J45" s="1" t="str">
        <f>'HOUSE DATA'!K18</f>
        <v>D</v>
      </c>
      <c r="K45" s="1" t="str">
        <f t="shared" si="3"/>
        <v>—</v>
      </c>
      <c r="L45" t="str">
        <f t="shared" si="4"/>
        <v>D+56.44</v>
      </c>
      <c r="M45">
        <f>COUNTIF($H$31:$H$465,"&gt;"&amp;H45)+COUNTIF($H$31:H45,H45)</f>
        <v>42</v>
      </c>
      <c r="N45" s="7">
        <f t="shared" si="5"/>
        <v>56.440000000000005</v>
      </c>
      <c r="O45">
        <f>COUNTIF($N$31:$N$465,"&lt;"&amp;N45)+COUNTIF($N$31:N45,N45)</f>
        <v>385</v>
      </c>
      <c r="P45" s="10">
        <f>'HOUSE DATA'!M18</f>
        <v>45.480000000000004</v>
      </c>
      <c r="Q45" t="str">
        <f>'HOUSE DATA'!N18</f>
        <v>2024 HOUSE / prior substitute</v>
      </c>
      <c r="R45" s="10">
        <f t="shared" si="6"/>
        <v>10.96</v>
      </c>
      <c r="S45" s="10">
        <f t="shared" si="7"/>
        <v>14.902714213548293</v>
      </c>
      <c r="T45" s="10">
        <f t="shared" si="8"/>
        <v>-3.9427142135482924</v>
      </c>
      <c r="U45" t="s">
        <v>73</v>
      </c>
      <c r="W45" t="s">
        <v>74</v>
      </c>
      <c r="X45" t="s">
        <v>75</v>
      </c>
    </row>
    <row r="46" spans="1:24" x14ac:dyDescent="0.2">
      <c r="A46" t="str">
        <f>'HOUSE DATA'!A19</f>
        <v>AZ-04</v>
      </c>
      <c r="B46" s="10">
        <f>'HOUSE DATA'!B19</f>
        <v>18.092172368757986</v>
      </c>
      <c r="C46" s="10">
        <f t="shared" si="0"/>
        <v>-0.29999999999999893</v>
      </c>
      <c r="D46" s="10">
        <f>2*('HOUSE DATA'!D19*('HOUSE DASHBOARD'!$B$14-42.4)+'HOUSE DATA'!E19*('HOUSE DASHBOARD'!$B$15-54.2)+'HOUSE DATA'!F19*('HOUSE DASHBOARD'!$B$16-85.4)+'HOUSE DATA'!G19*('HOUSE DASHBOARD'!$B$17-60.7)+'HOUSE DATA'!H19*('HOUSE DASHBOARD'!$B$18-53.5))/100</f>
        <v>0</v>
      </c>
      <c r="E46" s="10">
        <f>2*('HOUSE DATA'!I19*('HOUSE DASHBOARD'!$B$21-55.6)+(100-'HOUSE DATA'!I19)*('HOUSE DASHBOARD'!$B$22-44.9))/100</f>
        <v>0</v>
      </c>
      <c r="F46" s="10">
        <f>0</f>
        <v>0</v>
      </c>
      <c r="G46" s="10">
        <f t="shared" si="1"/>
        <v>0</v>
      </c>
      <c r="H46" s="2">
        <f>'HOUSE DATA'!C19+C46+G46</f>
        <v>18.380000000000003</v>
      </c>
      <c r="I46" s="3" t="str">
        <f t="shared" si="2"/>
        <v>D</v>
      </c>
      <c r="J46" s="1" t="str">
        <f>'HOUSE DATA'!K19</f>
        <v>D</v>
      </c>
      <c r="K46" s="1" t="str">
        <f t="shared" si="3"/>
        <v>—</v>
      </c>
      <c r="L46" t="str">
        <f t="shared" si="4"/>
        <v>D+18.38</v>
      </c>
      <c r="M46">
        <f>COUNTIF($H$31:$H$465,"&gt;"&amp;H46)+COUNTIF($H$31:H46,H46)</f>
        <v>181</v>
      </c>
      <c r="N46" s="7">
        <f t="shared" si="5"/>
        <v>18.380000000000003</v>
      </c>
      <c r="O46">
        <f>COUNTIF($N$31:$N$465,"&lt;"&amp;N46)+COUNTIF($N$31:N46,N46)</f>
        <v>168</v>
      </c>
      <c r="P46" s="10">
        <f>'HOUSE DATA'!M19</f>
        <v>7.4200000000000017</v>
      </c>
      <c r="Q46" t="str">
        <f>'HOUSE DATA'!N19</f>
        <v>2024 HOUSE / prior substitute</v>
      </c>
      <c r="R46" s="10">
        <f t="shared" si="6"/>
        <v>10.96</v>
      </c>
      <c r="S46" s="10">
        <f t="shared" si="7"/>
        <v>10.672172368757984</v>
      </c>
      <c r="T46" s="10">
        <f t="shared" si="8"/>
        <v>0.28782763124201693</v>
      </c>
      <c r="U46" t="s">
        <v>73</v>
      </c>
      <c r="W46" t="s">
        <v>74</v>
      </c>
      <c r="X46" t="s">
        <v>75</v>
      </c>
    </row>
    <row r="47" spans="1:24" x14ac:dyDescent="0.2">
      <c r="A47" t="str">
        <f>'HOUSE DATA'!A20</f>
        <v>AZ-05</v>
      </c>
      <c r="B47" s="10">
        <f>'HOUSE DATA'!B20</f>
        <v>-11.23276566762812</v>
      </c>
      <c r="C47" s="10">
        <f t="shared" si="0"/>
        <v>-0.29999999999999893</v>
      </c>
      <c r="D47" s="10">
        <f>2*('HOUSE DATA'!D20*('HOUSE DASHBOARD'!$B$14-42.4)+'HOUSE DATA'!E20*('HOUSE DASHBOARD'!$B$15-54.2)+'HOUSE DATA'!F20*('HOUSE DASHBOARD'!$B$16-85.4)+'HOUSE DATA'!G20*('HOUSE DASHBOARD'!$B$17-60.7)+'HOUSE DATA'!H20*('HOUSE DASHBOARD'!$B$18-53.5))/100</f>
        <v>0</v>
      </c>
      <c r="E47" s="10">
        <f>2*('HOUSE DATA'!I20*('HOUSE DASHBOARD'!$B$21-55.6)+(100-'HOUSE DATA'!I20)*('HOUSE DASHBOARD'!$B$22-44.9))/100</f>
        <v>0</v>
      </c>
      <c r="F47" s="10">
        <f>0</f>
        <v>0</v>
      </c>
      <c r="G47" s="10">
        <f t="shared" si="1"/>
        <v>0</v>
      </c>
      <c r="H47" s="2">
        <f>'HOUSE DATA'!C20+C47+G47</f>
        <v>-9.43</v>
      </c>
      <c r="I47" s="3" t="str">
        <f t="shared" si="2"/>
        <v>R</v>
      </c>
      <c r="J47" s="1" t="str">
        <f>'HOUSE DATA'!K20</f>
        <v>R</v>
      </c>
      <c r="K47" s="1" t="str">
        <f t="shared" si="3"/>
        <v>—</v>
      </c>
      <c r="L47" t="str">
        <f t="shared" si="4"/>
        <v>R+9.43</v>
      </c>
      <c r="M47">
        <f>COUNTIF($H$31:$H$465,"&gt;"&amp;H47)+COUNTIF($H$31:H47,H47)</f>
        <v>295</v>
      </c>
      <c r="N47" s="7">
        <f t="shared" si="5"/>
        <v>9.43</v>
      </c>
      <c r="O47">
        <f>COUNTIF($N$31:$N$465,"&lt;"&amp;N47)+COUNTIF($N$31:N47,N47)</f>
        <v>80</v>
      </c>
      <c r="P47" s="10">
        <f>'HOUSE DATA'!M20</f>
        <v>-19.98</v>
      </c>
      <c r="Q47" t="str">
        <f>'HOUSE DATA'!N20</f>
        <v>2024 PRESIDENT (open seat)</v>
      </c>
      <c r="R47" s="10">
        <f t="shared" si="6"/>
        <v>10.55</v>
      </c>
      <c r="S47" s="10">
        <f t="shared" si="7"/>
        <v>8.74723433237188</v>
      </c>
      <c r="T47" s="10">
        <f t="shared" si="8"/>
        <v>1.8027656676281207</v>
      </c>
      <c r="U47" t="s">
        <v>73</v>
      </c>
      <c r="W47" t="s">
        <v>74</v>
      </c>
      <c r="X47" t="s">
        <v>75</v>
      </c>
    </row>
    <row r="48" spans="1:24" x14ac:dyDescent="0.2">
      <c r="A48" t="str">
        <f>'HOUSE DATA'!A21</f>
        <v>AZ-06</v>
      </c>
      <c r="B48" s="10">
        <f>'HOUSE DATA'!B21</f>
        <v>8.4102066136036804</v>
      </c>
      <c r="C48" s="10">
        <f t="shared" si="0"/>
        <v>-0.29999999999999893</v>
      </c>
      <c r="D48" s="10">
        <f>2*('HOUSE DATA'!D21*('HOUSE DASHBOARD'!$B$14-42.4)+'HOUSE DATA'!E21*('HOUSE DASHBOARD'!$B$15-54.2)+'HOUSE DATA'!F21*('HOUSE DASHBOARD'!$B$16-85.4)+'HOUSE DATA'!G21*('HOUSE DASHBOARD'!$B$17-60.7)+'HOUSE DATA'!H21*('HOUSE DASHBOARD'!$B$18-53.5))/100</f>
        <v>0</v>
      </c>
      <c r="E48" s="10">
        <f>2*('HOUSE DATA'!I21*('HOUSE DASHBOARD'!$B$21-55.6)+(100-'HOUSE DATA'!I21)*('HOUSE DASHBOARD'!$B$22-44.9))/100</f>
        <v>0</v>
      </c>
      <c r="F48" s="10">
        <f>0</f>
        <v>0</v>
      </c>
      <c r="G48" s="10">
        <f t="shared" si="1"/>
        <v>0</v>
      </c>
      <c r="H48" s="2">
        <f>'HOUSE DATA'!C21+C48+G48</f>
        <v>8.3800000000000026</v>
      </c>
      <c r="I48" s="3" t="str">
        <f t="shared" si="2"/>
        <v>D</v>
      </c>
      <c r="J48" s="1" t="str">
        <f>'HOUSE DATA'!K21</f>
        <v>R</v>
      </c>
      <c r="K48" s="1" t="str">
        <f t="shared" si="3"/>
        <v>R → D</v>
      </c>
      <c r="L48" t="str">
        <f t="shared" si="4"/>
        <v>D+8.38</v>
      </c>
      <c r="M48">
        <f>COUNTIF($H$31:$H$465,"&gt;"&amp;H48)+COUNTIF($H$31:H48,H48)</f>
        <v>217</v>
      </c>
      <c r="N48" s="7">
        <f t="shared" si="5"/>
        <v>8.3800000000000026</v>
      </c>
      <c r="O48">
        <f>COUNTIF($N$31:$N$465,"&lt;"&amp;N48)+COUNTIF($N$31:N48,N48)</f>
        <v>68</v>
      </c>
      <c r="P48" s="10">
        <f>'HOUSE DATA'!M21</f>
        <v>-2.5799999999999983</v>
      </c>
      <c r="Q48" t="str">
        <f>'HOUSE DATA'!N21</f>
        <v>2024 HOUSE / prior substitute</v>
      </c>
      <c r="R48" s="10">
        <f t="shared" si="6"/>
        <v>10.96</v>
      </c>
      <c r="S48" s="10">
        <f t="shared" si="7"/>
        <v>10.990206613603679</v>
      </c>
      <c r="T48" s="10">
        <f t="shared" si="8"/>
        <v>-3.0206613603677823E-2</v>
      </c>
      <c r="U48" t="s">
        <v>73</v>
      </c>
      <c r="W48" t="s">
        <v>74</v>
      </c>
      <c r="X48" t="s">
        <v>75</v>
      </c>
    </row>
    <row r="49" spans="1:24" x14ac:dyDescent="0.2">
      <c r="A49" t="str">
        <f>'HOUSE DATA'!A22</f>
        <v>AZ-07</v>
      </c>
      <c r="B49" s="10">
        <f>'HOUSE DATA'!B22</f>
        <v>42.142471987692268</v>
      </c>
      <c r="C49" s="10">
        <f t="shared" si="0"/>
        <v>-0.29999999999999893</v>
      </c>
      <c r="D49" s="10">
        <f>2*('HOUSE DATA'!D22*('HOUSE DASHBOARD'!$B$14-42.4)+'HOUSE DATA'!E22*('HOUSE DASHBOARD'!$B$15-54.2)+'HOUSE DATA'!F22*('HOUSE DASHBOARD'!$B$16-85.4)+'HOUSE DATA'!G22*('HOUSE DASHBOARD'!$B$17-60.7)+'HOUSE DATA'!H22*('HOUSE DASHBOARD'!$B$18-53.5))/100</f>
        <v>0</v>
      </c>
      <c r="E49" s="10">
        <f>2*('HOUSE DATA'!I22*('HOUSE DASHBOARD'!$B$21-55.6)+(100-'HOUSE DATA'!I22)*('HOUSE DASHBOARD'!$B$22-44.9))/100</f>
        <v>0</v>
      </c>
      <c r="F49" s="10">
        <f>0</f>
        <v>0</v>
      </c>
      <c r="G49" s="10">
        <f t="shared" si="1"/>
        <v>0</v>
      </c>
      <c r="H49" s="2">
        <f>'HOUSE DATA'!C22+C49+G49</f>
        <v>37.86</v>
      </c>
      <c r="I49" s="3" t="str">
        <f t="shared" si="2"/>
        <v>D</v>
      </c>
      <c r="J49" s="1" t="str">
        <f>'HOUSE DATA'!K22</f>
        <v>D</v>
      </c>
      <c r="K49" s="1" t="str">
        <f t="shared" si="3"/>
        <v>—</v>
      </c>
      <c r="L49" t="str">
        <f t="shared" si="4"/>
        <v>D+37.86</v>
      </c>
      <c r="M49">
        <f>COUNTIF($H$31:$H$465,"&gt;"&amp;H49)+COUNTIF($H$31:H49,H49)</f>
        <v>90</v>
      </c>
      <c r="N49" s="7">
        <f t="shared" si="5"/>
        <v>37.86</v>
      </c>
      <c r="O49">
        <f>COUNTIF($N$31:$N$465,"&lt;"&amp;N49)+COUNTIF($N$31:N49,N49)</f>
        <v>328</v>
      </c>
      <c r="P49" s="10">
        <f>'HOUSE DATA'!M22</f>
        <v>26.9</v>
      </c>
      <c r="Q49" t="str">
        <f>'HOUSE DATA'!N22</f>
        <v>2024 HOUSE / prior substitute</v>
      </c>
      <c r="R49" s="10">
        <f t="shared" si="6"/>
        <v>10.96</v>
      </c>
      <c r="S49" s="10">
        <f t="shared" si="7"/>
        <v>15.242471987692269</v>
      </c>
      <c r="T49" s="10">
        <f t="shared" si="8"/>
        <v>-4.2824719876922686</v>
      </c>
      <c r="U49" t="s">
        <v>73</v>
      </c>
      <c r="W49" t="s">
        <v>74</v>
      </c>
      <c r="X49" t="s">
        <v>75</v>
      </c>
    </row>
    <row r="50" spans="1:24" x14ac:dyDescent="0.2">
      <c r="A50" t="str">
        <f>'HOUSE DATA'!A23</f>
        <v>AZ-08</v>
      </c>
      <c r="B50" s="10">
        <f>'HOUSE DATA'!B23</f>
        <v>-2.789363386286138</v>
      </c>
      <c r="C50" s="10">
        <f t="shared" si="0"/>
        <v>-0.29999999999999893</v>
      </c>
      <c r="D50" s="10">
        <f>2*('HOUSE DATA'!D23*('HOUSE DASHBOARD'!$B$14-42.4)+'HOUSE DATA'!E23*('HOUSE DASHBOARD'!$B$15-54.2)+'HOUSE DATA'!F23*('HOUSE DASHBOARD'!$B$16-85.4)+'HOUSE DATA'!G23*('HOUSE DASHBOARD'!$B$17-60.7)+'HOUSE DATA'!H23*('HOUSE DASHBOARD'!$B$18-53.5))/100</f>
        <v>0</v>
      </c>
      <c r="E50" s="10">
        <f>2*('HOUSE DATA'!I23*('HOUSE DASHBOARD'!$B$21-55.6)+(100-'HOUSE DATA'!I23)*('HOUSE DASHBOARD'!$B$22-44.9))/100</f>
        <v>0</v>
      </c>
      <c r="F50" s="10">
        <f>0</f>
        <v>0</v>
      </c>
      <c r="G50" s="10">
        <f t="shared" si="1"/>
        <v>0</v>
      </c>
      <c r="H50" s="2">
        <f>'HOUSE DATA'!C23+C50+G50</f>
        <v>-2.039999999999992</v>
      </c>
      <c r="I50" s="3" t="str">
        <f t="shared" si="2"/>
        <v>R</v>
      </c>
      <c r="J50" s="1" t="str">
        <f>'HOUSE DATA'!K23</f>
        <v>R</v>
      </c>
      <c r="K50" s="1" t="str">
        <f t="shared" si="3"/>
        <v>—</v>
      </c>
      <c r="L50" t="str">
        <f t="shared" si="4"/>
        <v>R+2.04</v>
      </c>
      <c r="M50">
        <f>COUNTIF($H$31:$H$465,"&gt;"&amp;H50)+COUNTIF($H$31:H50,H50)</f>
        <v>248</v>
      </c>
      <c r="N50" s="7">
        <f t="shared" si="5"/>
        <v>2.039999999999992</v>
      </c>
      <c r="O50">
        <f>COUNTIF($N$31:$N$465,"&lt;"&amp;N50)+COUNTIF($N$31:N50,N50)</f>
        <v>20</v>
      </c>
      <c r="P50" s="10">
        <f>'HOUSE DATA'!M23</f>
        <v>-12.999999999999993</v>
      </c>
      <c r="Q50" t="str">
        <f>'HOUSE DATA'!N23</f>
        <v>2024 HOUSE / prior substitute</v>
      </c>
      <c r="R50" s="10">
        <f t="shared" si="6"/>
        <v>10.96</v>
      </c>
      <c r="S50" s="10">
        <f t="shared" si="7"/>
        <v>10.210636613713856</v>
      </c>
      <c r="T50" s="10">
        <f t="shared" si="8"/>
        <v>0.74936338628614596</v>
      </c>
      <c r="U50" t="s">
        <v>73</v>
      </c>
      <c r="W50" t="s">
        <v>74</v>
      </c>
      <c r="X50" t="s">
        <v>75</v>
      </c>
    </row>
    <row r="51" spans="1:24" x14ac:dyDescent="0.2">
      <c r="A51" t="str">
        <f>'HOUSE DATA'!A24</f>
        <v>AZ-09</v>
      </c>
      <c r="B51" s="10">
        <f>'HOUSE DATA'!B24</f>
        <v>-19.289249600946686</v>
      </c>
      <c r="C51" s="10">
        <f t="shared" si="0"/>
        <v>-0.29999999999999893</v>
      </c>
      <c r="D51" s="10">
        <f>2*('HOUSE DATA'!D24*('HOUSE DASHBOARD'!$B$14-42.4)+'HOUSE DATA'!E24*('HOUSE DASHBOARD'!$B$15-54.2)+'HOUSE DATA'!F24*('HOUSE DASHBOARD'!$B$16-85.4)+'HOUSE DATA'!G24*('HOUSE DASHBOARD'!$B$17-60.7)+'HOUSE DATA'!H24*('HOUSE DASHBOARD'!$B$18-53.5))/100</f>
        <v>0</v>
      </c>
      <c r="E51" s="10">
        <f>2*('HOUSE DATA'!I24*('HOUSE DASHBOARD'!$B$21-55.6)+(100-'HOUSE DATA'!I24)*('HOUSE DASHBOARD'!$B$22-44.9))/100</f>
        <v>0</v>
      </c>
      <c r="F51" s="10">
        <f>0</f>
        <v>0</v>
      </c>
      <c r="G51" s="10">
        <f t="shared" si="1"/>
        <v>0</v>
      </c>
      <c r="H51" s="2">
        <f>'HOUSE DATA'!C24+C51+G51</f>
        <v>-19.64</v>
      </c>
      <c r="I51" s="3" t="str">
        <f t="shared" si="2"/>
        <v>R</v>
      </c>
      <c r="J51" s="1" t="str">
        <f>'HOUSE DATA'!K24</f>
        <v>R</v>
      </c>
      <c r="K51" s="1" t="str">
        <f t="shared" si="3"/>
        <v>—</v>
      </c>
      <c r="L51" t="str">
        <f t="shared" si="4"/>
        <v>R+19.64</v>
      </c>
      <c r="M51">
        <f>COUNTIF($H$31:$H$465,"&gt;"&amp;H51)+COUNTIF($H$31:H51,H51)</f>
        <v>356</v>
      </c>
      <c r="N51" s="7">
        <f t="shared" si="5"/>
        <v>19.64</v>
      </c>
      <c r="O51">
        <f>COUNTIF($N$31:$N$465,"&lt;"&amp;N51)+COUNTIF($N$31:N51,N51)</f>
        <v>183</v>
      </c>
      <c r="P51" s="10">
        <f>'HOUSE DATA'!M24</f>
        <v>-30.6</v>
      </c>
      <c r="Q51" t="str">
        <f>'HOUSE DATA'!N24</f>
        <v>2024 HOUSE / prior substitute</v>
      </c>
      <c r="R51" s="10">
        <f t="shared" si="6"/>
        <v>10.96</v>
      </c>
      <c r="S51" s="10">
        <f t="shared" si="7"/>
        <v>11.310750399053315</v>
      </c>
      <c r="T51" s="10">
        <f t="shared" si="8"/>
        <v>-0.35075039905331451</v>
      </c>
      <c r="U51" t="s">
        <v>73</v>
      </c>
      <c r="W51" t="s">
        <v>74</v>
      </c>
      <c r="X51" t="s">
        <v>75</v>
      </c>
    </row>
    <row r="52" spans="1:24" x14ac:dyDescent="0.2">
      <c r="A52" t="str">
        <f>'HOUSE DATA'!A25</f>
        <v>CA-01</v>
      </c>
      <c r="B52" s="10">
        <f>'HOUSE DATA'!B25</f>
        <v>24.11314004982863</v>
      </c>
      <c r="C52" s="10">
        <f t="shared" si="0"/>
        <v>-0.29999999999999893</v>
      </c>
      <c r="D52" s="10">
        <f>2*('HOUSE DATA'!D25*('HOUSE DASHBOARD'!$B$14-42.4)+'HOUSE DATA'!E25*('HOUSE DASHBOARD'!$B$15-54.2)+'HOUSE DATA'!F25*('HOUSE DASHBOARD'!$B$16-85.4)+'HOUSE DATA'!G25*('HOUSE DASHBOARD'!$B$17-60.7)+'HOUSE DATA'!H25*('HOUSE DASHBOARD'!$B$18-53.5))/100</f>
        <v>0</v>
      </c>
      <c r="E52" s="10">
        <f>2*('HOUSE DATA'!I25*('HOUSE DASHBOARD'!$B$21-55.6)+(100-'HOUSE DATA'!I25)*('HOUSE DASHBOARD'!$B$22-44.9))/100</f>
        <v>0</v>
      </c>
      <c r="F52" s="10">
        <f>0</f>
        <v>0</v>
      </c>
      <c r="G52" s="10">
        <f t="shared" si="1"/>
        <v>0</v>
      </c>
      <c r="H52" s="2">
        <f>'HOUSE DATA'!C25+C52+G52</f>
        <v>23.460000000000015</v>
      </c>
      <c r="I52" s="3" t="str">
        <f t="shared" si="2"/>
        <v>D</v>
      </c>
      <c r="J52" s="1" t="str">
        <f>'HOUSE DATA'!K25</f>
        <v>R</v>
      </c>
      <c r="K52" s="1" t="str">
        <f t="shared" si="3"/>
        <v>R → D</v>
      </c>
      <c r="L52" t="str">
        <f t="shared" si="4"/>
        <v>D+23.46</v>
      </c>
      <c r="M52">
        <f>COUNTIF($H$31:$H$465,"&gt;"&amp;H52)+COUNTIF($H$31:H52,H52)</f>
        <v>156</v>
      </c>
      <c r="N52" s="7">
        <f t="shared" si="5"/>
        <v>23.460000000000015</v>
      </c>
      <c r="O52">
        <f>COUNTIF($N$31:$N$465,"&lt;"&amp;N52)+COUNTIF($N$31:N52,N52)</f>
        <v>220</v>
      </c>
      <c r="P52" s="10">
        <f>'HOUSE DATA'!M25</f>
        <v>12.500000000000014</v>
      </c>
      <c r="Q52" t="str">
        <f>'HOUSE DATA'!N25</f>
        <v>2024 HOUSE / prior substitute</v>
      </c>
      <c r="R52" s="10">
        <f t="shared" si="6"/>
        <v>10.96</v>
      </c>
      <c r="S52" s="10">
        <f t="shared" si="7"/>
        <v>11.613140049828615</v>
      </c>
      <c r="T52" s="10">
        <f t="shared" si="8"/>
        <v>-0.65314004982861462</v>
      </c>
      <c r="U52" t="s">
        <v>73</v>
      </c>
      <c r="W52" t="s">
        <v>74</v>
      </c>
      <c r="X52" t="s">
        <v>75</v>
      </c>
    </row>
    <row r="53" spans="1:24" x14ac:dyDescent="0.2">
      <c r="A53" t="str">
        <f>'HOUSE DATA'!A26</f>
        <v>CA-02</v>
      </c>
      <c r="B53" s="10">
        <f>'HOUSE DATA'!B26</f>
        <v>34.544866678890479</v>
      </c>
      <c r="C53" s="10">
        <f t="shared" si="0"/>
        <v>-0.29999999999999893</v>
      </c>
      <c r="D53" s="10">
        <f>2*('HOUSE DATA'!D26*('HOUSE DASHBOARD'!$B$14-42.4)+'HOUSE DATA'!E26*('HOUSE DASHBOARD'!$B$15-54.2)+'HOUSE DATA'!F26*('HOUSE DASHBOARD'!$B$16-85.4)+'HOUSE DATA'!G26*('HOUSE DASHBOARD'!$B$17-60.7)+'HOUSE DATA'!H26*('HOUSE DASHBOARD'!$B$18-53.5))/100</f>
        <v>0</v>
      </c>
      <c r="E53" s="10">
        <f>2*('HOUSE DATA'!I26*('HOUSE DASHBOARD'!$B$21-55.6)+(100-'HOUSE DATA'!I26)*('HOUSE DASHBOARD'!$B$22-44.9))/100</f>
        <v>0</v>
      </c>
      <c r="F53" s="10">
        <f>0</f>
        <v>0</v>
      </c>
      <c r="G53" s="10">
        <f t="shared" si="1"/>
        <v>0</v>
      </c>
      <c r="H53" s="2">
        <f>'HOUSE DATA'!C26+C53+G53</f>
        <v>36.733195876288654</v>
      </c>
      <c r="I53" s="3" t="str">
        <f t="shared" si="2"/>
        <v>D</v>
      </c>
      <c r="J53" s="1" t="str">
        <f>'HOUSE DATA'!K26</f>
        <v>D</v>
      </c>
      <c r="K53" s="1" t="str">
        <f t="shared" si="3"/>
        <v>—</v>
      </c>
      <c r="L53" t="str">
        <f t="shared" si="4"/>
        <v>D+36.73</v>
      </c>
      <c r="M53">
        <f>COUNTIF($H$31:$H$465,"&gt;"&amp;H53)+COUNTIF($H$31:H53,H53)</f>
        <v>93</v>
      </c>
      <c r="N53" s="7">
        <f t="shared" si="5"/>
        <v>36.733195876288654</v>
      </c>
      <c r="O53">
        <f>COUNTIF($N$31:$N$465,"&lt;"&amp;N53)+COUNTIF($N$31:N53,N53)</f>
        <v>319</v>
      </c>
      <c r="P53" s="10">
        <f>'HOUSE DATA'!M26</f>
        <v>25.773195876288653</v>
      </c>
      <c r="Q53" t="str">
        <f>'HOUSE DATA'!N26</f>
        <v>2024 HOUSE / prior substitute</v>
      </c>
      <c r="R53" s="10">
        <f t="shared" si="6"/>
        <v>10.96</v>
      </c>
      <c r="S53" s="10">
        <f t="shared" si="7"/>
        <v>8.7716708026018253</v>
      </c>
      <c r="T53" s="10">
        <f t="shared" si="8"/>
        <v>2.1883291973981756</v>
      </c>
      <c r="U53" t="s">
        <v>73</v>
      </c>
      <c r="W53" t="s">
        <v>74</v>
      </c>
      <c r="X53" t="s">
        <v>75</v>
      </c>
    </row>
    <row r="54" spans="1:24" x14ac:dyDescent="0.2">
      <c r="A54" t="str">
        <f>'HOUSE DATA'!A27</f>
        <v>CA-03</v>
      </c>
      <c r="B54" s="10">
        <f>'HOUSE DATA'!B27</f>
        <v>18.966123602083233</v>
      </c>
      <c r="C54" s="10">
        <f t="shared" si="0"/>
        <v>-0.29999999999999893</v>
      </c>
      <c r="D54" s="10">
        <f>2*('HOUSE DATA'!D27*('HOUSE DASHBOARD'!$B$14-42.4)+'HOUSE DATA'!E27*('HOUSE DASHBOARD'!$B$15-54.2)+'HOUSE DATA'!F27*('HOUSE DASHBOARD'!$B$16-85.4)+'HOUSE DATA'!G27*('HOUSE DASHBOARD'!$B$17-60.7)+'HOUSE DATA'!H27*('HOUSE DASHBOARD'!$B$18-53.5))/100</f>
        <v>0</v>
      </c>
      <c r="E54" s="10">
        <f>2*('HOUSE DATA'!I27*('HOUSE DASHBOARD'!$B$21-55.6)+(100-'HOUSE DATA'!I27)*('HOUSE DASHBOARD'!$B$22-44.9))/100</f>
        <v>0</v>
      </c>
      <c r="F54" s="10">
        <f>0</f>
        <v>0</v>
      </c>
      <c r="G54" s="10">
        <f t="shared" si="1"/>
        <v>0</v>
      </c>
      <c r="H54" s="2">
        <f>'HOUSE DATA'!C27+C54+G54</f>
        <v>21.376666666666665</v>
      </c>
      <c r="I54" s="3" t="str">
        <f t="shared" si="2"/>
        <v>D</v>
      </c>
      <c r="J54" s="1" t="str">
        <f>'HOUSE DATA'!K27</f>
        <v>R</v>
      </c>
      <c r="K54" s="1" t="str">
        <f t="shared" si="3"/>
        <v>R → D</v>
      </c>
      <c r="L54" t="str">
        <f t="shared" si="4"/>
        <v>D+21.38</v>
      </c>
      <c r="M54">
        <f>COUNTIF($H$31:$H$465,"&gt;"&amp;H54)+COUNTIF($H$31:H54,H54)</f>
        <v>162</v>
      </c>
      <c r="N54" s="7">
        <f t="shared" si="5"/>
        <v>21.376666666666665</v>
      </c>
      <c r="O54">
        <f>COUNTIF($N$31:$N$465,"&lt;"&amp;N54)+COUNTIF($N$31:N54,N54)</f>
        <v>202</v>
      </c>
      <c r="P54" s="10">
        <f>'HOUSE DATA'!M27</f>
        <v>10.416666666666664</v>
      </c>
      <c r="Q54" t="str">
        <f>'HOUSE DATA'!N27</f>
        <v>2024 HOUSE / prior substitute</v>
      </c>
      <c r="R54" s="10">
        <f t="shared" si="6"/>
        <v>10.96</v>
      </c>
      <c r="S54" s="10">
        <f t="shared" si="7"/>
        <v>8.5494569354165684</v>
      </c>
      <c r="T54" s="10">
        <f t="shared" si="8"/>
        <v>2.4105430645834325</v>
      </c>
      <c r="U54" t="s">
        <v>73</v>
      </c>
      <c r="W54" t="s">
        <v>74</v>
      </c>
      <c r="X54" t="s">
        <v>75</v>
      </c>
    </row>
    <row r="55" spans="1:24" x14ac:dyDescent="0.2">
      <c r="A55" t="str">
        <f>'HOUSE DATA'!A28</f>
        <v>CA-04</v>
      </c>
      <c r="B55" s="10">
        <f>'HOUSE DATA'!B28</f>
        <v>26.064554849794852</v>
      </c>
      <c r="C55" s="10">
        <f t="shared" si="0"/>
        <v>-0.29999999999999893</v>
      </c>
      <c r="D55" s="10">
        <f>2*('HOUSE DATA'!D28*('HOUSE DASHBOARD'!$B$14-42.4)+'HOUSE DATA'!E28*('HOUSE DASHBOARD'!$B$15-54.2)+'HOUSE DATA'!F28*('HOUSE DASHBOARD'!$B$16-85.4)+'HOUSE DATA'!G28*('HOUSE DASHBOARD'!$B$17-60.7)+'HOUSE DATA'!H28*('HOUSE DASHBOARD'!$B$18-53.5))/100</f>
        <v>0</v>
      </c>
      <c r="E55" s="10">
        <f>2*('HOUSE DATA'!I28*('HOUSE DASHBOARD'!$B$21-55.6)+(100-'HOUSE DATA'!I28)*('HOUSE DASHBOARD'!$B$22-44.9))/100</f>
        <v>0</v>
      </c>
      <c r="F55" s="10">
        <f>0</f>
        <v>0</v>
      </c>
      <c r="G55" s="10">
        <f t="shared" si="1"/>
        <v>0</v>
      </c>
      <c r="H55" s="2">
        <f>'HOUSE DATA'!C28+C55+G55</f>
        <v>26.423917525773206</v>
      </c>
      <c r="I55" s="3" t="str">
        <f t="shared" si="2"/>
        <v>D</v>
      </c>
      <c r="J55" s="1" t="str">
        <f>'HOUSE DATA'!K28</f>
        <v>D</v>
      </c>
      <c r="K55" s="1" t="str">
        <f t="shared" si="3"/>
        <v>—</v>
      </c>
      <c r="L55" t="str">
        <f t="shared" si="4"/>
        <v>D — BALLOT LOCK</v>
      </c>
      <c r="M55">
        <f>COUNTIF($H$31:$H$465,"&gt;"&amp;H55)+COUNTIF($H$31:H55,H55)</f>
        <v>137</v>
      </c>
      <c r="N55" s="7">
        <f t="shared" si="5"/>
        <v>100</v>
      </c>
      <c r="O55">
        <f>COUNTIF($N$31:$N$465,"&lt;"&amp;N55)+COUNTIF($N$31:N55,N55)</f>
        <v>422</v>
      </c>
      <c r="P55" s="10">
        <f>'HOUSE DATA'!M28</f>
        <v>15.463917525773205</v>
      </c>
      <c r="Q55" t="str">
        <f>'HOUSE DATA'!N28</f>
        <v>2024 HOUSE / prior substitute</v>
      </c>
      <c r="R55" s="10">
        <f t="shared" si="6"/>
        <v>10.96</v>
      </c>
      <c r="S55" s="10">
        <f t="shared" si="7"/>
        <v>10.600637324021648</v>
      </c>
      <c r="T55" s="10">
        <f t="shared" si="8"/>
        <v>0.35936267597835325</v>
      </c>
      <c r="U55" t="s">
        <v>76</v>
      </c>
      <c r="V55" t="s">
        <v>77</v>
      </c>
      <c r="W55" t="s">
        <v>78</v>
      </c>
      <c r="X55" t="s">
        <v>79</v>
      </c>
    </row>
    <row r="56" spans="1:24" x14ac:dyDescent="0.2">
      <c r="A56" t="str">
        <f>'HOUSE DATA'!A29</f>
        <v>CA-05</v>
      </c>
      <c r="B56" s="10">
        <f>'HOUSE DATA'!B29</f>
        <v>-11.340869969584698</v>
      </c>
      <c r="C56" s="10">
        <f t="shared" si="0"/>
        <v>-0.29999999999999893</v>
      </c>
      <c r="D56" s="10">
        <f>2*('HOUSE DATA'!D29*('HOUSE DASHBOARD'!$B$14-42.4)+'HOUSE DATA'!E29*('HOUSE DASHBOARD'!$B$15-54.2)+'HOUSE DATA'!F29*('HOUSE DASHBOARD'!$B$16-85.4)+'HOUSE DATA'!G29*('HOUSE DASHBOARD'!$B$17-60.7)+'HOUSE DATA'!H29*('HOUSE DASHBOARD'!$B$18-53.5))/100</f>
        <v>0</v>
      </c>
      <c r="E56" s="10">
        <f>2*('HOUSE DATA'!I29*('HOUSE DASHBOARD'!$B$21-55.6)+(100-'HOUSE DATA'!I29)*('HOUSE DASHBOARD'!$B$22-44.9))/100</f>
        <v>0</v>
      </c>
      <c r="F56" s="10">
        <f>0</f>
        <v>0</v>
      </c>
      <c r="G56" s="10">
        <f t="shared" si="1"/>
        <v>0</v>
      </c>
      <c r="H56" s="2">
        <f>'HOUSE DATA'!C29+C56+G56</f>
        <v>-10.689484536082468</v>
      </c>
      <c r="I56" s="3" t="str">
        <f t="shared" si="2"/>
        <v>R</v>
      </c>
      <c r="J56" s="1" t="str">
        <f>'HOUSE DATA'!K29</f>
        <v>R</v>
      </c>
      <c r="K56" s="1" t="str">
        <f t="shared" si="3"/>
        <v>—</v>
      </c>
      <c r="L56" t="str">
        <f t="shared" si="4"/>
        <v>R+10.69</v>
      </c>
      <c r="M56">
        <f>COUNTIF($H$31:$H$465,"&gt;"&amp;H56)+COUNTIF($H$31:H56,H56)</f>
        <v>308</v>
      </c>
      <c r="N56" s="7">
        <f t="shared" si="5"/>
        <v>10.689484536082468</v>
      </c>
      <c r="O56">
        <f>COUNTIF($N$31:$N$465,"&lt;"&amp;N56)+COUNTIF($N$31:N56,N56)</f>
        <v>98</v>
      </c>
      <c r="P56" s="10">
        <f>'HOUSE DATA'!M29</f>
        <v>-21.649484536082468</v>
      </c>
      <c r="Q56" t="str">
        <f>'HOUSE DATA'!N29</f>
        <v>2024 HOUSE / prior substitute</v>
      </c>
      <c r="R56" s="10">
        <f t="shared" si="6"/>
        <v>10.96</v>
      </c>
      <c r="S56" s="10">
        <f t="shared" si="7"/>
        <v>10.30861456649777</v>
      </c>
      <c r="T56" s="10">
        <f t="shared" si="8"/>
        <v>0.65138543350223088</v>
      </c>
      <c r="U56" t="s">
        <v>73</v>
      </c>
      <c r="W56" t="s">
        <v>74</v>
      </c>
      <c r="X56" t="s">
        <v>75</v>
      </c>
    </row>
    <row r="57" spans="1:24" x14ac:dyDescent="0.2">
      <c r="A57" t="str">
        <f>'HOUSE DATA'!A30</f>
        <v>CA-06</v>
      </c>
      <c r="B57" s="10">
        <f>'HOUSE DATA'!B30</f>
        <v>20.85462726509002</v>
      </c>
      <c r="C57" s="10">
        <f t="shared" si="0"/>
        <v>-0.29999999999999893</v>
      </c>
      <c r="D57" s="10">
        <f>2*('HOUSE DATA'!D30*('HOUSE DASHBOARD'!$B$14-42.4)+'HOUSE DATA'!E30*('HOUSE DASHBOARD'!$B$15-54.2)+'HOUSE DATA'!F30*('HOUSE DASHBOARD'!$B$16-85.4)+'HOUSE DATA'!G30*('HOUSE DASHBOARD'!$B$17-60.7)+'HOUSE DATA'!H30*('HOUSE DASHBOARD'!$B$18-53.5))/100</f>
        <v>0</v>
      </c>
      <c r="E57" s="10">
        <f>2*('HOUSE DATA'!I30*('HOUSE DASHBOARD'!$B$21-55.6)+(100-'HOUSE DATA'!I30)*('HOUSE DASHBOARD'!$B$22-44.9))/100</f>
        <v>0</v>
      </c>
      <c r="F57" s="10">
        <f>0</f>
        <v>0</v>
      </c>
      <c r="G57" s="10">
        <f t="shared" si="1"/>
        <v>0</v>
      </c>
      <c r="H57" s="2">
        <f>'HOUSE DATA'!C30+C57+G57</f>
        <v>20.238350515463921</v>
      </c>
      <c r="I57" s="3" t="str">
        <f t="shared" si="2"/>
        <v>D</v>
      </c>
      <c r="J57" s="1" t="str">
        <f>'HOUSE DATA'!K30</f>
        <v>D</v>
      </c>
      <c r="K57" s="1" t="str">
        <f t="shared" si="3"/>
        <v>—</v>
      </c>
      <c r="L57" t="str">
        <f t="shared" si="4"/>
        <v>D+20.24</v>
      </c>
      <c r="M57">
        <f>COUNTIF($H$31:$H$465,"&gt;"&amp;H57)+COUNTIF($H$31:H57,H57)</f>
        <v>166</v>
      </c>
      <c r="N57" s="7">
        <f t="shared" si="5"/>
        <v>20.238350515463921</v>
      </c>
      <c r="O57">
        <f>COUNTIF($N$31:$N$465,"&lt;"&amp;N57)+COUNTIF($N$31:N57,N57)</f>
        <v>188</v>
      </c>
      <c r="P57" s="10">
        <f>'HOUSE DATA'!M30</f>
        <v>9.2783505154639201</v>
      </c>
      <c r="Q57" t="str">
        <f>'HOUSE DATA'!N30</f>
        <v>2024 HOUSE / prior substitute</v>
      </c>
      <c r="R57" s="10">
        <f t="shared" si="6"/>
        <v>10.96</v>
      </c>
      <c r="S57" s="10">
        <f t="shared" si="7"/>
        <v>11.5762767496261</v>
      </c>
      <c r="T57" s="10">
        <f t="shared" si="8"/>
        <v>-0.61627674962609902</v>
      </c>
      <c r="U57" t="s">
        <v>73</v>
      </c>
      <c r="W57" t="s">
        <v>74</v>
      </c>
      <c r="X57" t="s">
        <v>75</v>
      </c>
    </row>
    <row r="58" spans="1:24" x14ac:dyDescent="0.2">
      <c r="A58" t="str">
        <f>'HOUSE DATA'!A31</f>
        <v>CA-07</v>
      </c>
      <c r="B58" s="10">
        <f>'HOUSE DATA'!B31</f>
        <v>26.154094896729877</v>
      </c>
      <c r="C58" s="10">
        <f t="shared" si="0"/>
        <v>-0.29999999999999893</v>
      </c>
      <c r="D58" s="10">
        <f>2*('HOUSE DATA'!D31*('HOUSE DASHBOARD'!$B$14-42.4)+'HOUSE DATA'!E31*('HOUSE DASHBOARD'!$B$15-54.2)+'HOUSE DATA'!F31*('HOUSE DASHBOARD'!$B$16-85.4)+'HOUSE DATA'!G31*('HOUSE DASHBOARD'!$B$17-60.7)+'HOUSE DATA'!H31*('HOUSE DASHBOARD'!$B$18-53.5))/100</f>
        <v>0</v>
      </c>
      <c r="E58" s="10">
        <f>2*('HOUSE DATA'!I31*('HOUSE DASHBOARD'!$B$21-55.6)+(100-'HOUSE DATA'!I31)*('HOUSE DASHBOARD'!$B$22-44.9))/100</f>
        <v>0</v>
      </c>
      <c r="F58" s="10">
        <f>0</f>
        <v>0</v>
      </c>
      <c r="G58" s="10">
        <f t="shared" si="1"/>
        <v>0</v>
      </c>
      <c r="H58" s="2">
        <f>'HOUSE DATA'!C31+C58+G58</f>
        <v>24.362061855670113</v>
      </c>
      <c r="I58" s="3" t="str">
        <f t="shared" si="2"/>
        <v>D</v>
      </c>
      <c r="J58" s="1" t="str">
        <f>'HOUSE DATA'!K31</f>
        <v>D</v>
      </c>
      <c r="K58" s="1" t="str">
        <f t="shared" si="3"/>
        <v>—</v>
      </c>
      <c r="L58" t="str">
        <f t="shared" si="4"/>
        <v>D — BALLOT LOCK</v>
      </c>
      <c r="M58">
        <f>COUNTIF($H$31:$H$465,"&gt;"&amp;H58)+COUNTIF($H$31:H58,H58)</f>
        <v>145</v>
      </c>
      <c r="N58" s="7">
        <f t="shared" si="5"/>
        <v>100</v>
      </c>
      <c r="O58">
        <f>COUNTIF($N$31:$N$465,"&lt;"&amp;N58)+COUNTIF($N$31:N58,N58)</f>
        <v>423</v>
      </c>
      <c r="P58" s="10">
        <f>'HOUSE DATA'!M31</f>
        <v>13.402061855670112</v>
      </c>
      <c r="Q58" t="str">
        <f>'HOUSE DATA'!N31</f>
        <v>2024 HOUSE / prior substitute</v>
      </c>
      <c r="R58" s="10">
        <f t="shared" si="6"/>
        <v>10.96</v>
      </c>
      <c r="S58" s="10">
        <f t="shared" si="7"/>
        <v>12.752033041059764</v>
      </c>
      <c r="T58" s="10">
        <f t="shared" si="8"/>
        <v>-1.7920330410597636</v>
      </c>
      <c r="U58" t="s">
        <v>76</v>
      </c>
      <c r="V58" t="s">
        <v>77</v>
      </c>
      <c r="W58" t="s">
        <v>78</v>
      </c>
      <c r="X58" t="s">
        <v>79</v>
      </c>
    </row>
    <row r="59" spans="1:24" x14ac:dyDescent="0.2">
      <c r="A59" t="str">
        <f>'HOUSE DATA'!A32</f>
        <v>CA-08</v>
      </c>
      <c r="B59" s="10">
        <f>'HOUSE DATA'!B32</f>
        <v>48.100680077531095</v>
      </c>
      <c r="C59" s="10">
        <f t="shared" si="0"/>
        <v>-0.29999999999999893</v>
      </c>
      <c r="D59" s="10">
        <f>2*('HOUSE DATA'!D32*('HOUSE DASHBOARD'!$B$14-42.4)+'HOUSE DATA'!E32*('HOUSE DASHBOARD'!$B$15-54.2)+'HOUSE DATA'!F32*('HOUSE DASHBOARD'!$B$16-85.4)+'HOUSE DATA'!G32*('HOUSE DASHBOARD'!$B$17-60.7)+'HOUSE DATA'!H32*('HOUSE DASHBOARD'!$B$18-53.5))/100</f>
        <v>0</v>
      </c>
      <c r="E59" s="10">
        <f>2*('HOUSE DATA'!I32*('HOUSE DASHBOARD'!$B$21-55.6)+(100-'HOUSE DATA'!I32)*('HOUSE DASHBOARD'!$B$22-44.9))/100</f>
        <v>0</v>
      </c>
      <c r="F59" s="10">
        <f>0</f>
        <v>0</v>
      </c>
      <c r="G59" s="10">
        <f t="shared" si="1"/>
        <v>0</v>
      </c>
      <c r="H59" s="2">
        <f>'HOUSE DATA'!C32+C59+G59</f>
        <v>46.376666666666672</v>
      </c>
      <c r="I59" s="3" t="str">
        <f t="shared" si="2"/>
        <v>D</v>
      </c>
      <c r="J59" s="1" t="str">
        <f>'HOUSE DATA'!K32</f>
        <v>D</v>
      </c>
      <c r="K59" s="1" t="str">
        <f t="shared" si="3"/>
        <v>—</v>
      </c>
      <c r="L59" t="str">
        <f t="shared" si="4"/>
        <v>D+46.38</v>
      </c>
      <c r="M59">
        <f>COUNTIF($H$31:$H$465,"&gt;"&amp;H59)+COUNTIF($H$31:H59,H59)</f>
        <v>68</v>
      </c>
      <c r="N59" s="7">
        <f t="shared" si="5"/>
        <v>46.376666666666672</v>
      </c>
      <c r="O59">
        <f>COUNTIF($N$31:$N$465,"&lt;"&amp;N59)+COUNTIF($N$31:N59,N59)</f>
        <v>356</v>
      </c>
      <c r="P59" s="10">
        <f>'HOUSE DATA'!M32</f>
        <v>35.416666666666671</v>
      </c>
      <c r="Q59" t="str">
        <f>'HOUSE DATA'!N32</f>
        <v>2024 HOUSE / prior substitute</v>
      </c>
      <c r="R59" s="10">
        <f t="shared" si="6"/>
        <v>10.96</v>
      </c>
      <c r="S59" s="10">
        <f t="shared" si="7"/>
        <v>12.684013410864424</v>
      </c>
      <c r="T59" s="10">
        <f t="shared" si="8"/>
        <v>-1.7240134108644227</v>
      </c>
      <c r="U59" t="s">
        <v>73</v>
      </c>
      <c r="W59" t="s">
        <v>74</v>
      </c>
      <c r="X59" t="s">
        <v>75</v>
      </c>
    </row>
    <row r="60" spans="1:24" x14ac:dyDescent="0.2">
      <c r="A60" t="str">
        <f>'HOUSE DATA'!A33</f>
        <v>CA-09</v>
      </c>
      <c r="B60" s="10">
        <f>'HOUSE DATA'!B33</f>
        <v>24.367449482832601</v>
      </c>
      <c r="C60" s="10">
        <f t="shared" si="0"/>
        <v>-0.29999999999999893</v>
      </c>
      <c r="D60" s="10">
        <f>2*('HOUSE DATA'!D33*('HOUSE DASHBOARD'!$B$14-42.4)+'HOUSE DATA'!E33*('HOUSE DASHBOARD'!$B$15-54.2)+'HOUSE DATA'!F33*('HOUSE DASHBOARD'!$B$16-85.4)+'HOUSE DATA'!G33*('HOUSE DASHBOARD'!$B$17-60.7)+'HOUSE DATA'!H33*('HOUSE DASHBOARD'!$B$18-53.5))/100</f>
        <v>0</v>
      </c>
      <c r="E60" s="10">
        <f>2*('HOUSE DATA'!I33*('HOUSE DASHBOARD'!$B$21-55.6)+(100-'HOUSE DATA'!I33)*('HOUSE DASHBOARD'!$B$22-44.9))/100</f>
        <v>0</v>
      </c>
      <c r="F60" s="10">
        <f>0</f>
        <v>0</v>
      </c>
      <c r="G60" s="10">
        <f t="shared" si="1"/>
        <v>0</v>
      </c>
      <c r="H60" s="2">
        <f>'HOUSE DATA'!C33+C60+G60</f>
        <v>22.300206185567014</v>
      </c>
      <c r="I60" s="3" t="str">
        <f t="shared" si="2"/>
        <v>D</v>
      </c>
      <c r="J60" s="1" t="str">
        <f>'HOUSE DATA'!K33</f>
        <v>D</v>
      </c>
      <c r="K60" s="1" t="str">
        <f t="shared" si="3"/>
        <v>—</v>
      </c>
      <c r="L60" t="str">
        <f t="shared" si="4"/>
        <v>D+22.30</v>
      </c>
      <c r="M60">
        <f>COUNTIF($H$31:$H$465,"&gt;"&amp;H60)+COUNTIF($H$31:H60,H60)</f>
        <v>159</v>
      </c>
      <c r="N60" s="7">
        <f t="shared" si="5"/>
        <v>22.300206185567014</v>
      </c>
      <c r="O60">
        <f>COUNTIF($N$31:$N$465,"&lt;"&amp;N60)+COUNTIF($N$31:N60,N60)</f>
        <v>212</v>
      </c>
      <c r="P60" s="10">
        <f>'HOUSE DATA'!M33</f>
        <v>11.340206185567013</v>
      </c>
      <c r="Q60" t="str">
        <f>'HOUSE DATA'!N33</f>
        <v>2024 HOUSE / prior substitute</v>
      </c>
      <c r="R60" s="10">
        <f t="shared" si="6"/>
        <v>10.96</v>
      </c>
      <c r="S60" s="10">
        <f t="shared" si="7"/>
        <v>13.027243297265588</v>
      </c>
      <c r="T60" s="10">
        <f t="shared" si="8"/>
        <v>-2.0672432972655876</v>
      </c>
      <c r="U60" t="s">
        <v>73</v>
      </c>
      <c r="W60" t="s">
        <v>74</v>
      </c>
      <c r="X60" t="s">
        <v>75</v>
      </c>
    </row>
    <row r="61" spans="1:24" x14ac:dyDescent="0.2">
      <c r="A61" t="str">
        <f>'HOUSE DATA'!A34</f>
        <v>CA-10</v>
      </c>
      <c r="B61" s="10">
        <f>'HOUSE DATA'!B34</f>
        <v>44.355141264964686</v>
      </c>
      <c r="C61" s="10">
        <f t="shared" si="0"/>
        <v>-0.29999999999999893</v>
      </c>
      <c r="D61" s="10">
        <f>2*('HOUSE DATA'!D34*('HOUSE DASHBOARD'!$B$14-42.4)+'HOUSE DATA'!E34*('HOUSE DASHBOARD'!$B$15-54.2)+'HOUSE DATA'!F34*('HOUSE DASHBOARD'!$B$16-85.4)+'HOUSE DATA'!G34*('HOUSE DASHBOARD'!$B$17-60.7)+'HOUSE DATA'!H34*('HOUSE DASHBOARD'!$B$18-53.5))/100</f>
        <v>0</v>
      </c>
      <c r="E61" s="10">
        <f>2*('HOUSE DATA'!I34*('HOUSE DASHBOARD'!$B$21-55.6)+(100-'HOUSE DATA'!I34)*('HOUSE DASHBOARD'!$B$22-44.9))/100</f>
        <v>0</v>
      </c>
      <c r="F61" s="10">
        <f>0</f>
        <v>0</v>
      </c>
      <c r="G61" s="10">
        <f t="shared" si="1"/>
        <v>0</v>
      </c>
      <c r="H61" s="2">
        <f>'HOUSE DATA'!C34+C61+G61</f>
        <v>44.980618556701039</v>
      </c>
      <c r="I61" s="3" t="str">
        <f t="shared" si="2"/>
        <v>D</v>
      </c>
      <c r="J61" s="1" t="str">
        <f>'HOUSE DATA'!K34</f>
        <v>D</v>
      </c>
      <c r="K61" s="1" t="str">
        <f t="shared" si="3"/>
        <v>—</v>
      </c>
      <c r="L61" t="str">
        <f t="shared" si="4"/>
        <v>D+44.98</v>
      </c>
      <c r="M61">
        <f>COUNTIF($H$31:$H$465,"&gt;"&amp;H61)+COUNTIF($H$31:H61,H61)</f>
        <v>76</v>
      </c>
      <c r="N61" s="7">
        <f t="shared" si="5"/>
        <v>44.980618556701039</v>
      </c>
      <c r="O61">
        <f>COUNTIF($N$31:$N$465,"&lt;"&amp;N61)+COUNTIF($N$31:N61,N61)</f>
        <v>350</v>
      </c>
      <c r="P61" s="10">
        <f>'HOUSE DATA'!M34</f>
        <v>34.020618556701038</v>
      </c>
      <c r="Q61" t="str">
        <f>'HOUSE DATA'!N34</f>
        <v>2024 HOUSE / prior substitute</v>
      </c>
      <c r="R61" s="10">
        <f t="shared" si="6"/>
        <v>10.96</v>
      </c>
      <c r="S61" s="10">
        <f t="shared" si="7"/>
        <v>10.334522708263648</v>
      </c>
      <c r="T61" s="10">
        <f t="shared" si="8"/>
        <v>0.62547729173635247</v>
      </c>
      <c r="U61" t="s">
        <v>73</v>
      </c>
      <c r="W61" t="s">
        <v>74</v>
      </c>
      <c r="X61" t="s">
        <v>75</v>
      </c>
    </row>
    <row r="62" spans="1:24" x14ac:dyDescent="0.2">
      <c r="A62" t="str">
        <f>'HOUSE DATA'!A35</f>
        <v>CA-11</v>
      </c>
      <c r="B62" s="10">
        <f>'HOUSE DATA'!B35</f>
        <v>79.021188023223615</v>
      </c>
      <c r="C62" s="10">
        <f t="shared" si="0"/>
        <v>-0.29999999999999893</v>
      </c>
      <c r="D62" s="10">
        <f>2*('HOUSE DATA'!D35*('HOUSE DASHBOARD'!$B$14-42.4)+'HOUSE DATA'!E35*('HOUSE DASHBOARD'!$B$15-54.2)+'HOUSE DATA'!F35*('HOUSE DASHBOARD'!$B$16-85.4)+'HOUSE DATA'!G35*('HOUSE DASHBOARD'!$B$17-60.7)+'HOUSE DATA'!H35*('HOUSE DASHBOARD'!$B$18-53.5))/100</f>
        <v>0</v>
      </c>
      <c r="E62" s="10">
        <f>2*('HOUSE DATA'!I35*('HOUSE DASHBOARD'!$B$21-55.6)+(100-'HOUSE DATA'!I35)*('HOUSE DASHBOARD'!$B$22-44.9))/100</f>
        <v>0</v>
      </c>
      <c r="F62" s="10">
        <f>0</f>
        <v>0</v>
      </c>
      <c r="G62" s="10">
        <f t="shared" si="1"/>
        <v>0</v>
      </c>
      <c r="H62" s="2">
        <f>'HOUSE DATA'!C35+C62+G62</f>
        <v>78.27</v>
      </c>
      <c r="I62" s="3" t="str">
        <f t="shared" si="2"/>
        <v>D</v>
      </c>
      <c r="J62" s="1" t="str">
        <f>'HOUSE DATA'!K35</f>
        <v>D</v>
      </c>
      <c r="K62" s="1" t="str">
        <f t="shared" si="3"/>
        <v>—</v>
      </c>
      <c r="L62" t="str">
        <f t="shared" si="4"/>
        <v>D — BALLOT LOCK</v>
      </c>
      <c r="M62">
        <f>COUNTIF($H$31:$H$465,"&gt;"&amp;H62)+COUNTIF($H$31:H62,H62)</f>
        <v>6</v>
      </c>
      <c r="N62" s="7">
        <f t="shared" si="5"/>
        <v>100</v>
      </c>
      <c r="O62">
        <f>COUNTIF($N$31:$N$465,"&lt;"&amp;N62)+COUNTIF($N$31:N62,N62)</f>
        <v>424</v>
      </c>
      <c r="P62" s="10">
        <f>'HOUSE DATA'!M35</f>
        <v>67.72</v>
      </c>
      <c r="Q62" t="str">
        <f>'HOUSE DATA'!N35</f>
        <v>2024 PRESIDENT (open seat)</v>
      </c>
      <c r="R62" s="10">
        <f t="shared" si="6"/>
        <v>10.549999999999997</v>
      </c>
      <c r="S62" s="10">
        <f t="shared" si="7"/>
        <v>11.301188023223617</v>
      </c>
      <c r="T62" s="10">
        <f t="shared" si="8"/>
        <v>-0.75118802322361944</v>
      </c>
      <c r="U62" t="s">
        <v>76</v>
      </c>
      <c r="V62" t="s">
        <v>77</v>
      </c>
      <c r="W62" t="s">
        <v>78</v>
      </c>
      <c r="X62" t="s">
        <v>79</v>
      </c>
    </row>
    <row r="63" spans="1:24" x14ac:dyDescent="0.2">
      <c r="A63" t="str">
        <f>'HOUSE DATA'!A36</f>
        <v>CA-12</v>
      </c>
      <c r="B63" s="10">
        <f>'HOUSE DATA'!B36</f>
        <v>88.379086817062898</v>
      </c>
      <c r="C63" s="10">
        <f t="shared" si="0"/>
        <v>-0.29999999999999893</v>
      </c>
      <c r="D63" s="10">
        <f>2*('HOUSE DATA'!D36*('HOUSE DASHBOARD'!$B$14-42.4)+'HOUSE DATA'!E36*('HOUSE DASHBOARD'!$B$15-54.2)+'HOUSE DATA'!F36*('HOUSE DASHBOARD'!$B$16-85.4)+'HOUSE DATA'!G36*('HOUSE DASHBOARD'!$B$17-60.7)+'HOUSE DATA'!H36*('HOUSE DASHBOARD'!$B$18-53.5))/100</f>
        <v>0</v>
      </c>
      <c r="E63" s="10">
        <f>2*('HOUSE DATA'!I36*('HOUSE DASHBOARD'!$B$21-55.6)+(100-'HOUSE DATA'!I36)*('HOUSE DASHBOARD'!$B$22-44.9))/100</f>
        <v>0</v>
      </c>
      <c r="F63" s="10">
        <f>0</f>
        <v>0</v>
      </c>
      <c r="G63" s="10">
        <f t="shared" si="1"/>
        <v>0</v>
      </c>
      <c r="H63" s="2">
        <f>'HOUSE DATA'!C36+C63+G63</f>
        <v>88.043333333333322</v>
      </c>
      <c r="I63" s="3" t="str">
        <f t="shared" si="2"/>
        <v>D</v>
      </c>
      <c r="J63" s="1" t="str">
        <f>'HOUSE DATA'!K36</f>
        <v>D</v>
      </c>
      <c r="K63" s="1" t="str">
        <f t="shared" si="3"/>
        <v>—</v>
      </c>
      <c r="L63" t="str">
        <f t="shared" si="4"/>
        <v>D — BALLOT LOCK</v>
      </c>
      <c r="M63">
        <f>COUNTIF($H$31:$H$465,"&gt;"&amp;H63)+COUNTIF($H$31:H63,H63)</f>
        <v>2</v>
      </c>
      <c r="N63" s="7">
        <f t="shared" si="5"/>
        <v>100</v>
      </c>
      <c r="O63">
        <f>COUNTIF($N$31:$N$465,"&lt;"&amp;N63)+COUNTIF($N$31:N63,N63)</f>
        <v>425</v>
      </c>
      <c r="P63" s="10">
        <f>'HOUSE DATA'!M36</f>
        <v>77.083333333333329</v>
      </c>
      <c r="Q63" t="str">
        <f>'HOUSE DATA'!N36</f>
        <v>2024 HOUSE / prior substitute</v>
      </c>
      <c r="R63" s="10">
        <f t="shared" si="6"/>
        <v>10.959999999999994</v>
      </c>
      <c r="S63" s="10">
        <f t="shared" si="7"/>
        <v>11.29575348372957</v>
      </c>
      <c r="T63" s="10">
        <f t="shared" si="8"/>
        <v>-0.33575348372957592</v>
      </c>
      <c r="U63" t="s">
        <v>76</v>
      </c>
      <c r="V63" t="s">
        <v>77</v>
      </c>
      <c r="W63" t="s">
        <v>78</v>
      </c>
      <c r="X63" t="s">
        <v>79</v>
      </c>
    </row>
    <row r="64" spans="1:24" x14ac:dyDescent="0.2">
      <c r="A64" t="str">
        <f>'HOUSE DATA'!A37</f>
        <v>CA-13</v>
      </c>
      <c r="B64" s="10">
        <f>'HOUSE DATA'!B37</f>
        <v>16.00698000037444</v>
      </c>
      <c r="C64" s="10">
        <f t="shared" si="0"/>
        <v>-0.29999999999999893</v>
      </c>
      <c r="D64" s="10">
        <f>2*('HOUSE DATA'!D37*('HOUSE DASHBOARD'!$B$14-42.4)+'HOUSE DATA'!E37*('HOUSE DASHBOARD'!$B$15-54.2)+'HOUSE DATA'!F37*('HOUSE DASHBOARD'!$B$16-85.4)+'HOUSE DATA'!G37*('HOUSE DASHBOARD'!$B$17-60.7)+'HOUSE DATA'!H37*('HOUSE DASHBOARD'!$B$18-53.5))/100</f>
        <v>0</v>
      </c>
      <c r="E64" s="10">
        <f>2*('HOUSE DATA'!I37*('HOUSE DASHBOARD'!$B$21-55.6)+(100-'HOUSE DATA'!I37)*('HOUSE DASHBOARD'!$B$22-44.9))/100</f>
        <v>0</v>
      </c>
      <c r="F64" s="10">
        <f>0</f>
        <v>0</v>
      </c>
      <c r="G64" s="10">
        <f t="shared" si="1"/>
        <v>0</v>
      </c>
      <c r="H64" s="2">
        <f>'HOUSE DATA'!C37+C64+G64</f>
        <v>11.990927835051544</v>
      </c>
      <c r="I64" s="3" t="str">
        <f t="shared" si="2"/>
        <v>D</v>
      </c>
      <c r="J64" s="1" t="str">
        <f>'HOUSE DATA'!K37</f>
        <v>D</v>
      </c>
      <c r="K64" s="1" t="str">
        <f t="shared" si="3"/>
        <v>—</v>
      </c>
      <c r="L64" t="str">
        <f t="shared" si="4"/>
        <v>D+11.99</v>
      </c>
      <c r="M64">
        <f>COUNTIF($H$31:$H$465,"&gt;"&amp;H64)+COUNTIF($H$31:H64,H64)</f>
        <v>208</v>
      </c>
      <c r="N64" s="7">
        <f t="shared" si="5"/>
        <v>11.990927835051544</v>
      </c>
      <c r="O64">
        <f>COUNTIF($N$31:$N$465,"&lt;"&amp;N64)+COUNTIF($N$31:N64,N64)</f>
        <v>109</v>
      </c>
      <c r="P64" s="10">
        <f>'HOUSE DATA'!M37</f>
        <v>1.0309278350515427</v>
      </c>
      <c r="Q64" t="str">
        <f>'HOUSE DATA'!N37</f>
        <v>2024 HOUSE / prior substitute</v>
      </c>
      <c r="R64" s="10">
        <f t="shared" si="6"/>
        <v>10.96</v>
      </c>
      <c r="S64" s="10">
        <f t="shared" si="7"/>
        <v>14.976052165322898</v>
      </c>
      <c r="T64" s="10">
        <f t="shared" si="8"/>
        <v>-4.0160521653228969</v>
      </c>
      <c r="U64" t="s">
        <v>73</v>
      </c>
      <c r="W64" t="s">
        <v>74</v>
      </c>
      <c r="X64" t="s">
        <v>75</v>
      </c>
    </row>
    <row r="65" spans="1:24" x14ac:dyDescent="0.2">
      <c r="A65" t="str">
        <f>'HOUSE DATA'!A38</f>
        <v>CA-14</v>
      </c>
      <c r="B65" s="10">
        <f>'HOUSE DATA'!B38</f>
        <v>48.292747375536955</v>
      </c>
      <c r="C65" s="10">
        <f t="shared" si="0"/>
        <v>-0.29999999999999893</v>
      </c>
      <c r="D65" s="10">
        <f>2*('HOUSE DATA'!D38*('HOUSE DASHBOARD'!$B$14-42.4)+'HOUSE DATA'!E38*('HOUSE DASHBOARD'!$B$15-54.2)+'HOUSE DATA'!F38*('HOUSE DASHBOARD'!$B$16-85.4)+'HOUSE DATA'!G38*('HOUSE DASHBOARD'!$B$17-60.7)+'HOUSE DATA'!H38*('HOUSE DASHBOARD'!$B$18-53.5))/100</f>
        <v>0</v>
      </c>
      <c r="E65" s="10">
        <f>2*('HOUSE DATA'!I38*('HOUSE DASHBOARD'!$B$21-55.6)+(100-'HOUSE DATA'!I38)*('HOUSE DASHBOARD'!$B$22-44.9))/100</f>
        <v>0</v>
      </c>
      <c r="F65" s="10">
        <f>0</f>
        <v>0</v>
      </c>
      <c r="G65" s="10">
        <f t="shared" si="1"/>
        <v>0</v>
      </c>
      <c r="H65" s="2">
        <f>'HOUSE DATA'!C38+C65+G65</f>
        <v>46.376666666666672</v>
      </c>
      <c r="I65" s="3" t="str">
        <f t="shared" si="2"/>
        <v>D</v>
      </c>
      <c r="J65" s="1" t="str">
        <f>'HOUSE DATA'!K38</f>
        <v>D</v>
      </c>
      <c r="K65" s="1" t="str">
        <f t="shared" si="3"/>
        <v>—</v>
      </c>
      <c r="L65" t="str">
        <f t="shared" si="4"/>
        <v>D — BALLOT LOCK</v>
      </c>
      <c r="M65">
        <f>COUNTIF($H$31:$H$465,"&gt;"&amp;H65)+COUNTIF($H$31:H65,H65)</f>
        <v>69</v>
      </c>
      <c r="N65" s="7">
        <f t="shared" si="5"/>
        <v>100</v>
      </c>
      <c r="O65">
        <f>COUNTIF($N$31:$N$465,"&lt;"&amp;N65)+COUNTIF($N$31:N65,N65)</f>
        <v>426</v>
      </c>
      <c r="P65" s="10">
        <f>'HOUSE DATA'!M38</f>
        <v>35.416666666666671</v>
      </c>
      <c r="Q65" t="str">
        <f>'HOUSE DATA'!N38</f>
        <v>2024 HOUSE / prior substitute</v>
      </c>
      <c r="R65" s="10">
        <f t="shared" si="6"/>
        <v>10.96</v>
      </c>
      <c r="S65" s="10">
        <f t="shared" si="7"/>
        <v>12.876080708870283</v>
      </c>
      <c r="T65" s="10">
        <f t="shared" si="8"/>
        <v>-1.9160807088702825</v>
      </c>
      <c r="U65" t="s">
        <v>76</v>
      </c>
      <c r="V65" t="s">
        <v>77</v>
      </c>
      <c r="W65" t="s">
        <v>78</v>
      </c>
      <c r="X65" t="s">
        <v>79</v>
      </c>
    </row>
    <row r="66" spans="1:24" x14ac:dyDescent="0.2">
      <c r="A66" t="str">
        <f>'HOUSE DATA'!A39</f>
        <v>CA-15</v>
      </c>
      <c r="B66" s="10">
        <f>'HOUSE DATA'!B39</f>
        <v>62.987465035112351</v>
      </c>
      <c r="C66" s="10">
        <f t="shared" si="0"/>
        <v>-0.29999999999999893</v>
      </c>
      <c r="D66" s="10">
        <f>2*('HOUSE DATA'!D39*('HOUSE DASHBOARD'!$B$14-42.4)+'HOUSE DATA'!E39*('HOUSE DASHBOARD'!$B$15-54.2)+'HOUSE DATA'!F39*('HOUSE DASHBOARD'!$B$16-85.4)+'HOUSE DATA'!G39*('HOUSE DASHBOARD'!$B$17-60.7)+'HOUSE DATA'!H39*('HOUSE DASHBOARD'!$B$18-53.5))/100</f>
        <v>0</v>
      </c>
      <c r="E66" s="10">
        <f>2*('HOUSE DATA'!I39*('HOUSE DASHBOARD'!$B$21-55.6)+(100-'HOUSE DATA'!I39)*('HOUSE DASHBOARD'!$B$22-44.9))/100</f>
        <v>0</v>
      </c>
      <c r="F66" s="10">
        <f>0</f>
        <v>0</v>
      </c>
      <c r="G66" s="10">
        <f t="shared" si="1"/>
        <v>0</v>
      </c>
      <c r="H66" s="2">
        <f>'HOUSE DATA'!C39+C66+G66</f>
        <v>60.96</v>
      </c>
      <c r="I66" s="3" t="str">
        <f t="shared" si="2"/>
        <v>D</v>
      </c>
      <c r="J66" s="1" t="str">
        <f>'HOUSE DATA'!K39</f>
        <v>D</v>
      </c>
      <c r="K66" s="1" t="str">
        <f t="shared" si="3"/>
        <v>—</v>
      </c>
      <c r="L66" t="str">
        <f t="shared" si="4"/>
        <v>D+60.96</v>
      </c>
      <c r="M66">
        <f>COUNTIF($H$31:$H$465,"&gt;"&amp;H66)+COUNTIF($H$31:H66,H66)</f>
        <v>30</v>
      </c>
      <c r="N66" s="7">
        <f t="shared" si="5"/>
        <v>60.96</v>
      </c>
      <c r="O66">
        <f>COUNTIF($N$31:$N$465,"&lt;"&amp;N66)+COUNTIF($N$31:N66,N66)</f>
        <v>396</v>
      </c>
      <c r="P66" s="10">
        <f>'HOUSE DATA'!M39</f>
        <v>50</v>
      </c>
      <c r="Q66" t="str">
        <f>'HOUSE DATA'!N39</f>
        <v>2024 HOUSE / prior substitute</v>
      </c>
      <c r="R66" s="10">
        <f t="shared" si="6"/>
        <v>10.96</v>
      </c>
      <c r="S66" s="10">
        <f t="shared" si="7"/>
        <v>12.987465035112351</v>
      </c>
      <c r="T66" s="10">
        <f t="shared" si="8"/>
        <v>-2.0274650351123498</v>
      </c>
      <c r="U66" t="s">
        <v>73</v>
      </c>
      <c r="W66" t="s">
        <v>74</v>
      </c>
      <c r="X66" t="s">
        <v>75</v>
      </c>
    </row>
    <row r="67" spans="1:24" x14ac:dyDescent="0.2">
      <c r="A67" t="str">
        <f>'HOUSE DATA'!A40</f>
        <v>CA-16</v>
      </c>
      <c r="B67" s="10">
        <f>'HOUSE DATA'!B40</f>
        <v>61.049960252066548</v>
      </c>
      <c r="C67" s="10">
        <f t="shared" si="0"/>
        <v>-0.29999999999999893</v>
      </c>
      <c r="D67" s="10">
        <f>2*('HOUSE DATA'!D40*('HOUSE DASHBOARD'!$B$14-42.4)+'HOUSE DATA'!E40*('HOUSE DASHBOARD'!$B$15-54.2)+'HOUSE DATA'!F40*('HOUSE DASHBOARD'!$B$16-85.4)+'HOUSE DATA'!G40*('HOUSE DASHBOARD'!$B$17-60.7)+'HOUSE DATA'!H40*('HOUSE DASHBOARD'!$B$18-53.5))/100</f>
        <v>0</v>
      </c>
      <c r="E67" s="10">
        <f>2*('HOUSE DATA'!I40*('HOUSE DASHBOARD'!$B$21-55.6)+(100-'HOUSE DATA'!I40)*('HOUSE DASHBOARD'!$B$22-44.9))/100</f>
        <v>0</v>
      </c>
      <c r="F67" s="10">
        <f>0</f>
        <v>0</v>
      </c>
      <c r="G67" s="10">
        <f t="shared" si="1"/>
        <v>0</v>
      </c>
      <c r="H67" s="2">
        <f>'HOUSE DATA'!C40+C67+G67</f>
        <v>60.96</v>
      </c>
      <c r="I67" s="3" t="str">
        <f t="shared" si="2"/>
        <v>D</v>
      </c>
      <c r="J67" s="1" t="str">
        <f>'HOUSE DATA'!K40</f>
        <v>D</v>
      </c>
      <c r="K67" s="1" t="str">
        <f t="shared" si="3"/>
        <v>—</v>
      </c>
      <c r="L67" t="str">
        <f t="shared" si="4"/>
        <v>D+60.96</v>
      </c>
      <c r="M67">
        <f>COUNTIF($H$31:$H$465,"&gt;"&amp;H67)+COUNTIF($H$31:H67,H67)</f>
        <v>31</v>
      </c>
      <c r="N67" s="7">
        <f t="shared" si="5"/>
        <v>60.96</v>
      </c>
      <c r="O67">
        <f>COUNTIF($N$31:$N$465,"&lt;"&amp;N67)+COUNTIF($N$31:N67,N67)</f>
        <v>397</v>
      </c>
      <c r="P67" s="10">
        <f>'HOUSE DATA'!M40</f>
        <v>50</v>
      </c>
      <c r="Q67" t="str">
        <f>'HOUSE DATA'!N40</f>
        <v>2024 HOUSE / prior substitute</v>
      </c>
      <c r="R67" s="10">
        <f t="shared" si="6"/>
        <v>10.96</v>
      </c>
      <c r="S67" s="10">
        <f t="shared" si="7"/>
        <v>11.049960252066548</v>
      </c>
      <c r="T67" s="10">
        <f t="shared" si="8"/>
        <v>-8.9960252066546786E-2</v>
      </c>
      <c r="U67" t="s">
        <v>73</v>
      </c>
      <c r="W67" t="s">
        <v>74</v>
      </c>
      <c r="X67" t="s">
        <v>75</v>
      </c>
    </row>
    <row r="68" spans="1:24" x14ac:dyDescent="0.2">
      <c r="A68" t="str">
        <f>'HOUSE DATA'!A41</f>
        <v>CA-17</v>
      </c>
      <c r="B68" s="10">
        <f>'HOUSE DATA'!B41</f>
        <v>54.802898633155294</v>
      </c>
      <c r="C68" s="10">
        <f t="shared" si="0"/>
        <v>-0.29999999999999893</v>
      </c>
      <c r="D68" s="10">
        <f>2*('HOUSE DATA'!D41*('HOUSE DASHBOARD'!$B$14-42.4)+'HOUSE DATA'!E41*('HOUSE DASHBOARD'!$B$15-54.2)+'HOUSE DATA'!F41*('HOUSE DASHBOARD'!$B$16-85.4)+'HOUSE DATA'!G41*('HOUSE DASHBOARD'!$B$17-60.7)+'HOUSE DATA'!H41*('HOUSE DASHBOARD'!$B$18-53.5))/100</f>
        <v>0</v>
      </c>
      <c r="E68" s="10">
        <f>2*('HOUSE DATA'!I41*('HOUSE DASHBOARD'!$B$21-55.6)+(100-'HOUSE DATA'!I41)*('HOUSE DASHBOARD'!$B$22-44.9))/100</f>
        <v>0</v>
      </c>
      <c r="F68" s="10">
        <f>0</f>
        <v>0</v>
      </c>
      <c r="G68" s="10">
        <f t="shared" si="1"/>
        <v>0</v>
      </c>
      <c r="H68" s="2">
        <f>'HOUSE DATA'!C41+C68+G68</f>
        <v>52.012631578947371</v>
      </c>
      <c r="I68" s="3" t="str">
        <f t="shared" si="2"/>
        <v>D</v>
      </c>
      <c r="J68" s="1" t="str">
        <f>'HOUSE DATA'!K41</f>
        <v>D</v>
      </c>
      <c r="K68" s="1" t="str">
        <f t="shared" si="3"/>
        <v>—</v>
      </c>
      <c r="L68" t="str">
        <f t="shared" si="4"/>
        <v>D+52.01</v>
      </c>
      <c r="M68">
        <f>COUNTIF($H$31:$H$465,"&gt;"&amp;H68)+COUNTIF($H$31:H68,H68)</f>
        <v>53</v>
      </c>
      <c r="N68" s="7">
        <f t="shared" si="5"/>
        <v>52.012631578947371</v>
      </c>
      <c r="O68">
        <f>COUNTIF($N$31:$N$465,"&lt;"&amp;N68)+COUNTIF($N$31:N68,N68)</f>
        <v>373</v>
      </c>
      <c r="P68" s="10">
        <f>'HOUSE DATA'!M41</f>
        <v>41.05263157894737</v>
      </c>
      <c r="Q68" t="str">
        <f>'HOUSE DATA'!N41</f>
        <v>2024 HOUSE / prior substitute</v>
      </c>
      <c r="R68" s="10">
        <f t="shared" si="6"/>
        <v>10.96</v>
      </c>
      <c r="S68" s="10">
        <f t="shared" si="7"/>
        <v>13.750267054207924</v>
      </c>
      <c r="T68" s="10">
        <f t="shared" si="8"/>
        <v>-2.7902670542079235</v>
      </c>
      <c r="U68" t="s">
        <v>73</v>
      </c>
      <c r="W68" t="s">
        <v>74</v>
      </c>
      <c r="X68" t="s">
        <v>75</v>
      </c>
    </row>
    <row r="69" spans="1:24" x14ac:dyDescent="0.2">
      <c r="A69" t="str">
        <f>'HOUSE DATA'!A42</f>
        <v>CA-18</v>
      </c>
      <c r="B69" s="10">
        <f>'HOUSE DATA'!B42</f>
        <v>43.189473238533132</v>
      </c>
      <c r="C69" s="10">
        <f t="shared" si="0"/>
        <v>-0.29999999999999893</v>
      </c>
      <c r="D69" s="10">
        <f>2*('HOUSE DATA'!D42*('HOUSE DASHBOARD'!$B$14-42.4)+'HOUSE DATA'!E42*('HOUSE DASHBOARD'!$B$15-54.2)+'HOUSE DATA'!F42*('HOUSE DASHBOARD'!$B$16-85.4)+'HOUSE DATA'!G42*('HOUSE DASHBOARD'!$B$17-60.7)+'HOUSE DATA'!H42*('HOUSE DASHBOARD'!$B$18-53.5))/100</f>
        <v>0</v>
      </c>
      <c r="E69" s="10">
        <f>2*('HOUSE DATA'!I42*('HOUSE DASHBOARD'!$B$21-55.6)+(100-'HOUSE DATA'!I42)*('HOUSE DASHBOARD'!$B$22-44.9))/100</f>
        <v>0</v>
      </c>
      <c r="F69" s="10">
        <f>0</f>
        <v>0</v>
      </c>
      <c r="G69" s="10">
        <f t="shared" si="1"/>
        <v>0</v>
      </c>
      <c r="H69" s="2">
        <f>'HOUSE DATA'!C42+C69+G69</f>
        <v>40.856907216494839</v>
      </c>
      <c r="I69" s="3" t="str">
        <f t="shared" si="2"/>
        <v>D</v>
      </c>
      <c r="J69" s="1" t="str">
        <f>'HOUSE DATA'!K42</f>
        <v>D</v>
      </c>
      <c r="K69" s="1" t="str">
        <f t="shared" si="3"/>
        <v>—</v>
      </c>
      <c r="L69" t="str">
        <f t="shared" si="4"/>
        <v>D+40.86</v>
      </c>
      <c r="M69">
        <f>COUNTIF($H$31:$H$465,"&gt;"&amp;H69)+COUNTIF($H$31:H69,H69)</f>
        <v>86</v>
      </c>
      <c r="N69" s="7">
        <f t="shared" si="5"/>
        <v>40.856907216494839</v>
      </c>
      <c r="O69">
        <f>COUNTIF($N$31:$N$465,"&lt;"&amp;N69)+COUNTIF($N$31:N69,N69)</f>
        <v>336</v>
      </c>
      <c r="P69" s="10">
        <f>'HOUSE DATA'!M42</f>
        <v>29.896907216494839</v>
      </c>
      <c r="Q69" t="str">
        <f>'HOUSE DATA'!N42</f>
        <v>2024 HOUSE / prior substitute</v>
      </c>
      <c r="R69" s="10">
        <f t="shared" si="6"/>
        <v>10.96</v>
      </c>
      <c r="S69" s="10">
        <f t="shared" si="7"/>
        <v>13.292566022038294</v>
      </c>
      <c r="T69" s="10">
        <f t="shared" si="8"/>
        <v>-2.3325660220382929</v>
      </c>
      <c r="U69" t="s">
        <v>73</v>
      </c>
      <c r="W69" t="s">
        <v>74</v>
      </c>
      <c r="X69" t="s">
        <v>75</v>
      </c>
    </row>
    <row r="70" spans="1:24" x14ac:dyDescent="0.2">
      <c r="A70" t="str">
        <f>'HOUSE DATA'!A43</f>
        <v>CA-19</v>
      </c>
      <c r="B70" s="10">
        <f>'HOUSE DATA'!B43</f>
        <v>45.876182215410218</v>
      </c>
      <c r="C70" s="10">
        <f t="shared" si="0"/>
        <v>-0.29999999999999893</v>
      </c>
      <c r="D70" s="10">
        <f>2*('HOUSE DATA'!D43*('HOUSE DASHBOARD'!$B$14-42.4)+'HOUSE DATA'!E43*('HOUSE DASHBOARD'!$B$15-54.2)+'HOUSE DATA'!F43*('HOUSE DASHBOARD'!$B$16-85.4)+'HOUSE DATA'!G43*('HOUSE DASHBOARD'!$B$17-60.7)+'HOUSE DATA'!H43*('HOUSE DASHBOARD'!$B$18-53.5))/100</f>
        <v>0</v>
      </c>
      <c r="E70" s="10">
        <f>2*('HOUSE DATA'!I43*('HOUSE DASHBOARD'!$B$21-55.6)+(100-'HOUSE DATA'!I43)*('HOUSE DASHBOARD'!$B$22-44.9))/100</f>
        <v>0</v>
      </c>
      <c r="F70" s="10">
        <f>0</f>
        <v>0</v>
      </c>
      <c r="G70" s="10">
        <f t="shared" si="1"/>
        <v>0</v>
      </c>
      <c r="H70" s="2">
        <f>'HOUSE DATA'!C43+C70+G70</f>
        <v>46.376666666666672</v>
      </c>
      <c r="I70" s="3" t="str">
        <f t="shared" si="2"/>
        <v>D</v>
      </c>
      <c r="J70" s="1" t="str">
        <f>'HOUSE DATA'!K43</f>
        <v>D</v>
      </c>
      <c r="K70" s="1" t="str">
        <f t="shared" si="3"/>
        <v>—</v>
      </c>
      <c r="L70" t="str">
        <f t="shared" si="4"/>
        <v>D+46.38</v>
      </c>
      <c r="M70">
        <f>COUNTIF($H$31:$H$465,"&gt;"&amp;H70)+COUNTIF($H$31:H70,H70)</f>
        <v>70</v>
      </c>
      <c r="N70" s="7">
        <f t="shared" si="5"/>
        <v>46.376666666666672</v>
      </c>
      <c r="O70">
        <f>COUNTIF($N$31:$N$465,"&lt;"&amp;N70)+COUNTIF($N$31:N70,N70)</f>
        <v>357</v>
      </c>
      <c r="P70" s="10">
        <f>'HOUSE DATA'!M43</f>
        <v>35.416666666666671</v>
      </c>
      <c r="Q70" t="str">
        <f>'HOUSE DATA'!N43</f>
        <v>2024 HOUSE / prior substitute</v>
      </c>
      <c r="R70" s="10">
        <f t="shared" si="6"/>
        <v>10.96</v>
      </c>
      <c r="S70" s="10">
        <f t="shared" si="7"/>
        <v>10.459515548743546</v>
      </c>
      <c r="T70" s="10">
        <f t="shared" si="8"/>
        <v>0.50048445125645458</v>
      </c>
      <c r="U70" t="s">
        <v>73</v>
      </c>
      <c r="W70" t="s">
        <v>74</v>
      </c>
      <c r="X70" t="s">
        <v>75</v>
      </c>
    </row>
    <row r="71" spans="1:24" x14ac:dyDescent="0.2">
      <c r="A71" t="str">
        <f>'HOUSE DATA'!A44</f>
        <v>CA-20</v>
      </c>
      <c r="B71" s="10">
        <f>'HOUSE DATA'!B44</f>
        <v>-21.340043526471586</v>
      </c>
      <c r="C71" s="10">
        <f t="shared" si="0"/>
        <v>-0.29999999999999893</v>
      </c>
      <c r="D71" s="10">
        <f>2*('HOUSE DATA'!D44*('HOUSE DASHBOARD'!$B$14-42.4)+'HOUSE DATA'!E44*('HOUSE DASHBOARD'!$B$15-54.2)+'HOUSE DATA'!F44*('HOUSE DASHBOARD'!$B$16-85.4)+'HOUSE DATA'!G44*('HOUSE DASHBOARD'!$B$17-60.7)+'HOUSE DATA'!H44*('HOUSE DASHBOARD'!$B$18-53.5))/100</f>
        <v>0</v>
      </c>
      <c r="E71" s="10">
        <f>2*('HOUSE DATA'!I44*('HOUSE DASHBOARD'!$B$21-55.6)+(100-'HOUSE DATA'!I44)*('HOUSE DASHBOARD'!$B$22-44.9))/100</f>
        <v>0</v>
      </c>
      <c r="F71" s="10">
        <f>0</f>
        <v>0</v>
      </c>
      <c r="G71" s="10">
        <f t="shared" si="1"/>
        <v>0</v>
      </c>
      <c r="H71" s="2">
        <f>'HOUSE DATA'!C44+C71+G71</f>
        <v>-21.693061224489803</v>
      </c>
      <c r="I71" s="3" t="str">
        <f t="shared" si="2"/>
        <v>R</v>
      </c>
      <c r="J71" s="1" t="str">
        <f>'HOUSE DATA'!K44</f>
        <v>R</v>
      </c>
      <c r="K71" s="1" t="str">
        <f t="shared" si="3"/>
        <v>—</v>
      </c>
      <c r="L71" t="str">
        <f t="shared" si="4"/>
        <v>R+21.69</v>
      </c>
      <c r="M71">
        <f>COUNTIF($H$31:$H$465,"&gt;"&amp;H71)+COUNTIF($H$31:H71,H71)</f>
        <v>369</v>
      </c>
      <c r="N71" s="7">
        <f t="shared" si="5"/>
        <v>21.693061224489803</v>
      </c>
      <c r="O71">
        <f>COUNTIF($N$31:$N$465,"&lt;"&amp;N71)+COUNTIF($N$31:N71,N71)</f>
        <v>207</v>
      </c>
      <c r="P71" s="10">
        <f>'HOUSE DATA'!M44</f>
        <v>-32.653061224489804</v>
      </c>
      <c r="Q71" t="str">
        <f>'HOUSE DATA'!N44</f>
        <v>2024 HOUSE / prior substitute</v>
      </c>
      <c r="R71" s="10">
        <f t="shared" si="6"/>
        <v>10.96</v>
      </c>
      <c r="S71" s="10">
        <f t="shared" si="7"/>
        <v>11.313017698018218</v>
      </c>
      <c r="T71" s="10">
        <f t="shared" si="8"/>
        <v>-0.35301769801821692</v>
      </c>
      <c r="U71" t="s">
        <v>73</v>
      </c>
      <c r="W71" t="s">
        <v>74</v>
      </c>
      <c r="X71" t="s">
        <v>75</v>
      </c>
    </row>
    <row r="72" spans="1:24" x14ac:dyDescent="0.2">
      <c r="A72" t="str">
        <f>'HOUSE DATA'!A45</f>
        <v>CA-21</v>
      </c>
      <c r="B72" s="10">
        <f>'HOUSE DATA'!B45</f>
        <v>22.02541746399104</v>
      </c>
      <c r="C72" s="10">
        <f t="shared" si="0"/>
        <v>-0.29999999999999893</v>
      </c>
      <c r="D72" s="10">
        <f>2*('HOUSE DATA'!D45*('HOUSE DASHBOARD'!$B$14-42.4)+'HOUSE DATA'!E45*('HOUSE DASHBOARD'!$B$15-54.2)+'HOUSE DATA'!F45*('HOUSE DASHBOARD'!$B$16-85.4)+'HOUSE DATA'!G45*('HOUSE DASHBOARD'!$B$17-60.7)+'HOUSE DATA'!H45*('HOUSE DASHBOARD'!$B$18-53.5))/100</f>
        <v>0</v>
      </c>
      <c r="E72" s="10">
        <f>2*('HOUSE DATA'!I45*('HOUSE DASHBOARD'!$B$21-55.6)+(100-'HOUSE DATA'!I45)*('HOUSE DASHBOARD'!$B$22-44.9))/100</f>
        <v>0</v>
      </c>
      <c r="F72" s="10">
        <f>0</f>
        <v>0</v>
      </c>
      <c r="G72" s="10">
        <f t="shared" si="1"/>
        <v>0</v>
      </c>
      <c r="H72" s="2">
        <f>'HOUSE DATA'!C45+C72+G72</f>
        <v>17.082448979591838</v>
      </c>
      <c r="I72" s="3" t="str">
        <f t="shared" si="2"/>
        <v>D</v>
      </c>
      <c r="J72" s="1" t="str">
        <f>'HOUSE DATA'!K45</f>
        <v>D</v>
      </c>
      <c r="K72" s="1" t="str">
        <f t="shared" si="3"/>
        <v>—</v>
      </c>
      <c r="L72" t="str">
        <f t="shared" si="4"/>
        <v>D+17.08</v>
      </c>
      <c r="M72">
        <f>COUNTIF($H$31:$H$465,"&gt;"&amp;H72)+COUNTIF($H$31:H72,H72)</f>
        <v>188</v>
      </c>
      <c r="N72" s="7">
        <f t="shared" si="5"/>
        <v>17.082448979591838</v>
      </c>
      <c r="O72">
        <f>COUNTIF($N$31:$N$465,"&lt;"&amp;N72)+COUNTIF($N$31:N72,N72)</f>
        <v>150</v>
      </c>
      <c r="P72" s="10">
        <f>'HOUSE DATA'!M45</f>
        <v>6.1224489795918373</v>
      </c>
      <c r="Q72" t="str">
        <f>'HOUSE DATA'!N45</f>
        <v>2024 HOUSE / prior substitute</v>
      </c>
      <c r="R72" s="10">
        <f t="shared" si="6"/>
        <v>10.96</v>
      </c>
      <c r="S72" s="10">
        <f t="shared" si="7"/>
        <v>15.902968484399203</v>
      </c>
      <c r="T72" s="10">
        <f t="shared" si="8"/>
        <v>-4.9429684843992021</v>
      </c>
      <c r="U72" t="s">
        <v>73</v>
      </c>
      <c r="W72" t="s">
        <v>74</v>
      </c>
      <c r="X72" t="s">
        <v>75</v>
      </c>
    </row>
    <row r="73" spans="1:24" x14ac:dyDescent="0.2">
      <c r="A73" t="str">
        <f>'HOUSE DATA'!A46</f>
        <v>CA-22</v>
      </c>
      <c r="B73" s="10">
        <f>'HOUSE DATA'!B46</f>
        <v>14.434699598239579</v>
      </c>
      <c r="C73" s="10">
        <f t="shared" si="0"/>
        <v>-0.29999999999999893</v>
      </c>
      <c r="D73" s="10">
        <f>2*('HOUSE DATA'!D46*('HOUSE DASHBOARD'!$B$14-42.4)+'HOUSE DATA'!E46*('HOUSE DASHBOARD'!$B$15-54.2)+'HOUSE DATA'!F46*('HOUSE DASHBOARD'!$B$16-85.4)+'HOUSE DATA'!G46*('HOUSE DASHBOARD'!$B$17-60.7)+'HOUSE DATA'!H46*('HOUSE DASHBOARD'!$B$18-53.5))/100</f>
        <v>0</v>
      </c>
      <c r="E73" s="10">
        <f>2*('HOUSE DATA'!I46*('HOUSE DASHBOARD'!$B$21-55.6)+(100-'HOUSE DATA'!I46)*('HOUSE DASHBOARD'!$B$22-44.9))/100</f>
        <v>0</v>
      </c>
      <c r="F73" s="10">
        <f>0</f>
        <v>0</v>
      </c>
      <c r="G73" s="10">
        <f t="shared" si="1"/>
        <v>0</v>
      </c>
      <c r="H73" s="2">
        <f>'HOUSE DATA'!C46+C73+G73</f>
        <v>8.9191836734693837</v>
      </c>
      <c r="I73" s="3" t="str">
        <f t="shared" si="2"/>
        <v>D</v>
      </c>
      <c r="J73" s="1" t="str">
        <f>'HOUSE DATA'!K46</f>
        <v>R</v>
      </c>
      <c r="K73" s="1" t="str">
        <f t="shared" si="3"/>
        <v>R → D</v>
      </c>
      <c r="L73" t="str">
        <f t="shared" si="4"/>
        <v>D+8.92</v>
      </c>
      <c r="M73">
        <f>COUNTIF($H$31:$H$465,"&gt;"&amp;H73)+COUNTIF($H$31:H73,H73)</f>
        <v>216</v>
      </c>
      <c r="N73" s="7">
        <f t="shared" si="5"/>
        <v>8.9191836734693837</v>
      </c>
      <c r="O73">
        <f>COUNTIF($N$31:$N$465,"&lt;"&amp;N73)+COUNTIF($N$31:N73,N73)</f>
        <v>74</v>
      </c>
      <c r="P73" s="10">
        <f>'HOUSE DATA'!M46</f>
        <v>-2.0408163265306172</v>
      </c>
      <c r="Q73" t="str">
        <f>'HOUSE DATA'!N46</f>
        <v>2024 HOUSE / prior substitute</v>
      </c>
      <c r="R73" s="10">
        <f t="shared" si="6"/>
        <v>10.96</v>
      </c>
      <c r="S73" s="10">
        <f t="shared" si="7"/>
        <v>16.475515924770196</v>
      </c>
      <c r="T73" s="10">
        <f t="shared" si="8"/>
        <v>-5.5155159247701953</v>
      </c>
      <c r="U73" t="s">
        <v>73</v>
      </c>
      <c r="W73" t="s">
        <v>74</v>
      </c>
      <c r="X73" t="s">
        <v>75</v>
      </c>
    </row>
    <row r="74" spans="1:24" x14ac:dyDescent="0.2">
      <c r="A74" t="str">
        <f>'HOUSE DATA'!A47</f>
        <v>CA-23</v>
      </c>
      <c r="B74" s="10">
        <f>'HOUSE DATA'!B47</f>
        <v>-6.4812516279227808</v>
      </c>
      <c r="C74" s="10">
        <f t="shared" si="0"/>
        <v>-0.29999999999999893</v>
      </c>
      <c r="D74" s="10">
        <f>2*('HOUSE DATA'!D47*('HOUSE DASHBOARD'!$B$14-42.4)+'HOUSE DATA'!E47*('HOUSE DASHBOARD'!$B$15-54.2)+'HOUSE DATA'!F47*('HOUSE DASHBOARD'!$B$16-85.4)+'HOUSE DATA'!G47*('HOUSE DASHBOARD'!$B$17-60.7)+'HOUSE DATA'!H47*('HOUSE DASHBOARD'!$B$18-53.5))/100</f>
        <v>0</v>
      </c>
      <c r="E74" s="10">
        <f>2*('HOUSE DATA'!I47*('HOUSE DASHBOARD'!$B$21-55.6)+(100-'HOUSE DATA'!I47)*('HOUSE DASHBOARD'!$B$22-44.9))/100</f>
        <v>0</v>
      </c>
      <c r="F74" s="10">
        <f>0</f>
        <v>0</v>
      </c>
      <c r="G74" s="10">
        <f t="shared" si="1"/>
        <v>0</v>
      </c>
      <c r="H74" s="2">
        <f>'HOUSE DATA'!C47+C74+G74</f>
        <v>-8.6276288659793821</v>
      </c>
      <c r="I74" s="3" t="str">
        <f t="shared" si="2"/>
        <v>R</v>
      </c>
      <c r="J74" s="1" t="str">
        <f>'HOUSE DATA'!K47</f>
        <v>R</v>
      </c>
      <c r="K74" s="1" t="str">
        <f t="shared" si="3"/>
        <v>—</v>
      </c>
      <c r="L74" t="str">
        <f t="shared" si="4"/>
        <v>R+8.63</v>
      </c>
      <c r="M74">
        <f>COUNTIF($H$31:$H$465,"&gt;"&amp;H74)+COUNTIF($H$31:H74,H74)</f>
        <v>287</v>
      </c>
      <c r="N74" s="7">
        <f t="shared" si="5"/>
        <v>8.6276288659793821</v>
      </c>
      <c r="O74">
        <f>COUNTIF($N$31:$N$465,"&lt;"&amp;N74)+COUNTIF($N$31:N74,N74)</f>
        <v>70</v>
      </c>
      <c r="P74" s="10">
        <f>'HOUSE DATA'!M47</f>
        <v>-19.587628865979383</v>
      </c>
      <c r="Q74" t="str">
        <f>'HOUSE DATA'!N47</f>
        <v>2024 HOUSE / prior substitute</v>
      </c>
      <c r="R74" s="10">
        <f t="shared" si="6"/>
        <v>10.96</v>
      </c>
      <c r="S74" s="10">
        <f t="shared" si="7"/>
        <v>13.106377238056602</v>
      </c>
      <c r="T74" s="10">
        <f t="shared" si="8"/>
        <v>-2.1463772380566013</v>
      </c>
      <c r="U74" t="s">
        <v>73</v>
      </c>
      <c r="W74" t="s">
        <v>74</v>
      </c>
      <c r="X74" t="s">
        <v>75</v>
      </c>
    </row>
    <row r="75" spans="1:24" x14ac:dyDescent="0.2">
      <c r="A75" t="str">
        <f>'HOUSE DATA'!A48</f>
        <v>CA-24</v>
      </c>
      <c r="B75" s="10">
        <f>'HOUSE DATA'!B48</f>
        <v>36.057207675662511</v>
      </c>
      <c r="C75" s="10">
        <f t="shared" si="0"/>
        <v>-0.29999999999999893</v>
      </c>
      <c r="D75" s="10">
        <f>2*('HOUSE DATA'!D48*('HOUSE DASHBOARD'!$B$14-42.4)+'HOUSE DATA'!E48*('HOUSE DASHBOARD'!$B$15-54.2)+'HOUSE DATA'!F48*('HOUSE DASHBOARD'!$B$16-85.4)+'HOUSE DATA'!G48*('HOUSE DASHBOARD'!$B$17-60.7)+'HOUSE DATA'!H48*('HOUSE DASHBOARD'!$B$18-53.5))/100</f>
        <v>0</v>
      </c>
      <c r="E75" s="10">
        <f>2*('HOUSE DATA'!I48*('HOUSE DASHBOARD'!$B$21-55.6)+(100-'HOUSE DATA'!I48)*('HOUSE DASHBOARD'!$B$22-44.9))/100</f>
        <v>0</v>
      </c>
      <c r="F75" s="10">
        <f>0</f>
        <v>0</v>
      </c>
      <c r="G75" s="10">
        <f t="shared" si="1"/>
        <v>0</v>
      </c>
      <c r="H75" s="2">
        <f>'HOUSE DATA'!C48+C75+G75</f>
        <v>36.733195876288654</v>
      </c>
      <c r="I75" s="3" t="str">
        <f t="shared" si="2"/>
        <v>D</v>
      </c>
      <c r="J75" s="1" t="str">
        <f>'HOUSE DATA'!K48</f>
        <v>D</v>
      </c>
      <c r="K75" s="1" t="str">
        <f t="shared" si="3"/>
        <v>—</v>
      </c>
      <c r="L75" t="str">
        <f t="shared" si="4"/>
        <v>D+36.73</v>
      </c>
      <c r="M75">
        <f>COUNTIF($H$31:$H$465,"&gt;"&amp;H75)+COUNTIF($H$31:H75,H75)</f>
        <v>94</v>
      </c>
      <c r="N75" s="7">
        <f t="shared" si="5"/>
        <v>36.733195876288654</v>
      </c>
      <c r="O75">
        <f>COUNTIF($N$31:$N$465,"&lt;"&amp;N75)+COUNTIF($N$31:N75,N75)</f>
        <v>320</v>
      </c>
      <c r="P75" s="10">
        <f>'HOUSE DATA'!M48</f>
        <v>25.773195876288653</v>
      </c>
      <c r="Q75" t="str">
        <f>'HOUSE DATA'!N48</f>
        <v>2024 HOUSE / prior substitute</v>
      </c>
      <c r="R75" s="10">
        <f t="shared" si="6"/>
        <v>10.96</v>
      </c>
      <c r="S75" s="10">
        <f t="shared" si="7"/>
        <v>10.284011799373857</v>
      </c>
      <c r="T75" s="10">
        <f t="shared" si="8"/>
        <v>0.67598820062614351</v>
      </c>
      <c r="U75" t="s">
        <v>73</v>
      </c>
      <c r="W75" t="s">
        <v>74</v>
      </c>
      <c r="X75" t="s">
        <v>75</v>
      </c>
    </row>
    <row r="76" spans="1:24" x14ac:dyDescent="0.2">
      <c r="A76" t="str">
        <f>'HOUSE DATA'!A49</f>
        <v>CA-25</v>
      </c>
      <c r="B76" s="10">
        <f>'HOUSE DATA'!B49</f>
        <v>20.882016390616911</v>
      </c>
      <c r="C76" s="10">
        <f t="shared" si="0"/>
        <v>-0.29999999999999893</v>
      </c>
      <c r="D76" s="10">
        <f>2*('HOUSE DATA'!D49*('HOUSE DASHBOARD'!$B$14-42.4)+'HOUSE DATA'!E49*('HOUSE DASHBOARD'!$B$15-54.2)+'HOUSE DATA'!F49*('HOUSE DASHBOARD'!$B$16-85.4)+'HOUSE DATA'!G49*('HOUSE DASHBOARD'!$B$17-60.7)+'HOUSE DATA'!H49*('HOUSE DASHBOARD'!$B$18-53.5))/100</f>
        <v>0</v>
      </c>
      <c r="E76" s="10">
        <f>2*('HOUSE DATA'!I49*('HOUSE DASHBOARD'!$B$21-55.6)+(100-'HOUSE DATA'!I49)*('HOUSE DASHBOARD'!$B$22-44.9))/100</f>
        <v>0</v>
      </c>
      <c r="F76" s="10">
        <f>0</f>
        <v>0</v>
      </c>
      <c r="G76" s="10">
        <f t="shared" si="1"/>
        <v>0</v>
      </c>
      <c r="H76" s="2">
        <f>'HOUSE DATA'!C49+C76+G76</f>
        <v>17.082448979591838</v>
      </c>
      <c r="I76" s="3" t="str">
        <f t="shared" si="2"/>
        <v>D</v>
      </c>
      <c r="J76" s="1" t="str">
        <f>'HOUSE DATA'!K49</f>
        <v>D</v>
      </c>
      <c r="K76" s="1" t="str">
        <f t="shared" si="3"/>
        <v>—</v>
      </c>
      <c r="L76" t="str">
        <f t="shared" si="4"/>
        <v>D+17.08</v>
      </c>
      <c r="M76">
        <f>COUNTIF($H$31:$H$465,"&gt;"&amp;H76)+COUNTIF($H$31:H76,H76)</f>
        <v>189</v>
      </c>
      <c r="N76" s="7">
        <f t="shared" si="5"/>
        <v>17.082448979591838</v>
      </c>
      <c r="O76">
        <f>COUNTIF($N$31:$N$465,"&lt;"&amp;N76)+COUNTIF($N$31:N76,N76)</f>
        <v>151</v>
      </c>
      <c r="P76" s="10">
        <f>'HOUSE DATA'!M49</f>
        <v>6.1224489795918373</v>
      </c>
      <c r="Q76" t="str">
        <f>'HOUSE DATA'!N49</f>
        <v>2024 HOUSE / prior substitute</v>
      </c>
      <c r="R76" s="10">
        <f t="shared" si="6"/>
        <v>10.96</v>
      </c>
      <c r="S76" s="10">
        <f t="shared" si="7"/>
        <v>14.759567411025074</v>
      </c>
      <c r="T76" s="10">
        <f t="shared" si="8"/>
        <v>-3.7995674110250732</v>
      </c>
      <c r="U76" t="s">
        <v>73</v>
      </c>
      <c r="W76" t="s">
        <v>74</v>
      </c>
      <c r="X76" t="s">
        <v>75</v>
      </c>
    </row>
    <row r="77" spans="1:24" x14ac:dyDescent="0.2">
      <c r="A77" t="str">
        <f>'HOUSE DATA'!A50</f>
        <v>CA-26</v>
      </c>
      <c r="B77" s="10">
        <f>'HOUSE DATA'!B50</f>
        <v>26.102448763449615</v>
      </c>
      <c r="C77" s="10">
        <f t="shared" si="0"/>
        <v>-0.29999999999999893</v>
      </c>
      <c r="D77" s="10">
        <f>2*('HOUSE DATA'!D50*('HOUSE DASHBOARD'!$B$14-42.4)+'HOUSE DATA'!E50*('HOUSE DASHBOARD'!$B$15-54.2)+'HOUSE DATA'!F50*('HOUSE DASHBOARD'!$B$16-85.4)+'HOUSE DATA'!G50*('HOUSE DASHBOARD'!$B$17-60.7)+'HOUSE DATA'!H50*('HOUSE DASHBOARD'!$B$18-53.5))/100</f>
        <v>0</v>
      </c>
      <c r="E77" s="10">
        <f>2*('HOUSE DATA'!I50*('HOUSE DASHBOARD'!$B$21-55.6)+(100-'HOUSE DATA'!I50)*('HOUSE DASHBOARD'!$B$22-44.9))/100</f>
        <v>0</v>
      </c>
      <c r="F77" s="10">
        <f>0</f>
        <v>0</v>
      </c>
      <c r="G77" s="10">
        <f t="shared" si="1"/>
        <v>0</v>
      </c>
      <c r="H77" s="2">
        <f>'HOUSE DATA'!C50+C77+G77</f>
        <v>25.83</v>
      </c>
      <c r="I77" s="3" t="str">
        <f t="shared" si="2"/>
        <v>D</v>
      </c>
      <c r="J77" s="1" t="str">
        <f>'HOUSE DATA'!K50</f>
        <v>D</v>
      </c>
      <c r="K77" s="1" t="str">
        <f t="shared" si="3"/>
        <v>—</v>
      </c>
      <c r="L77" t="str">
        <f t="shared" si="4"/>
        <v>D+25.83</v>
      </c>
      <c r="M77">
        <f>COUNTIF($H$31:$H$465,"&gt;"&amp;H77)+COUNTIF($H$31:H77,H77)</f>
        <v>140</v>
      </c>
      <c r="N77" s="7">
        <f t="shared" si="5"/>
        <v>25.83</v>
      </c>
      <c r="O77">
        <f>COUNTIF($N$31:$N$465,"&lt;"&amp;N77)+COUNTIF($N$31:N77,N77)</f>
        <v>244</v>
      </c>
      <c r="P77" s="10">
        <f>'HOUSE DATA'!M50</f>
        <v>15.28</v>
      </c>
      <c r="Q77" t="str">
        <f>'HOUSE DATA'!N50</f>
        <v>2024 PRESIDENT (open seat)</v>
      </c>
      <c r="R77" s="10">
        <f t="shared" si="6"/>
        <v>10.549999999999999</v>
      </c>
      <c r="S77" s="10">
        <f t="shared" si="7"/>
        <v>10.822448763449616</v>
      </c>
      <c r="T77" s="10">
        <f t="shared" si="8"/>
        <v>-0.2724487634496171</v>
      </c>
      <c r="U77" t="s">
        <v>73</v>
      </c>
      <c r="W77" t="s">
        <v>74</v>
      </c>
      <c r="X77" t="s">
        <v>75</v>
      </c>
    </row>
    <row r="78" spans="1:24" x14ac:dyDescent="0.2">
      <c r="A78" t="str">
        <f>'HOUSE DATA'!A51</f>
        <v>CA-27</v>
      </c>
      <c r="B78" s="10">
        <f>'HOUSE DATA'!B51</f>
        <v>20.788861245052015</v>
      </c>
      <c r="C78" s="10">
        <f t="shared" si="0"/>
        <v>-0.29999999999999893</v>
      </c>
      <c r="D78" s="10">
        <f>2*('HOUSE DATA'!D51*('HOUSE DASHBOARD'!$B$14-42.4)+'HOUSE DATA'!E51*('HOUSE DASHBOARD'!$B$15-54.2)+'HOUSE DATA'!F51*('HOUSE DASHBOARD'!$B$16-85.4)+'HOUSE DATA'!G51*('HOUSE DASHBOARD'!$B$17-60.7)+'HOUSE DATA'!H51*('HOUSE DASHBOARD'!$B$18-53.5))/100</f>
        <v>0</v>
      </c>
      <c r="E78" s="10">
        <f>2*('HOUSE DATA'!I51*('HOUSE DASHBOARD'!$B$21-55.6)+(100-'HOUSE DATA'!I51)*('HOUSE DASHBOARD'!$B$22-44.9))/100</f>
        <v>0</v>
      </c>
      <c r="F78" s="10">
        <f>0</f>
        <v>0</v>
      </c>
      <c r="G78" s="10">
        <f t="shared" si="1"/>
        <v>0</v>
      </c>
      <c r="H78" s="2">
        <f>'HOUSE DATA'!C51+C78+G78</f>
        <v>20.238350515463921</v>
      </c>
      <c r="I78" s="3" t="str">
        <f t="shared" si="2"/>
        <v>D</v>
      </c>
      <c r="J78" s="1" t="str">
        <f>'HOUSE DATA'!K51</f>
        <v>D</v>
      </c>
      <c r="K78" s="1" t="str">
        <f t="shared" si="3"/>
        <v>—</v>
      </c>
      <c r="L78" t="str">
        <f t="shared" si="4"/>
        <v>D+20.24</v>
      </c>
      <c r="M78">
        <f>COUNTIF($H$31:$H$465,"&gt;"&amp;H78)+COUNTIF($H$31:H78,H78)</f>
        <v>167</v>
      </c>
      <c r="N78" s="7">
        <f t="shared" si="5"/>
        <v>20.238350515463921</v>
      </c>
      <c r="O78">
        <f>COUNTIF($N$31:$N$465,"&lt;"&amp;N78)+COUNTIF($N$31:N78,N78)</f>
        <v>189</v>
      </c>
      <c r="P78" s="10">
        <f>'HOUSE DATA'!M51</f>
        <v>9.2783505154639201</v>
      </c>
      <c r="Q78" t="str">
        <f>'HOUSE DATA'!N51</f>
        <v>2024 HOUSE / prior substitute</v>
      </c>
      <c r="R78" s="10">
        <f t="shared" si="6"/>
        <v>10.96</v>
      </c>
      <c r="S78" s="10">
        <f t="shared" si="7"/>
        <v>11.510510729588095</v>
      </c>
      <c r="T78" s="10">
        <f t="shared" si="8"/>
        <v>-0.55051072958809399</v>
      </c>
      <c r="U78" t="s">
        <v>73</v>
      </c>
      <c r="W78" t="s">
        <v>74</v>
      </c>
      <c r="X78" t="s">
        <v>75</v>
      </c>
    </row>
    <row r="79" spans="1:24" x14ac:dyDescent="0.2">
      <c r="A79" t="str">
        <f>'HOUSE DATA'!A52</f>
        <v>CA-28</v>
      </c>
      <c r="B79" s="10">
        <f>'HOUSE DATA'!B52</f>
        <v>38.741266453427535</v>
      </c>
      <c r="C79" s="10">
        <f t="shared" si="0"/>
        <v>-0.29999999999999893</v>
      </c>
      <c r="D79" s="10">
        <f>2*('HOUSE DATA'!D52*('HOUSE DASHBOARD'!$B$14-42.4)+'HOUSE DATA'!E52*('HOUSE DASHBOARD'!$B$15-54.2)+'HOUSE DATA'!F52*('HOUSE DASHBOARD'!$B$16-85.4)+'HOUSE DATA'!G52*('HOUSE DASHBOARD'!$B$17-60.7)+'HOUSE DATA'!H52*('HOUSE DASHBOARD'!$B$18-53.5))/100</f>
        <v>0</v>
      </c>
      <c r="E79" s="10">
        <f>2*('HOUSE DATA'!I52*('HOUSE DASHBOARD'!$B$21-55.6)+(100-'HOUSE DATA'!I52)*('HOUSE DASHBOARD'!$B$22-44.9))/100</f>
        <v>0</v>
      </c>
      <c r="F79" s="10">
        <f>0</f>
        <v>0</v>
      </c>
      <c r="G79" s="10">
        <f t="shared" si="1"/>
        <v>0</v>
      </c>
      <c r="H79" s="2">
        <f>'HOUSE DATA'!C52+C79+G79</f>
        <v>36.733195876288654</v>
      </c>
      <c r="I79" s="3" t="str">
        <f t="shared" si="2"/>
        <v>D</v>
      </c>
      <c r="J79" s="1" t="str">
        <f>'HOUSE DATA'!K52</f>
        <v>D</v>
      </c>
      <c r="K79" s="1" t="str">
        <f t="shared" si="3"/>
        <v>—</v>
      </c>
      <c r="L79" t="str">
        <f t="shared" si="4"/>
        <v>D+36.73</v>
      </c>
      <c r="M79">
        <f>COUNTIF($H$31:$H$465,"&gt;"&amp;H79)+COUNTIF($H$31:H79,H79)</f>
        <v>95</v>
      </c>
      <c r="N79" s="7">
        <f t="shared" si="5"/>
        <v>36.733195876288654</v>
      </c>
      <c r="O79">
        <f>COUNTIF($N$31:$N$465,"&lt;"&amp;N79)+COUNTIF($N$31:N79,N79)</f>
        <v>321</v>
      </c>
      <c r="P79" s="10">
        <f>'HOUSE DATA'!M52</f>
        <v>25.773195876288653</v>
      </c>
      <c r="Q79" t="str">
        <f>'HOUSE DATA'!N52</f>
        <v>2024 HOUSE / prior substitute</v>
      </c>
      <c r="R79" s="10">
        <f t="shared" si="6"/>
        <v>10.96</v>
      </c>
      <c r="S79" s="10">
        <f t="shared" si="7"/>
        <v>12.968070577138882</v>
      </c>
      <c r="T79" s="10">
        <f t="shared" si="8"/>
        <v>-2.0080705771388807</v>
      </c>
      <c r="U79" t="s">
        <v>73</v>
      </c>
      <c r="W79" t="s">
        <v>74</v>
      </c>
      <c r="X79" t="s">
        <v>75</v>
      </c>
    </row>
    <row r="80" spans="1:24" x14ac:dyDescent="0.2">
      <c r="A80" t="str">
        <f>'HOUSE DATA'!A53</f>
        <v>CA-29</v>
      </c>
      <c r="B80" s="10">
        <f>'HOUSE DATA'!B53</f>
        <v>49.142782152683409</v>
      </c>
      <c r="C80" s="10">
        <f t="shared" si="0"/>
        <v>-0.29999999999999893</v>
      </c>
      <c r="D80" s="10">
        <f>2*('HOUSE DATA'!D53*('HOUSE DASHBOARD'!$B$14-42.4)+'HOUSE DATA'!E53*('HOUSE DASHBOARD'!$B$15-54.2)+'HOUSE DATA'!F53*('HOUSE DASHBOARD'!$B$16-85.4)+'HOUSE DATA'!G53*('HOUSE DASHBOARD'!$B$17-60.7)+'HOUSE DATA'!H53*('HOUSE DASHBOARD'!$B$18-53.5))/100</f>
        <v>0</v>
      </c>
      <c r="E80" s="10">
        <f>2*('HOUSE DATA'!I53*('HOUSE DASHBOARD'!$B$21-55.6)+(100-'HOUSE DATA'!I53)*('HOUSE DASHBOARD'!$B$22-44.9))/100</f>
        <v>0</v>
      </c>
      <c r="F80" s="10">
        <f>0</f>
        <v>0</v>
      </c>
      <c r="G80" s="10">
        <f t="shared" si="1"/>
        <v>0</v>
      </c>
      <c r="H80" s="2">
        <f>'HOUSE DATA'!C53+C80+G80</f>
        <v>44.980618556701039</v>
      </c>
      <c r="I80" s="3" t="str">
        <f t="shared" si="2"/>
        <v>D</v>
      </c>
      <c r="J80" s="1" t="str">
        <f>'HOUSE DATA'!K53</f>
        <v>D</v>
      </c>
      <c r="K80" s="1" t="str">
        <f t="shared" si="3"/>
        <v>—</v>
      </c>
      <c r="L80" t="str">
        <f t="shared" si="4"/>
        <v>D — BALLOT LOCK</v>
      </c>
      <c r="M80">
        <f>COUNTIF($H$31:$H$465,"&gt;"&amp;H80)+COUNTIF($H$31:H80,H80)</f>
        <v>77</v>
      </c>
      <c r="N80" s="7">
        <f t="shared" si="5"/>
        <v>100</v>
      </c>
      <c r="O80">
        <f>COUNTIF($N$31:$N$465,"&lt;"&amp;N80)+COUNTIF($N$31:N80,N80)</f>
        <v>427</v>
      </c>
      <c r="P80" s="10">
        <f>'HOUSE DATA'!M53</f>
        <v>34.020618556701038</v>
      </c>
      <c r="Q80" t="str">
        <f>'HOUSE DATA'!N53</f>
        <v>2024 HOUSE / prior substitute</v>
      </c>
      <c r="R80" s="10">
        <f t="shared" si="6"/>
        <v>10.96</v>
      </c>
      <c r="S80" s="10">
        <f t="shared" si="7"/>
        <v>15.122163595982371</v>
      </c>
      <c r="T80" s="10">
        <f t="shared" si="8"/>
        <v>-4.1621635959823706</v>
      </c>
      <c r="U80" t="s">
        <v>76</v>
      </c>
      <c r="V80" t="s">
        <v>77</v>
      </c>
      <c r="W80" t="s">
        <v>78</v>
      </c>
      <c r="X80" t="s">
        <v>79</v>
      </c>
    </row>
    <row r="81" spans="1:24" x14ac:dyDescent="0.2">
      <c r="A81" t="str">
        <f>'HOUSE DATA'!A54</f>
        <v>CA-30</v>
      </c>
      <c r="B81" s="10">
        <f>'HOUSE DATA'!B54</f>
        <v>52.475195039254871</v>
      </c>
      <c r="C81" s="10">
        <f t="shared" si="0"/>
        <v>-0.29999999999999893</v>
      </c>
      <c r="D81" s="10">
        <f>2*('HOUSE DATA'!D54*('HOUSE DASHBOARD'!$B$14-42.4)+'HOUSE DATA'!E54*('HOUSE DASHBOARD'!$B$15-54.2)+'HOUSE DATA'!F54*('HOUSE DASHBOARD'!$B$16-85.4)+'HOUSE DATA'!G54*('HOUSE DASHBOARD'!$B$17-60.7)+'HOUSE DATA'!H54*('HOUSE DASHBOARD'!$B$18-53.5))/100</f>
        <v>0</v>
      </c>
      <c r="E81" s="10">
        <f>2*('HOUSE DATA'!I54*('HOUSE DASHBOARD'!$B$21-55.6)+(100-'HOUSE DATA'!I54)*('HOUSE DASHBOARD'!$B$22-44.9))/100</f>
        <v>0</v>
      </c>
      <c r="F81" s="10">
        <f>0</f>
        <v>0</v>
      </c>
      <c r="G81" s="10">
        <f t="shared" si="1"/>
        <v>0</v>
      </c>
      <c r="H81" s="2">
        <f>'HOUSE DATA'!C54+C81+G81</f>
        <v>52.626666666666672</v>
      </c>
      <c r="I81" s="3" t="str">
        <f t="shared" si="2"/>
        <v>D</v>
      </c>
      <c r="J81" s="1" t="str">
        <f>'HOUSE DATA'!K54</f>
        <v>D</v>
      </c>
      <c r="K81" s="1" t="str">
        <f t="shared" si="3"/>
        <v>—</v>
      </c>
      <c r="L81" t="str">
        <f t="shared" si="4"/>
        <v>D+52.63</v>
      </c>
      <c r="M81">
        <f>COUNTIF($H$31:$H$465,"&gt;"&amp;H81)+COUNTIF($H$31:H81,H81)</f>
        <v>50</v>
      </c>
      <c r="N81" s="7">
        <f t="shared" si="5"/>
        <v>52.626666666666672</v>
      </c>
      <c r="O81">
        <f>COUNTIF($N$31:$N$465,"&lt;"&amp;N81)+COUNTIF($N$31:N81,N81)</f>
        <v>376</v>
      </c>
      <c r="P81" s="10">
        <f>'HOUSE DATA'!M54</f>
        <v>41.666666666666671</v>
      </c>
      <c r="Q81" t="str">
        <f>'HOUSE DATA'!N54</f>
        <v>2024 HOUSE / prior substitute</v>
      </c>
      <c r="R81" s="10">
        <f t="shared" si="6"/>
        <v>10.96</v>
      </c>
      <c r="S81" s="10">
        <f t="shared" si="7"/>
        <v>10.808528372588199</v>
      </c>
      <c r="T81" s="10">
        <f t="shared" si="8"/>
        <v>0.15147162741180153</v>
      </c>
      <c r="U81" t="s">
        <v>73</v>
      </c>
      <c r="W81" t="s">
        <v>74</v>
      </c>
      <c r="X81" t="s">
        <v>75</v>
      </c>
    </row>
    <row r="82" spans="1:24" x14ac:dyDescent="0.2">
      <c r="A82" t="str">
        <f>'HOUSE DATA'!A55</f>
        <v>CA-31</v>
      </c>
      <c r="B82" s="10">
        <f>'HOUSE DATA'!B55</f>
        <v>28.362520607609486</v>
      </c>
      <c r="C82" s="10">
        <f t="shared" si="0"/>
        <v>-0.29999999999999893</v>
      </c>
      <c r="D82" s="10">
        <f>2*('HOUSE DATA'!D55*('HOUSE DASHBOARD'!$B$14-42.4)+'HOUSE DATA'!E55*('HOUSE DASHBOARD'!$B$15-54.2)+'HOUSE DATA'!F55*('HOUSE DASHBOARD'!$B$16-85.4)+'HOUSE DATA'!G55*('HOUSE DASHBOARD'!$B$17-60.7)+'HOUSE DATA'!H55*('HOUSE DASHBOARD'!$B$18-53.5))/100</f>
        <v>0</v>
      </c>
      <c r="E82" s="10">
        <f>2*('HOUSE DATA'!I55*('HOUSE DASHBOARD'!$B$21-55.6)+(100-'HOUSE DATA'!I55)*('HOUSE DASHBOARD'!$B$22-44.9))/100</f>
        <v>0</v>
      </c>
      <c r="F82" s="10">
        <f>0</f>
        <v>0</v>
      </c>
      <c r="G82" s="10">
        <f t="shared" si="1"/>
        <v>0</v>
      </c>
      <c r="H82" s="2">
        <f>'HOUSE DATA'!C55+C82+G82</f>
        <v>24.362061855670113</v>
      </c>
      <c r="I82" s="3" t="str">
        <f t="shared" si="2"/>
        <v>D</v>
      </c>
      <c r="J82" s="1" t="str">
        <f>'HOUSE DATA'!K55</f>
        <v>D</v>
      </c>
      <c r="K82" s="1" t="str">
        <f t="shared" si="3"/>
        <v>—</v>
      </c>
      <c r="L82" t="str">
        <f t="shared" si="4"/>
        <v>D+24.36</v>
      </c>
      <c r="M82">
        <f>COUNTIF($H$31:$H$465,"&gt;"&amp;H82)+COUNTIF($H$31:H82,H82)</f>
        <v>146</v>
      </c>
      <c r="N82" s="7">
        <f t="shared" si="5"/>
        <v>24.362061855670113</v>
      </c>
      <c r="O82">
        <f>COUNTIF($N$31:$N$465,"&lt;"&amp;N82)+COUNTIF($N$31:N82,N82)</f>
        <v>232</v>
      </c>
      <c r="P82" s="10">
        <f>'HOUSE DATA'!M55</f>
        <v>13.402061855670112</v>
      </c>
      <c r="Q82" t="str">
        <f>'HOUSE DATA'!N55</f>
        <v>2024 HOUSE / prior substitute</v>
      </c>
      <c r="R82" s="10">
        <f t="shared" si="6"/>
        <v>10.96</v>
      </c>
      <c r="S82" s="10">
        <f t="shared" si="7"/>
        <v>14.960458751939374</v>
      </c>
      <c r="T82" s="10">
        <f t="shared" si="8"/>
        <v>-4.0004587519393731</v>
      </c>
      <c r="U82" t="s">
        <v>73</v>
      </c>
      <c r="W82" t="s">
        <v>74</v>
      </c>
      <c r="X82" t="s">
        <v>75</v>
      </c>
    </row>
    <row r="83" spans="1:24" x14ac:dyDescent="0.2">
      <c r="A83" t="str">
        <f>'HOUSE DATA'!A56</f>
        <v>CA-32</v>
      </c>
      <c r="B83" s="10">
        <f>'HOUSE DATA'!B56</f>
        <v>35.784781042092057</v>
      </c>
      <c r="C83" s="10">
        <f t="shared" si="0"/>
        <v>-0.29999999999999893</v>
      </c>
      <c r="D83" s="10">
        <f>2*('HOUSE DATA'!D56*('HOUSE DASHBOARD'!$B$14-42.4)+'HOUSE DATA'!E56*('HOUSE DASHBOARD'!$B$15-54.2)+'HOUSE DATA'!F56*('HOUSE DASHBOARD'!$B$16-85.4)+'HOUSE DATA'!G56*('HOUSE DASHBOARD'!$B$17-60.7)+'HOUSE DATA'!H56*('HOUSE DASHBOARD'!$B$18-53.5))/100</f>
        <v>0</v>
      </c>
      <c r="E83" s="10">
        <f>2*('HOUSE DATA'!I56*('HOUSE DASHBOARD'!$B$21-55.6)+(100-'HOUSE DATA'!I56)*('HOUSE DASHBOARD'!$B$22-44.9))/100</f>
        <v>0</v>
      </c>
      <c r="F83" s="10">
        <f>0</f>
        <v>0</v>
      </c>
      <c r="G83" s="10">
        <f t="shared" si="1"/>
        <v>0</v>
      </c>
      <c r="H83" s="2">
        <f>'HOUSE DATA'!C56+C83+G83</f>
        <v>36.733195876288654</v>
      </c>
      <c r="I83" s="3" t="str">
        <f t="shared" si="2"/>
        <v>D</v>
      </c>
      <c r="J83" s="1" t="str">
        <f>'HOUSE DATA'!K56</f>
        <v>D</v>
      </c>
      <c r="K83" s="1" t="str">
        <f t="shared" si="3"/>
        <v>—</v>
      </c>
      <c r="L83" t="str">
        <f t="shared" si="4"/>
        <v>D+36.73</v>
      </c>
      <c r="M83">
        <f>COUNTIF($H$31:$H$465,"&gt;"&amp;H83)+COUNTIF($H$31:H83,H83)</f>
        <v>96</v>
      </c>
      <c r="N83" s="7">
        <f t="shared" si="5"/>
        <v>36.733195876288654</v>
      </c>
      <c r="O83">
        <f>COUNTIF($N$31:$N$465,"&lt;"&amp;N83)+COUNTIF($N$31:N83,N83)</f>
        <v>322</v>
      </c>
      <c r="P83" s="10">
        <f>'HOUSE DATA'!M56</f>
        <v>25.773195876288653</v>
      </c>
      <c r="Q83" t="str">
        <f>'HOUSE DATA'!N56</f>
        <v>2024 HOUSE / prior substitute</v>
      </c>
      <c r="R83" s="10">
        <f t="shared" si="6"/>
        <v>10.96</v>
      </c>
      <c r="S83" s="10">
        <f t="shared" si="7"/>
        <v>10.011585165803403</v>
      </c>
      <c r="T83" s="10">
        <f t="shared" si="8"/>
        <v>0.94841483419659767</v>
      </c>
      <c r="U83" t="s">
        <v>73</v>
      </c>
      <c r="W83" t="s">
        <v>74</v>
      </c>
      <c r="X83" t="s">
        <v>75</v>
      </c>
    </row>
    <row r="84" spans="1:24" x14ac:dyDescent="0.2">
      <c r="A84" t="str">
        <f>'HOUSE DATA'!A57</f>
        <v>CA-33</v>
      </c>
      <c r="B84" s="10">
        <f>'HOUSE DATA'!B57</f>
        <v>23.290141070569394</v>
      </c>
      <c r="C84" s="10">
        <f t="shared" si="0"/>
        <v>-0.29999999999999893</v>
      </c>
      <c r="D84" s="10">
        <f>2*('HOUSE DATA'!D57*('HOUSE DASHBOARD'!$B$14-42.4)+'HOUSE DATA'!E57*('HOUSE DASHBOARD'!$B$15-54.2)+'HOUSE DATA'!F57*('HOUSE DASHBOARD'!$B$16-85.4)+'HOUSE DATA'!G57*('HOUSE DASHBOARD'!$B$17-60.7)+'HOUSE DATA'!H57*('HOUSE DASHBOARD'!$B$18-53.5))/100</f>
        <v>0</v>
      </c>
      <c r="E84" s="10">
        <f>2*('HOUSE DATA'!I57*('HOUSE DASHBOARD'!$B$21-55.6)+(100-'HOUSE DATA'!I57)*('HOUSE DASHBOARD'!$B$22-44.9))/100</f>
        <v>0</v>
      </c>
      <c r="F84" s="10">
        <f>0</f>
        <v>0</v>
      </c>
      <c r="G84" s="10">
        <f t="shared" si="1"/>
        <v>0</v>
      </c>
      <c r="H84" s="2">
        <f>'HOUSE DATA'!C57+C84+G84</f>
        <v>20.238350515463921</v>
      </c>
      <c r="I84" s="3" t="str">
        <f t="shared" si="2"/>
        <v>D</v>
      </c>
      <c r="J84" s="1" t="str">
        <f>'HOUSE DATA'!K57</f>
        <v>D</v>
      </c>
      <c r="K84" s="1" t="str">
        <f t="shared" si="3"/>
        <v>—</v>
      </c>
      <c r="L84" t="str">
        <f t="shared" si="4"/>
        <v>D+20.24</v>
      </c>
      <c r="M84">
        <f>COUNTIF($H$31:$H$465,"&gt;"&amp;H84)+COUNTIF($H$31:H84,H84)</f>
        <v>168</v>
      </c>
      <c r="N84" s="7">
        <f t="shared" si="5"/>
        <v>20.238350515463921</v>
      </c>
      <c r="O84">
        <f>COUNTIF($N$31:$N$465,"&lt;"&amp;N84)+COUNTIF($N$31:N84,N84)</f>
        <v>190</v>
      </c>
      <c r="P84" s="10">
        <f>'HOUSE DATA'!M57</f>
        <v>9.2783505154639201</v>
      </c>
      <c r="Q84" t="str">
        <f>'HOUSE DATA'!N57</f>
        <v>2024 HOUSE / prior substitute</v>
      </c>
      <c r="R84" s="10">
        <f t="shared" si="6"/>
        <v>10.96</v>
      </c>
      <c r="S84" s="10">
        <f t="shared" si="7"/>
        <v>14.011790555105474</v>
      </c>
      <c r="T84" s="10">
        <f t="shared" si="8"/>
        <v>-3.0517905551054731</v>
      </c>
      <c r="U84" t="s">
        <v>73</v>
      </c>
      <c r="W84" t="s">
        <v>74</v>
      </c>
      <c r="X84" t="s">
        <v>75</v>
      </c>
    </row>
    <row r="85" spans="1:24" x14ac:dyDescent="0.2">
      <c r="A85" t="str">
        <f>'HOUSE DATA'!A58</f>
        <v>CA-34</v>
      </c>
      <c r="B85" s="10">
        <f>'HOUSE DATA'!B58</f>
        <v>70.601501919988706</v>
      </c>
      <c r="C85" s="10">
        <f t="shared" si="0"/>
        <v>-0.29999999999999893</v>
      </c>
      <c r="D85" s="10">
        <f>2*('HOUSE DATA'!D58*('HOUSE DASHBOARD'!$B$14-42.4)+'HOUSE DATA'!E58*('HOUSE DASHBOARD'!$B$15-54.2)+'HOUSE DATA'!F58*('HOUSE DASHBOARD'!$B$16-85.4)+'HOUSE DATA'!G58*('HOUSE DASHBOARD'!$B$17-60.7)+'HOUSE DATA'!H58*('HOUSE DASHBOARD'!$B$18-53.5))/100</f>
        <v>0</v>
      </c>
      <c r="E85" s="10">
        <f>2*('HOUSE DATA'!I58*('HOUSE DASHBOARD'!$B$21-55.6)+(100-'HOUSE DATA'!I58)*('HOUSE DASHBOARD'!$B$22-44.9))/100</f>
        <v>0</v>
      </c>
      <c r="F85" s="10">
        <f>0</f>
        <v>0</v>
      </c>
      <c r="G85" s="10">
        <f t="shared" si="1"/>
        <v>0</v>
      </c>
      <c r="H85" s="2">
        <f>'HOUSE DATA'!C58+C85+G85</f>
        <v>64.644210526315788</v>
      </c>
      <c r="I85" s="3" t="str">
        <f t="shared" si="2"/>
        <v>D</v>
      </c>
      <c r="J85" s="1" t="str">
        <f>'HOUSE DATA'!K58</f>
        <v>D</v>
      </c>
      <c r="K85" s="1" t="str">
        <f t="shared" si="3"/>
        <v>—</v>
      </c>
      <c r="L85" t="str">
        <f t="shared" si="4"/>
        <v>D — BALLOT LOCK</v>
      </c>
      <c r="M85">
        <f>COUNTIF($H$31:$H$465,"&gt;"&amp;H85)+COUNTIF($H$31:H85,H85)</f>
        <v>25</v>
      </c>
      <c r="N85" s="7">
        <f t="shared" si="5"/>
        <v>100</v>
      </c>
      <c r="O85">
        <f>COUNTIF($N$31:$N$465,"&lt;"&amp;N85)+COUNTIF($N$31:N85,N85)</f>
        <v>428</v>
      </c>
      <c r="P85" s="10">
        <f>'HOUSE DATA'!M58</f>
        <v>53.684210526315795</v>
      </c>
      <c r="Q85" t="str">
        <f>'HOUSE DATA'!N58</f>
        <v>2024 HOUSE / prior substitute</v>
      </c>
      <c r="R85" s="10">
        <f t="shared" si="6"/>
        <v>10.959999999999994</v>
      </c>
      <c r="S85" s="10">
        <f t="shared" si="7"/>
        <v>16.917291393672912</v>
      </c>
      <c r="T85" s="10">
        <f t="shared" si="8"/>
        <v>-5.9572913936729179</v>
      </c>
      <c r="U85" t="s">
        <v>76</v>
      </c>
      <c r="V85" t="s">
        <v>77</v>
      </c>
      <c r="W85" t="s">
        <v>78</v>
      </c>
      <c r="X85" t="s">
        <v>79</v>
      </c>
    </row>
    <row r="86" spans="1:24" x14ac:dyDescent="0.2">
      <c r="A86" t="str">
        <f>'HOUSE DATA'!A59</f>
        <v>CA-35</v>
      </c>
      <c r="B86" s="10">
        <f>'HOUSE DATA'!B59</f>
        <v>21.558469238954601</v>
      </c>
      <c r="C86" s="10">
        <f t="shared" si="0"/>
        <v>-0.29999999999999893</v>
      </c>
      <c r="D86" s="10">
        <f>2*('HOUSE DATA'!D59*('HOUSE DASHBOARD'!$B$14-42.4)+'HOUSE DATA'!E59*('HOUSE DASHBOARD'!$B$15-54.2)+'HOUSE DATA'!F59*('HOUSE DASHBOARD'!$B$16-85.4)+'HOUSE DATA'!G59*('HOUSE DASHBOARD'!$B$17-60.7)+'HOUSE DATA'!H59*('HOUSE DASHBOARD'!$B$18-53.5))/100</f>
        <v>0</v>
      </c>
      <c r="E86" s="10">
        <f>2*('HOUSE DATA'!I59*('HOUSE DASHBOARD'!$B$21-55.6)+(100-'HOUSE DATA'!I59)*('HOUSE DASHBOARD'!$B$22-44.9))/100</f>
        <v>0</v>
      </c>
      <c r="F86" s="10">
        <f>0</f>
        <v>0</v>
      </c>
      <c r="G86" s="10">
        <f t="shared" si="1"/>
        <v>0</v>
      </c>
      <c r="H86" s="2">
        <f>'HOUSE DATA'!C59+C86+G86</f>
        <v>18.176494845360828</v>
      </c>
      <c r="I86" s="3" t="str">
        <f t="shared" si="2"/>
        <v>D</v>
      </c>
      <c r="J86" s="1" t="str">
        <f>'HOUSE DATA'!K59</f>
        <v>D</v>
      </c>
      <c r="K86" s="1" t="str">
        <f t="shared" si="3"/>
        <v>—</v>
      </c>
      <c r="L86" t="str">
        <f t="shared" si="4"/>
        <v>D+18.18</v>
      </c>
      <c r="M86">
        <f>COUNTIF($H$31:$H$465,"&gt;"&amp;H86)+COUNTIF($H$31:H86,H86)</f>
        <v>182</v>
      </c>
      <c r="N86" s="7">
        <f t="shared" si="5"/>
        <v>18.176494845360828</v>
      </c>
      <c r="O86">
        <f>COUNTIF($N$31:$N$465,"&lt;"&amp;N86)+COUNTIF($N$31:N86,N86)</f>
        <v>164</v>
      </c>
      <c r="P86" s="10">
        <f>'HOUSE DATA'!M59</f>
        <v>7.2164948453608275</v>
      </c>
      <c r="Q86" t="str">
        <f>'HOUSE DATA'!N59</f>
        <v>2024 HOUSE / prior substitute</v>
      </c>
      <c r="R86" s="10">
        <f t="shared" si="6"/>
        <v>10.96</v>
      </c>
      <c r="S86" s="10">
        <f t="shared" si="7"/>
        <v>14.341974393593773</v>
      </c>
      <c r="T86" s="10">
        <f t="shared" si="8"/>
        <v>-3.3819743935937723</v>
      </c>
      <c r="U86" t="s">
        <v>73</v>
      </c>
      <c r="W86" t="s">
        <v>74</v>
      </c>
      <c r="X86" t="s">
        <v>75</v>
      </c>
    </row>
    <row r="87" spans="1:24" x14ac:dyDescent="0.2">
      <c r="A87" t="str">
        <f>'HOUSE DATA'!A60</f>
        <v>CA-36</v>
      </c>
      <c r="B87" s="10">
        <f>'HOUSE DATA'!B60</f>
        <v>49.977790631419943</v>
      </c>
      <c r="C87" s="10">
        <f t="shared" si="0"/>
        <v>-0.29999999999999893</v>
      </c>
      <c r="D87" s="10">
        <f>2*('HOUSE DATA'!D60*('HOUSE DASHBOARD'!$B$14-42.4)+'HOUSE DATA'!E60*('HOUSE DASHBOARD'!$B$15-54.2)+'HOUSE DATA'!F60*('HOUSE DASHBOARD'!$B$16-85.4)+'HOUSE DATA'!G60*('HOUSE DASHBOARD'!$B$17-60.7)+'HOUSE DATA'!H60*('HOUSE DASHBOARD'!$B$18-53.5))/100</f>
        <v>0</v>
      </c>
      <c r="E87" s="10">
        <f>2*('HOUSE DATA'!I60*('HOUSE DASHBOARD'!$B$21-55.6)+(100-'HOUSE DATA'!I60)*('HOUSE DASHBOARD'!$B$22-44.9))/100</f>
        <v>0</v>
      </c>
      <c r="F87" s="10">
        <f>0</f>
        <v>0</v>
      </c>
      <c r="G87" s="10">
        <f t="shared" si="1"/>
        <v>0</v>
      </c>
      <c r="H87" s="2">
        <f>'HOUSE DATA'!C60+C87+G87</f>
        <v>51.166185567010317</v>
      </c>
      <c r="I87" s="3" t="str">
        <f t="shared" si="2"/>
        <v>D</v>
      </c>
      <c r="J87" s="1" t="str">
        <f>'HOUSE DATA'!K60</f>
        <v>D</v>
      </c>
      <c r="K87" s="1" t="str">
        <f t="shared" si="3"/>
        <v>—</v>
      </c>
      <c r="L87" t="str">
        <f t="shared" si="4"/>
        <v>D+51.17</v>
      </c>
      <c r="M87">
        <f>COUNTIF($H$31:$H$465,"&gt;"&amp;H87)+COUNTIF($H$31:H87,H87)</f>
        <v>58</v>
      </c>
      <c r="N87" s="7">
        <f t="shared" si="5"/>
        <v>51.166185567010317</v>
      </c>
      <c r="O87">
        <f>COUNTIF($N$31:$N$465,"&lt;"&amp;N87)+COUNTIF($N$31:N87,N87)</f>
        <v>369</v>
      </c>
      <c r="P87" s="10">
        <f>'HOUSE DATA'!M60</f>
        <v>40.206185567010316</v>
      </c>
      <c r="Q87" t="str">
        <f>'HOUSE DATA'!N60</f>
        <v>2024 HOUSE / prior substitute</v>
      </c>
      <c r="R87" s="10">
        <f t="shared" si="6"/>
        <v>10.96</v>
      </c>
      <c r="S87" s="10">
        <f t="shared" si="7"/>
        <v>9.7716050644096271</v>
      </c>
      <c r="T87" s="10">
        <f t="shared" si="8"/>
        <v>1.1883949355903738</v>
      </c>
      <c r="U87" t="s">
        <v>73</v>
      </c>
      <c r="W87" t="s">
        <v>74</v>
      </c>
      <c r="X87" t="s">
        <v>75</v>
      </c>
    </row>
    <row r="88" spans="1:24" x14ac:dyDescent="0.2">
      <c r="A88" t="str">
        <f>'HOUSE DATA'!A61</f>
        <v>CA-37</v>
      </c>
      <c r="B88" s="10">
        <f>'HOUSE DATA'!B61</f>
        <v>77.831050609157316</v>
      </c>
      <c r="C88" s="10">
        <f t="shared" si="0"/>
        <v>-0.29999999999999893</v>
      </c>
      <c r="D88" s="10">
        <f>2*('HOUSE DATA'!D61*('HOUSE DASHBOARD'!$B$14-42.4)+'HOUSE DATA'!E61*('HOUSE DASHBOARD'!$B$15-54.2)+'HOUSE DATA'!F61*('HOUSE DASHBOARD'!$B$16-85.4)+'HOUSE DATA'!G61*('HOUSE DASHBOARD'!$B$17-60.7)+'HOUSE DATA'!H61*('HOUSE DASHBOARD'!$B$18-53.5))/100</f>
        <v>0</v>
      </c>
      <c r="E88" s="10">
        <f>2*('HOUSE DATA'!I61*('HOUSE DASHBOARD'!$B$21-55.6)+(100-'HOUSE DATA'!I61)*('HOUSE DASHBOARD'!$B$22-44.9))/100</f>
        <v>0</v>
      </c>
      <c r="F88" s="10">
        <f>0</f>
        <v>0</v>
      </c>
      <c r="G88" s="10">
        <f t="shared" si="1"/>
        <v>0</v>
      </c>
      <c r="H88" s="2">
        <f>'HOUSE DATA'!C61+C88+G88</f>
        <v>73.846597938144328</v>
      </c>
      <c r="I88" s="3" t="str">
        <f t="shared" si="2"/>
        <v>D</v>
      </c>
      <c r="J88" s="1" t="str">
        <f>'HOUSE DATA'!K61</f>
        <v>D</v>
      </c>
      <c r="K88" s="1" t="str">
        <f t="shared" si="3"/>
        <v>—</v>
      </c>
      <c r="L88" t="str">
        <f t="shared" si="4"/>
        <v>D — BALLOT LOCK</v>
      </c>
      <c r="M88">
        <f>COUNTIF($H$31:$H$465,"&gt;"&amp;H88)+COUNTIF($H$31:H88,H88)</f>
        <v>11</v>
      </c>
      <c r="N88" s="7">
        <f t="shared" si="5"/>
        <v>100</v>
      </c>
      <c r="O88">
        <f>COUNTIF($N$31:$N$465,"&lt;"&amp;N88)+COUNTIF($N$31:N88,N88)</f>
        <v>429</v>
      </c>
      <c r="P88" s="10">
        <f>'HOUSE DATA'!M61</f>
        <v>62.886597938144334</v>
      </c>
      <c r="Q88" t="str">
        <f>'HOUSE DATA'!N61</f>
        <v>2024 HOUSE / prior substitute</v>
      </c>
      <c r="R88" s="10">
        <f t="shared" si="6"/>
        <v>10.959999999999994</v>
      </c>
      <c r="S88" s="10">
        <f t="shared" si="7"/>
        <v>14.944452671012982</v>
      </c>
      <c r="T88" s="10">
        <f t="shared" si="8"/>
        <v>-3.9844526710129884</v>
      </c>
      <c r="U88" t="s">
        <v>76</v>
      </c>
      <c r="V88" t="s">
        <v>77</v>
      </c>
      <c r="W88" t="s">
        <v>78</v>
      </c>
      <c r="X88" t="s">
        <v>79</v>
      </c>
    </row>
    <row r="89" spans="1:24" x14ac:dyDescent="0.2">
      <c r="A89" t="str">
        <f>'HOUSE DATA'!A62</f>
        <v>CA-38</v>
      </c>
      <c r="B89" s="10">
        <f>'HOUSE DATA'!B62</f>
        <v>27.888765969528126</v>
      </c>
      <c r="C89" s="10">
        <f t="shared" si="0"/>
        <v>-0.29999999999999893</v>
      </c>
      <c r="D89" s="10">
        <f>2*('HOUSE DATA'!D62*('HOUSE DASHBOARD'!$B$14-42.4)+'HOUSE DATA'!E62*('HOUSE DASHBOARD'!$B$15-54.2)+'HOUSE DATA'!F62*('HOUSE DASHBOARD'!$B$16-85.4)+'HOUSE DATA'!G62*('HOUSE DASHBOARD'!$B$17-60.7)+'HOUSE DATA'!H62*('HOUSE DASHBOARD'!$B$18-53.5))/100</f>
        <v>0</v>
      </c>
      <c r="E89" s="10">
        <f>2*('HOUSE DATA'!I62*('HOUSE DASHBOARD'!$B$21-55.6)+(100-'HOUSE DATA'!I62)*('HOUSE DASHBOARD'!$B$22-44.9))/100</f>
        <v>0</v>
      </c>
      <c r="F89" s="10">
        <f>0</f>
        <v>0</v>
      </c>
      <c r="G89" s="10">
        <f t="shared" si="1"/>
        <v>0</v>
      </c>
      <c r="H89" s="2">
        <f>'HOUSE DATA'!C62+C89+G89</f>
        <v>24.362061855670113</v>
      </c>
      <c r="I89" s="3" t="str">
        <f t="shared" si="2"/>
        <v>D</v>
      </c>
      <c r="J89" s="1" t="str">
        <f>'HOUSE DATA'!K62</f>
        <v>D</v>
      </c>
      <c r="K89" s="1" t="str">
        <f t="shared" si="3"/>
        <v>—</v>
      </c>
      <c r="L89" t="str">
        <f t="shared" si="4"/>
        <v>D+24.36</v>
      </c>
      <c r="M89">
        <f>COUNTIF($H$31:$H$465,"&gt;"&amp;H89)+COUNTIF($H$31:H89,H89)</f>
        <v>147</v>
      </c>
      <c r="N89" s="7">
        <f t="shared" si="5"/>
        <v>24.362061855670113</v>
      </c>
      <c r="O89">
        <f>COUNTIF($N$31:$N$465,"&lt;"&amp;N89)+COUNTIF($N$31:N89,N89)</f>
        <v>233</v>
      </c>
      <c r="P89" s="10">
        <f>'HOUSE DATA'!M62</f>
        <v>13.402061855670112</v>
      </c>
      <c r="Q89" t="str">
        <f>'HOUSE DATA'!N62</f>
        <v>2024 HOUSE / prior substitute</v>
      </c>
      <c r="R89" s="10">
        <f t="shared" si="6"/>
        <v>10.96</v>
      </c>
      <c r="S89" s="10">
        <f t="shared" si="7"/>
        <v>14.486704113858014</v>
      </c>
      <c r="T89" s="10">
        <f t="shared" si="8"/>
        <v>-3.5267041138580133</v>
      </c>
      <c r="U89" t="s">
        <v>73</v>
      </c>
      <c r="W89" t="s">
        <v>74</v>
      </c>
      <c r="X89" t="s">
        <v>75</v>
      </c>
    </row>
    <row r="90" spans="1:24" x14ac:dyDescent="0.2">
      <c r="A90" t="str">
        <f>'HOUSE DATA'!A63</f>
        <v>CA-39</v>
      </c>
      <c r="B90" s="10">
        <f>'HOUSE DATA'!B63</f>
        <v>23.037752380433314</v>
      </c>
      <c r="C90" s="10">
        <f t="shared" si="0"/>
        <v>-0.29999999999999893</v>
      </c>
      <c r="D90" s="10">
        <f>2*('HOUSE DATA'!D63*('HOUSE DASHBOARD'!$B$14-42.4)+'HOUSE DATA'!E63*('HOUSE DASHBOARD'!$B$15-54.2)+'HOUSE DATA'!F63*('HOUSE DASHBOARD'!$B$16-85.4)+'HOUSE DATA'!G63*('HOUSE DASHBOARD'!$B$17-60.7)+'HOUSE DATA'!H63*('HOUSE DASHBOARD'!$B$18-53.5))/100</f>
        <v>0</v>
      </c>
      <c r="E90" s="10">
        <f>2*('HOUSE DATA'!I63*('HOUSE DASHBOARD'!$B$21-55.6)+(100-'HOUSE DATA'!I63)*('HOUSE DASHBOARD'!$B$22-44.9))/100</f>
        <v>0</v>
      </c>
      <c r="F90" s="10">
        <f>0</f>
        <v>0</v>
      </c>
      <c r="G90" s="10">
        <f t="shared" si="1"/>
        <v>0</v>
      </c>
      <c r="H90" s="2">
        <f>'HOUSE DATA'!C63+C90+G90</f>
        <v>20.238350515463921</v>
      </c>
      <c r="I90" s="3" t="str">
        <f t="shared" si="2"/>
        <v>D</v>
      </c>
      <c r="J90" s="1" t="str">
        <f>'HOUSE DATA'!K63</f>
        <v>D</v>
      </c>
      <c r="K90" s="1" t="str">
        <f t="shared" si="3"/>
        <v>—</v>
      </c>
      <c r="L90" t="str">
        <f t="shared" si="4"/>
        <v>D+20.24</v>
      </c>
      <c r="M90">
        <f>COUNTIF($H$31:$H$465,"&gt;"&amp;H90)+COUNTIF($H$31:H90,H90)</f>
        <v>169</v>
      </c>
      <c r="N90" s="7">
        <f t="shared" si="5"/>
        <v>20.238350515463921</v>
      </c>
      <c r="O90">
        <f>COUNTIF($N$31:$N$465,"&lt;"&amp;N90)+COUNTIF($N$31:N90,N90)</f>
        <v>191</v>
      </c>
      <c r="P90" s="10">
        <f>'HOUSE DATA'!M63</f>
        <v>9.2783505154639201</v>
      </c>
      <c r="Q90" t="str">
        <f>'HOUSE DATA'!N63</f>
        <v>2024 HOUSE / prior substitute</v>
      </c>
      <c r="R90" s="10">
        <f t="shared" si="6"/>
        <v>10.96</v>
      </c>
      <c r="S90" s="10">
        <f t="shared" si="7"/>
        <v>13.759401864969394</v>
      </c>
      <c r="T90" s="10">
        <f t="shared" si="8"/>
        <v>-2.7994018649693935</v>
      </c>
      <c r="U90" t="s">
        <v>73</v>
      </c>
      <c r="W90" t="s">
        <v>74</v>
      </c>
      <c r="X90" t="s">
        <v>75</v>
      </c>
    </row>
    <row r="91" spans="1:24" x14ac:dyDescent="0.2">
      <c r="A91" t="str">
        <f>'HOUSE DATA'!A64</f>
        <v>CA-40</v>
      </c>
      <c r="B91" s="10">
        <f>'HOUSE DATA'!B64</f>
        <v>-2.8241294071842082</v>
      </c>
      <c r="C91" s="10">
        <f t="shared" si="0"/>
        <v>-0.29999999999999893</v>
      </c>
      <c r="D91" s="10">
        <f>2*('HOUSE DATA'!D64*('HOUSE DASHBOARD'!$B$14-42.4)+'HOUSE DATA'!E64*('HOUSE DASHBOARD'!$B$15-54.2)+'HOUSE DATA'!F64*('HOUSE DASHBOARD'!$B$16-85.4)+'HOUSE DATA'!G64*('HOUSE DASHBOARD'!$B$17-60.7)+'HOUSE DATA'!H64*('HOUSE DASHBOARD'!$B$18-53.5))/100</f>
        <v>0</v>
      </c>
      <c r="E91" s="10">
        <f>2*('HOUSE DATA'!I64*('HOUSE DASHBOARD'!$B$21-55.6)+(100-'HOUSE DATA'!I64)*('HOUSE DASHBOARD'!$B$22-44.9))/100</f>
        <v>0</v>
      </c>
      <c r="F91" s="10">
        <f>0</f>
        <v>0</v>
      </c>
      <c r="G91" s="10">
        <f t="shared" si="1"/>
        <v>0</v>
      </c>
      <c r="H91" s="2">
        <f>'HOUSE DATA'!C64+C91+G91</f>
        <v>-2.4420618556701115</v>
      </c>
      <c r="I91" s="3" t="str">
        <f t="shared" si="2"/>
        <v>R</v>
      </c>
      <c r="J91" s="1" t="str">
        <f>'HOUSE DATA'!K64</f>
        <v>R</v>
      </c>
      <c r="K91" s="1" t="str">
        <f t="shared" si="3"/>
        <v>—</v>
      </c>
      <c r="L91" t="str">
        <f t="shared" si="4"/>
        <v>R — BALLOT LOCK</v>
      </c>
      <c r="M91">
        <f>COUNTIF($H$31:$H$465,"&gt;"&amp;H91)+COUNTIF($H$31:H91,H91)</f>
        <v>252</v>
      </c>
      <c r="N91" s="7">
        <f t="shared" si="5"/>
        <v>100</v>
      </c>
      <c r="O91">
        <f>COUNTIF($N$31:$N$465,"&lt;"&amp;N91)+COUNTIF($N$31:N91,N91)</f>
        <v>430</v>
      </c>
      <c r="P91" s="10">
        <f>'HOUSE DATA'!M64</f>
        <v>-13.402061855670112</v>
      </c>
      <c r="Q91" t="str">
        <f>'HOUSE DATA'!N64</f>
        <v>2024 HOUSE / prior substitute</v>
      </c>
      <c r="R91" s="10">
        <f t="shared" si="6"/>
        <v>10.96</v>
      </c>
      <c r="S91" s="10">
        <f t="shared" si="7"/>
        <v>10.577932448485903</v>
      </c>
      <c r="T91" s="10">
        <f t="shared" si="8"/>
        <v>0.38206755151409677</v>
      </c>
      <c r="U91" t="s">
        <v>80</v>
      </c>
      <c r="V91" t="s">
        <v>81</v>
      </c>
      <c r="W91" t="s">
        <v>82</v>
      </c>
      <c r="X91" t="s">
        <v>83</v>
      </c>
    </row>
    <row r="92" spans="1:24" x14ac:dyDescent="0.2">
      <c r="A92" t="str">
        <f>'HOUSE DATA'!A65</f>
        <v>CA-41</v>
      </c>
      <c r="B92" s="10">
        <f>'HOUSE DATA'!B65</f>
        <v>26.281904013501869</v>
      </c>
      <c r="C92" s="10">
        <f t="shared" si="0"/>
        <v>-0.29999999999999893</v>
      </c>
      <c r="D92" s="10">
        <f>2*('HOUSE DATA'!D65*('HOUSE DASHBOARD'!$B$14-42.4)+'HOUSE DATA'!E65*('HOUSE DASHBOARD'!$B$15-54.2)+'HOUSE DATA'!F65*('HOUSE DASHBOARD'!$B$16-85.4)+'HOUSE DATA'!G65*('HOUSE DASHBOARD'!$B$17-60.7)+'HOUSE DATA'!H65*('HOUSE DASHBOARD'!$B$18-53.5))/100</f>
        <v>0</v>
      </c>
      <c r="E92" s="10">
        <f>2*('HOUSE DATA'!I65*('HOUSE DASHBOARD'!$B$21-55.6)+(100-'HOUSE DATA'!I65)*('HOUSE DASHBOARD'!$B$22-44.9))/100</f>
        <v>0</v>
      </c>
      <c r="F92" s="10">
        <f>0</f>
        <v>0</v>
      </c>
      <c r="G92" s="10">
        <f t="shared" si="1"/>
        <v>0</v>
      </c>
      <c r="H92" s="2">
        <f>'HOUSE DATA'!C65+C92+G92</f>
        <v>26.423917525773206</v>
      </c>
      <c r="I92" s="3" t="str">
        <f t="shared" si="2"/>
        <v>D</v>
      </c>
      <c r="J92" s="1" t="str">
        <f>'HOUSE DATA'!K65</f>
        <v>R</v>
      </c>
      <c r="K92" s="1" t="str">
        <f t="shared" si="3"/>
        <v>R → D</v>
      </c>
      <c r="L92" t="str">
        <f t="shared" si="4"/>
        <v>D+26.42</v>
      </c>
      <c r="M92">
        <f>COUNTIF($H$31:$H$465,"&gt;"&amp;H92)+COUNTIF($H$31:H92,H92)</f>
        <v>138</v>
      </c>
      <c r="N92" s="7">
        <f t="shared" si="5"/>
        <v>26.423917525773206</v>
      </c>
      <c r="O92">
        <f>COUNTIF($N$31:$N$465,"&lt;"&amp;N92)+COUNTIF($N$31:N92,N92)</f>
        <v>247</v>
      </c>
      <c r="P92" s="10">
        <f>'HOUSE DATA'!M65</f>
        <v>15.463917525773205</v>
      </c>
      <c r="Q92" t="str">
        <f>'HOUSE DATA'!N65</f>
        <v>2024 HOUSE / prior substitute</v>
      </c>
      <c r="R92" s="10">
        <f t="shared" si="6"/>
        <v>10.96</v>
      </c>
      <c r="S92" s="10">
        <f t="shared" si="7"/>
        <v>10.817986487728664</v>
      </c>
      <c r="T92" s="10">
        <f t="shared" si="8"/>
        <v>0.14201351227133685</v>
      </c>
      <c r="U92" t="s">
        <v>73</v>
      </c>
      <c r="W92" t="s">
        <v>74</v>
      </c>
      <c r="X92" t="s">
        <v>75</v>
      </c>
    </row>
    <row r="93" spans="1:24" x14ac:dyDescent="0.2">
      <c r="A93" t="str">
        <f>'HOUSE DATA'!A66</f>
        <v>CA-42</v>
      </c>
      <c r="B93" s="10">
        <f>'HOUSE DATA'!B66</f>
        <v>28.180701128457734</v>
      </c>
      <c r="C93" s="10">
        <f t="shared" si="0"/>
        <v>-0.29999999999999893</v>
      </c>
      <c r="D93" s="10">
        <f>2*('HOUSE DATA'!D66*('HOUSE DASHBOARD'!$B$14-42.4)+'HOUSE DATA'!E66*('HOUSE DASHBOARD'!$B$15-54.2)+'HOUSE DATA'!F66*('HOUSE DASHBOARD'!$B$16-85.4)+'HOUSE DATA'!G66*('HOUSE DASHBOARD'!$B$17-60.7)+'HOUSE DATA'!H66*('HOUSE DASHBOARD'!$B$18-53.5))/100</f>
        <v>0</v>
      </c>
      <c r="E93" s="10">
        <f>2*('HOUSE DATA'!I66*('HOUSE DASHBOARD'!$B$21-55.6)+(100-'HOUSE DATA'!I66)*('HOUSE DASHBOARD'!$B$22-44.9))/100</f>
        <v>0</v>
      </c>
      <c r="F93" s="10">
        <f>0</f>
        <v>0</v>
      </c>
      <c r="G93" s="10">
        <f t="shared" si="1"/>
        <v>0</v>
      </c>
      <c r="H93" s="2">
        <f>'HOUSE DATA'!C66+C93+G93</f>
        <v>24.362061855670113</v>
      </c>
      <c r="I93" s="3" t="str">
        <f t="shared" si="2"/>
        <v>D</v>
      </c>
      <c r="J93" s="1" t="str">
        <f>'HOUSE DATA'!K66</f>
        <v>D</v>
      </c>
      <c r="K93" s="1" t="str">
        <f t="shared" si="3"/>
        <v>—</v>
      </c>
      <c r="L93" t="str">
        <f t="shared" si="4"/>
        <v>D+24.36</v>
      </c>
      <c r="M93">
        <f>COUNTIF($H$31:$H$465,"&gt;"&amp;H93)+COUNTIF($H$31:H93,H93)</f>
        <v>148</v>
      </c>
      <c r="N93" s="7">
        <f t="shared" si="5"/>
        <v>24.362061855670113</v>
      </c>
      <c r="O93">
        <f>COUNTIF($N$31:$N$465,"&lt;"&amp;N93)+COUNTIF($N$31:N93,N93)</f>
        <v>234</v>
      </c>
      <c r="P93" s="10">
        <f>'HOUSE DATA'!M66</f>
        <v>13.402061855670112</v>
      </c>
      <c r="Q93" t="str">
        <f>'HOUSE DATA'!N66</f>
        <v>2024 HOUSE / prior substitute</v>
      </c>
      <c r="R93" s="10">
        <f t="shared" si="6"/>
        <v>10.96</v>
      </c>
      <c r="S93" s="10">
        <f t="shared" si="7"/>
        <v>14.778639272787622</v>
      </c>
      <c r="T93" s="10">
        <f t="shared" si="8"/>
        <v>-3.8186392727876211</v>
      </c>
      <c r="U93" t="s">
        <v>73</v>
      </c>
      <c r="W93" t="s">
        <v>74</v>
      </c>
      <c r="X93" t="s">
        <v>75</v>
      </c>
    </row>
    <row r="94" spans="1:24" x14ac:dyDescent="0.2">
      <c r="A94" t="str">
        <f>'HOUSE DATA'!A67</f>
        <v>CA-43</v>
      </c>
      <c r="B94" s="10">
        <f>'HOUSE DATA'!B67</f>
        <v>66.068776561397698</v>
      </c>
      <c r="C94" s="10">
        <f t="shared" si="0"/>
        <v>-0.29999999999999893</v>
      </c>
      <c r="D94" s="10">
        <f>2*('HOUSE DATA'!D67*('HOUSE DASHBOARD'!$B$14-42.4)+'HOUSE DATA'!E67*('HOUSE DASHBOARD'!$B$15-54.2)+'HOUSE DATA'!F67*('HOUSE DASHBOARD'!$B$16-85.4)+'HOUSE DATA'!G67*('HOUSE DASHBOARD'!$B$17-60.7)+'HOUSE DATA'!H67*('HOUSE DASHBOARD'!$B$18-53.5))/100</f>
        <v>0</v>
      </c>
      <c r="E94" s="10">
        <f>2*('HOUSE DATA'!I67*('HOUSE DASHBOARD'!$B$21-55.6)+(100-'HOUSE DATA'!I67)*('HOUSE DASHBOARD'!$B$22-44.9))/100</f>
        <v>0</v>
      </c>
      <c r="F94" s="10">
        <f>0</f>
        <v>0</v>
      </c>
      <c r="G94" s="10">
        <f t="shared" si="1"/>
        <v>0</v>
      </c>
      <c r="H94" s="2">
        <f>'HOUSE DATA'!C67+C94+G94</f>
        <v>61.475463917525779</v>
      </c>
      <c r="I94" s="3" t="str">
        <f t="shared" si="2"/>
        <v>D</v>
      </c>
      <c r="J94" s="1" t="str">
        <f>'HOUSE DATA'!K67</f>
        <v>D</v>
      </c>
      <c r="K94" s="1" t="str">
        <f t="shared" si="3"/>
        <v>—</v>
      </c>
      <c r="L94" t="str">
        <f t="shared" si="4"/>
        <v>D+61.48</v>
      </c>
      <c r="M94">
        <f>COUNTIF($H$31:$H$465,"&gt;"&amp;H94)+COUNTIF($H$31:H94,H94)</f>
        <v>28</v>
      </c>
      <c r="N94" s="7">
        <f t="shared" si="5"/>
        <v>61.475463917525779</v>
      </c>
      <c r="O94">
        <f>COUNTIF($N$31:$N$465,"&lt;"&amp;N94)+COUNTIF($N$31:N94,N94)</f>
        <v>399</v>
      </c>
      <c r="P94" s="10">
        <f>'HOUSE DATA'!M67</f>
        <v>50.515463917525778</v>
      </c>
      <c r="Q94" t="str">
        <f>'HOUSE DATA'!N67</f>
        <v>2024 HOUSE / prior substitute</v>
      </c>
      <c r="R94" s="10">
        <f t="shared" si="6"/>
        <v>10.96</v>
      </c>
      <c r="S94" s="10">
        <f t="shared" si="7"/>
        <v>15.553312643871919</v>
      </c>
      <c r="T94" s="10">
        <f t="shared" si="8"/>
        <v>-4.5933126438719185</v>
      </c>
      <c r="U94" t="s">
        <v>73</v>
      </c>
      <c r="W94" t="s">
        <v>74</v>
      </c>
      <c r="X94" t="s">
        <v>75</v>
      </c>
    </row>
    <row r="95" spans="1:24" x14ac:dyDescent="0.2">
      <c r="A95" t="str">
        <f>'HOUSE DATA'!A68</f>
        <v>CA-44</v>
      </c>
      <c r="B95" s="10">
        <f>'HOUSE DATA'!B68</f>
        <v>50.921047850559255</v>
      </c>
      <c r="C95" s="10">
        <f t="shared" ref="C95:C158" si="9">$D$5</f>
        <v>-0.29999999999999893</v>
      </c>
      <c r="D95" s="10">
        <f>2*('HOUSE DATA'!D68*('HOUSE DASHBOARD'!$B$14-42.4)+'HOUSE DATA'!E68*('HOUSE DASHBOARD'!$B$15-54.2)+'HOUSE DATA'!F68*('HOUSE DASHBOARD'!$B$16-85.4)+'HOUSE DATA'!G68*('HOUSE DASHBOARD'!$B$17-60.7)+'HOUSE DATA'!H68*('HOUSE DASHBOARD'!$B$18-53.5))/100</f>
        <v>0</v>
      </c>
      <c r="E95" s="10">
        <f>2*('HOUSE DATA'!I68*('HOUSE DASHBOARD'!$B$21-55.6)+(100-'HOUSE DATA'!I68)*('HOUSE DASHBOARD'!$B$22-44.9))/100</f>
        <v>0</v>
      </c>
      <c r="F95" s="10">
        <f>0</f>
        <v>0</v>
      </c>
      <c r="G95" s="10">
        <f t="shared" ref="G95:G158" si="10">(D95+E95)/2</f>
        <v>0</v>
      </c>
      <c r="H95" s="2">
        <f>'HOUSE DATA'!C68+C95+G95</f>
        <v>47.042474226804124</v>
      </c>
      <c r="I95" s="3" t="str">
        <f t="shared" ref="I95:I158" si="11">IF(V95="D","D",IF(V95="R","R",IF(H95&gt;=0,"D","R")))</f>
        <v>D</v>
      </c>
      <c r="J95" s="1" t="str">
        <f>'HOUSE DATA'!K68</f>
        <v>D</v>
      </c>
      <c r="K95" s="1" t="str">
        <f t="shared" ref="K95:K158" si="12">IF(I95=J95,"—",J95&amp;" → "&amp;I95)</f>
        <v>—</v>
      </c>
      <c r="L95" t="str">
        <f t="shared" ref="L95:L158" si="13">IF(V95="D","D — BALLOT LOCK",IF(V95="R","R — BALLOT LOCK",IF(H95&gt;=0,"D+"&amp;TEXT(H95,"0.00"),"R+"&amp;TEXT(-H95,"0.00"))))</f>
        <v>D+47.04</v>
      </c>
      <c r="M95">
        <f>COUNTIF($H$31:$H$465,"&gt;"&amp;H95)+COUNTIF($H$31:H95,H95)</f>
        <v>67</v>
      </c>
      <c r="N95" s="7">
        <f t="shared" ref="N95:N158" si="14">IF(V95&lt;&gt;"",100,ABS(H95))</f>
        <v>47.042474226804124</v>
      </c>
      <c r="O95">
        <f>COUNTIF($N$31:$N$465,"&lt;"&amp;N95)+COUNTIF($N$31:N95,N95)</f>
        <v>358</v>
      </c>
      <c r="P95" s="10">
        <f>'HOUSE DATA'!M68</f>
        <v>36.082474226804123</v>
      </c>
      <c r="Q95" t="str">
        <f>'HOUSE DATA'!N68</f>
        <v>2024 HOUSE / prior substitute</v>
      </c>
      <c r="R95" s="10">
        <f t="shared" ref="R95:R158" si="15">H95-P95</f>
        <v>10.96</v>
      </c>
      <c r="S95" s="10">
        <f t="shared" ref="S95:S158" si="16">B95-P95</f>
        <v>14.838573623755131</v>
      </c>
      <c r="T95" s="10">
        <f t="shared" ref="T95:T158" si="17">H95-B95</f>
        <v>-3.8785736237551305</v>
      </c>
      <c r="U95" t="s">
        <v>73</v>
      </c>
      <c r="W95" t="s">
        <v>74</v>
      </c>
      <c r="X95" t="s">
        <v>75</v>
      </c>
    </row>
    <row r="96" spans="1:24" x14ac:dyDescent="0.2">
      <c r="A96" t="str">
        <f>'HOUSE DATA'!A69</f>
        <v>CA-45</v>
      </c>
      <c r="B96" s="10">
        <f>'HOUSE DATA'!B69</f>
        <v>17.502492104787212</v>
      </c>
      <c r="C96" s="10">
        <f t="shared" si="9"/>
        <v>-0.29999999999999893</v>
      </c>
      <c r="D96" s="10">
        <f>2*('HOUSE DATA'!D69*('HOUSE DASHBOARD'!$B$14-42.4)+'HOUSE DATA'!E69*('HOUSE DASHBOARD'!$B$15-54.2)+'HOUSE DATA'!F69*('HOUSE DASHBOARD'!$B$16-85.4)+'HOUSE DATA'!G69*('HOUSE DASHBOARD'!$B$17-60.7)+'HOUSE DATA'!H69*('HOUSE DASHBOARD'!$B$18-53.5))/100</f>
        <v>0</v>
      </c>
      <c r="E96" s="10">
        <f>2*('HOUSE DATA'!I69*('HOUSE DASHBOARD'!$B$21-55.6)+(100-'HOUSE DATA'!I69)*('HOUSE DASHBOARD'!$B$22-44.9))/100</f>
        <v>0</v>
      </c>
      <c r="F96" s="10">
        <f>0</f>
        <v>0</v>
      </c>
      <c r="G96" s="10">
        <f t="shared" si="10"/>
        <v>0</v>
      </c>
      <c r="H96" s="2">
        <f>'HOUSE DATA'!C69+C96+G96</f>
        <v>15.041632653061235</v>
      </c>
      <c r="I96" s="3" t="str">
        <f t="shared" si="11"/>
        <v>D</v>
      </c>
      <c r="J96" s="1" t="str">
        <f>'HOUSE DATA'!K69</f>
        <v>D</v>
      </c>
      <c r="K96" s="1" t="str">
        <f t="shared" si="12"/>
        <v>—</v>
      </c>
      <c r="L96" t="str">
        <f t="shared" si="13"/>
        <v>D+15.04</v>
      </c>
      <c r="M96">
        <f>COUNTIF($H$31:$H$465,"&gt;"&amp;H96)+COUNTIF($H$31:H96,H96)</f>
        <v>198</v>
      </c>
      <c r="N96" s="7">
        <f t="shared" si="14"/>
        <v>15.041632653061235</v>
      </c>
      <c r="O96">
        <f>COUNTIF($N$31:$N$465,"&lt;"&amp;N96)+COUNTIF($N$31:N96,N96)</f>
        <v>134</v>
      </c>
      <c r="P96" s="10">
        <f>'HOUSE DATA'!M69</f>
        <v>4.0816326530612344</v>
      </c>
      <c r="Q96" t="str">
        <f>'HOUSE DATA'!N69</f>
        <v>2024 HOUSE / prior substitute</v>
      </c>
      <c r="R96" s="10">
        <f t="shared" si="15"/>
        <v>10.96</v>
      </c>
      <c r="S96" s="10">
        <f t="shared" si="16"/>
        <v>13.420859451725978</v>
      </c>
      <c r="T96" s="10">
        <f t="shared" si="17"/>
        <v>-2.4608594517259768</v>
      </c>
      <c r="U96" t="s">
        <v>73</v>
      </c>
      <c r="W96" t="s">
        <v>74</v>
      </c>
      <c r="X96" t="s">
        <v>75</v>
      </c>
    </row>
    <row r="97" spans="1:24" x14ac:dyDescent="0.2">
      <c r="A97" t="str">
        <f>'HOUSE DATA'!A70</f>
        <v>CA-46</v>
      </c>
      <c r="B97" s="10">
        <f>'HOUSE DATA'!B70</f>
        <v>32.610838257535335</v>
      </c>
      <c r="C97" s="10">
        <f t="shared" si="9"/>
        <v>-0.29999999999999893</v>
      </c>
      <c r="D97" s="10">
        <f>2*('HOUSE DATA'!D70*('HOUSE DASHBOARD'!$B$14-42.4)+'HOUSE DATA'!E70*('HOUSE DASHBOARD'!$B$15-54.2)+'HOUSE DATA'!F70*('HOUSE DASHBOARD'!$B$16-85.4)+'HOUSE DATA'!G70*('HOUSE DASHBOARD'!$B$17-60.7)+'HOUSE DATA'!H70*('HOUSE DASHBOARD'!$B$18-53.5))/100</f>
        <v>0</v>
      </c>
      <c r="E97" s="10">
        <f>2*('HOUSE DATA'!I70*('HOUSE DASHBOARD'!$B$21-55.6)+(100-'HOUSE DATA'!I70)*('HOUSE DASHBOARD'!$B$22-44.9))/100</f>
        <v>0</v>
      </c>
      <c r="F97" s="10">
        <f>0</f>
        <v>0</v>
      </c>
      <c r="G97" s="10">
        <f t="shared" si="10"/>
        <v>0</v>
      </c>
      <c r="H97" s="2">
        <f>'HOUSE DATA'!C70+C97+G97</f>
        <v>28.485773195876277</v>
      </c>
      <c r="I97" s="3" t="str">
        <f t="shared" si="11"/>
        <v>D</v>
      </c>
      <c r="J97" s="1" t="str">
        <f>'HOUSE DATA'!K70</f>
        <v>D</v>
      </c>
      <c r="K97" s="1" t="str">
        <f t="shared" si="12"/>
        <v>—</v>
      </c>
      <c r="L97" t="str">
        <f t="shared" si="13"/>
        <v>D+28.49</v>
      </c>
      <c r="M97">
        <f>COUNTIF($H$31:$H$465,"&gt;"&amp;H97)+COUNTIF($H$31:H97,H97)</f>
        <v>126</v>
      </c>
      <c r="N97" s="7">
        <f t="shared" si="14"/>
        <v>28.485773195876277</v>
      </c>
      <c r="O97">
        <f>COUNTIF($N$31:$N$465,"&lt;"&amp;N97)+COUNTIF($N$31:N97,N97)</f>
        <v>265</v>
      </c>
      <c r="P97" s="10">
        <f>'HOUSE DATA'!M70</f>
        <v>17.525773195876276</v>
      </c>
      <c r="Q97" t="str">
        <f>'HOUSE DATA'!N70</f>
        <v>2024 HOUSE / prior substitute</v>
      </c>
      <c r="R97" s="10">
        <f t="shared" si="15"/>
        <v>10.96</v>
      </c>
      <c r="S97" s="10">
        <f t="shared" si="16"/>
        <v>15.085065061659058</v>
      </c>
      <c r="T97" s="10">
        <f t="shared" si="17"/>
        <v>-4.1250650616590576</v>
      </c>
      <c r="U97" t="s">
        <v>73</v>
      </c>
      <c r="W97" t="s">
        <v>74</v>
      </c>
      <c r="X97" t="s">
        <v>75</v>
      </c>
    </row>
    <row r="98" spans="1:24" x14ac:dyDescent="0.2">
      <c r="A98" t="str">
        <f>'HOUSE DATA'!A71</f>
        <v>CA-47</v>
      </c>
      <c r="B98" s="10">
        <f>'HOUSE DATA'!B71</f>
        <v>20.735432383392013</v>
      </c>
      <c r="C98" s="10">
        <f t="shared" si="9"/>
        <v>-0.29999999999999893</v>
      </c>
      <c r="D98" s="10">
        <f>2*('HOUSE DATA'!D71*('HOUSE DASHBOARD'!$B$14-42.4)+'HOUSE DATA'!E71*('HOUSE DASHBOARD'!$B$15-54.2)+'HOUSE DATA'!F71*('HOUSE DASHBOARD'!$B$16-85.4)+'HOUSE DATA'!G71*('HOUSE DASHBOARD'!$B$17-60.7)+'HOUSE DATA'!H71*('HOUSE DASHBOARD'!$B$18-53.5))/100</f>
        <v>0</v>
      </c>
      <c r="E98" s="10">
        <f>2*('HOUSE DATA'!I71*('HOUSE DASHBOARD'!$B$21-55.6)+(100-'HOUSE DATA'!I71)*('HOUSE DASHBOARD'!$B$22-44.9))/100</f>
        <v>0</v>
      </c>
      <c r="F98" s="10">
        <f>0</f>
        <v>0</v>
      </c>
      <c r="G98" s="10">
        <f t="shared" si="10"/>
        <v>0</v>
      </c>
      <c r="H98" s="2">
        <f>'HOUSE DATA'!C71+C98+G98</f>
        <v>21.376666666666665</v>
      </c>
      <c r="I98" s="3" t="str">
        <f t="shared" si="11"/>
        <v>D</v>
      </c>
      <c r="J98" s="1" t="str">
        <f>'HOUSE DATA'!K71</f>
        <v>D</v>
      </c>
      <c r="K98" s="1" t="str">
        <f t="shared" si="12"/>
        <v>—</v>
      </c>
      <c r="L98" t="str">
        <f t="shared" si="13"/>
        <v>D+21.38</v>
      </c>
      <c r="M98">
        <f>COUNTIF($H$31:$H$465,"&gt;"&amp;H98)+COUNTIF($H$31:H98,H98)</f>
        <v>163</v>
      </c>
      <c r="N98" s="7">
        <f t="shared" si="14"/>
        <v>21.376666666666665</v>
      </c>
      <c r="O98">
        <f>COUNTIF($N$31:$N$465,"&lt;"&amp;N98)+COUNTIF($N$31:N98,N98)</f>
        <v>203</v>
      </c>
      <c r="P98" s="10">
        <f>'HOUSE DATA'!M71</f>
        <v>10.416666666666664</v>
      </c>
      <c r="Q98" t="str">
        <f>'HOUSE DATA'!N71</f>
        <v>2024 HOUSE / prior substitute</v>
      </c>
      <c r="R98" s="10">
        <f t="shared" si="15"/>
        <v>10.96</v>
      </c>
      <c r="S98" s="10">
        <f t="shared" si="16"/>
        <v>10.318765716725348</v>
      </c>
      <c r="T98" s="10">
        <f t="shared" si="17"/>
        <v>0.64123428327465248</v>
      </c>
      <c r="U98" t="s">
        <v>73</v>
      </c>
      <c r="W98" t="s">
        <v>74</v>
      </c>
      <c r="X98" t="s">
        <v>75</v>
      </c>
    </row>
    <row r="99" spans="1:24" x14ac:dyDescent="0.2">
      <c r="A99" t="str">
        <f>'HOUSE DATA'!A72</f>
        <v>CA-48</v>
      </c>
      <c r="B99" s="10">
        <f>'HOUSE DATA'!B72</f>
        <v>13.293136076933893</v>
      </c>
      <c r="C99" s="10">
        <f t="shared" si="9"/>
        <v>-0.29999999999999893</v>
      </c>
      <c r="D99" s="10">
        <f>2*('HOUSE DATA'!D72*('HOUSE DASHBOARD'!$B$14-42.4)+'HOUSE DATA'!E72*('HOUSE DASHBOARD'!$B$15-54.2)+'HOUSE DATA'!F72*('HOUSE DASHBOARD'!$B$16-85.4)+'HOUSE DATA'!G72*('HOUSE DASHBOARD'!$B$17-60.7)+'HOUSE DATA'!H72*('HOUSE DASHBOARD'!$B$18-53.5))/100</f>
        <v>0</v>
      </c>
      <c r="E99" s="10">
        <f>2*('HOUSE DATA'!I72*('HOUSE DASHBOARD'!$B$21-55.6)+(100-'HOUSE DATA'!I72)*('HOUSE DASHBOARD'!$B$22-44.9))/100</f>
        <v>0</v>
      </c>
      <c r="F99" s="10">
        <f>0</f>
        <v>0</v>
      </c>
      <c r="G99" s="10">
        <f t="shared" si="10"/>
        <v>0</v>
      </c>
      <c r="H99" s="2">
        <f>'HOUSE DATA'!C72+C99+G99</f>
        <v>13.940000000000001</v>
      </c>
      <c r="I99" s="3" t="str">
        <f t="shared" si="11"/>
        <v>D</v>
      </c>
      <c r="J99" s="1" t="str">
        <f>'HOUSE DATA'!K72</f>
        <v>R</v>
      </c>
      <c r="K99" s="1" t="str">
        <f t="shared" si="12"/>
        <v>R → D</v>
      </c>
      <c r="L99" t="str">
        <f t="shared" si="13"/>
        <v>D+13.94</v>
      </c>
      <c r="M99">
        <f>COUNTIF($H$31:$H$465,"&gt;"&amp;H99)+COUNTIF($H$31:H99,H99)</f>
        <v>201</v>
      </c>
      <c r="N99" s="7">
        <f t="shared" si="14"/>
        <v>13.940000000000001</v>
      </c>
      <c r="O99">
        <f>COUNTIF($N$31:$N$465,"&lt;"&amp;N99)+COUNTIF($N$31:N99,N99)</f>
        <v>126</v>
      </c>
      <c r="P99" s="10">
        <f>'HOUSE DATA'!M72</f>
        <v>3.39</v>
      </c>
      <c r="Q99" t="str">
        <f>'HOUSE DATA'!N72</f>
        <v>2024 PRESIDENT (open seat)</v>
      </c>
      <c r="R99" s="10">
        <f t="shared" si="15"/>
        <v>10.55</v>
      </c>
      <c r="S99" s="10">
        <f t="shared" si="16"/>
        <v>9.9031360769338921</v>
      </c>
      <c r="T99" s="10">
        <f t="shared" si="17"/>
        <v>0.64686392306610863</v>
      </c>
      <c r="U99" t="s">
        <v>73</v>
      </c>
      <c r="W99" t="s">
        <v>74</v>
      </c>
      <c r="X99" t="s">
        <v>75</v>
      </c>
    </row>
    <row r="100" spans="1:24" x14ac:dyDescent="0.2">
      <c r="A100" t="str">
        <f>'HOUSE DATA'!A73</f>
        <v>CA-49</v>
      </c>
      <c r="B100" s="10">
        <f>'HOUSE DATA'!B73</f>
        <v>22.843435858923748</v>
      </c>
      <c r="C100" s="10">
        <f t="shared" si="9"/>
        <v>-0.29999999999999893</v>
      </c>
      <c r="D100" s="10">
        <f>2*('HOUSE DATA'!D73*('HOUSE DASHBOARD'!$B$14-42.4)+'HOUSE DATA'!E73*('HOUSE DASHBOARD'!$B$15-54.2)+'HOUSE DATA'!F73*('HOUSE DASHBOARD'!$B$16-85.4)+'HOUSE DATA'!G73*('HOUSE DASHBOARD'!$B$17-60.7)+'HOUSE DATA'!H73*('HOUSE DASHBOARD'!$B$18-53.5))/100</f>
        <v>0</v>
      </c>
      <c r="E100" s="10">
        <f>2*('HOUSE DATA'!I73*('HOUSE DASHBOARD'!$B$21-55.6)+(100-'HOUSE DATA'!I73)*('HOUSE DASHBOARD'!$B$22-44.9))/100</f>
        <v>0</v>
      </c>
      <c r="F100" s="10">
        <f>0</f>
        <v>0</v>
      </c>
      <c r="G100" s="10">
        <f t="shared" si="10"/>
        <v>0</v>
      </c>
      <c r="H100" s="2">
        <f>'HOUSE DATA'!C73+C100+G100</f>
        <v>24.362061855670113</v>
      </c>
      <c r="I100" s="3" t="str">
        <f t="shared" si="11"/>
        <v>D</v>
      </c>
      <c r="J100" s="1" t="str">
        <f>'HOUSE DATA'!K73</f>
        <v>D</v>
      </c>
      <c r="K100" s="1" t="str">
        <f t="shared" si="12"/>
        <v>—</v>
      </c>
      <c r="L100" t="str">
        <f t="shared" si="13"/>
        <v>D+24.36</v>
      </c>
      <c r="M100">
        <f>COUNTIF($H$31:$H$465,"&gt;"&amp;H100)+COUNTIF($H$31:H100,H100)</f>
        <v>149</v>
      </c>
      <c r="N100" s="7">
        <f t="shared" si="14"/>
        <v>24.362061855670113</v>
      </c>
      <c r="O100">
        <f>COUNTIF($N$31:$N$465,"&lt;"&amp;N100)+COUNTIF($N$31:N100,N100)</f>
        <v>235</v>
      </c>
      <c r="P100" s="10">
        <f>'HOUSE DATA'!M73</f>
        <v>13.402061855670112</v>
      </c>
      <c r="Q100" t="str">
        <f>'HOUSE DATA'!N73</f>
        <v>2024 HOUSE / prior substitute</v>
      </c>
      <c r="R100" s="10">
        <f t="shared" si="15"/>
        <v>10.96</v>
      </c>
      <c r="S100" s="10">
        <f t="shared" si="16"/>
        <v>9.4413740032536353</v>
      </c>
      <c r="T100" s="10">
        <f t="shared" si="17"/>
        <v>1.5186259967463656</v>
      </c>
      <c r="U100" t="s">
        <v>73</v>
      </c>
      <c r="W100" t="s">
        <v>74</v>
      </c>
      <c r="X100" t="s">
        <v>75</v>
      </c>
    </row>
    <row r="101" spans="1:24" x14ac:dyDescent="0.2">
      <c r="A101" t="str">
        <f>'HOUSE DATA'!A74</f>
        <v>CA-50</v>
      </c>
      <c r="B101" s="10">
        <f>'HOUSE DATA'!B74</f>
        <v>29.234546113179267</v>
      </c>
      <c r="C101" s="10">
        <f t="shared" si="9"/>
        <v>-0.29999999999999893</v>
      </c>
      <c r="D101" s="10">
        <f>2*('HOUSE DATA'!D74*('HOUSE DASHBOARD'!$B$14-42.4)+'HOUSE DATA'!E74*('HOUSE DASHBOARD'!$B$15-54.2)+'HOUSE DATA'!F74*('HOUSE DASHBOARD'!$B$16-85.4)+'HOUSE DATA'!G74*('HOUSE DASHBOARD'!$B$17-60.7)+'HOUSE DATA'!H74*('HOUSE DASHBOARD'!$B$18-53.5))/100</f>
        <v>0</v>
      </c>
      <c r="E101" s="10">
        <f>2*('HOUSE DATA'!I74*('HOUSE DASHBOARD'!$B$21-55.6)+(100-'HOUSE DATA'!I74)*('HOUSE DASHBOARD'!$B$22-44.9))/100</f>
        <v>0</v>
      </c>
      <c r="F101" s="10">
        <f>0</f>
        <v>0</v>
      </c>
      <c r="G101" s="10">
        <f t="shared" si="10"/>
        <v>0</v>
      </c>
      <c r="H101" s="2">
        <f>'HOUSE DATA'!C74+C101+G101</f>
        <v>30.547628865979384</v>
      </c>
      <c r="I101" s="3" t="str">
        <f t="shared" si="11"/>
        <v>D</v>
      </c>
      <c r="J101" s="1" t="str">
        <f>'HOUSE DATA'!K74</f>
        <v>D</v>
      </c>
      <c r="K101" s="1" t="str">
        <f t="shared" si="12"/>
        <v>—</v>
      </c>
      <c r="L101" t="str">
        <f t="shared" si="13"/>
        <v>D+30.55</v>
      </c>
      <c r="M101">
        <f>COUNTIF($H$31:$H$465,"&gt;"&amp;H101)+COUNTIF($H$31:H101,H101)</f>
        <v>118</v>
      </c>
      <c r="N101" s="7">
        <f t="shared" si="14"/>
        <v>30.547628865979384</v>
      </c>
      <c r="O101">
        <f>COUNTIF($N$31:$N$465,"&lt;"&amp;N101)+COUNTIF($N$31:N101,N101)</f>
        <v>282</v>
      </c>
      <c r="P101" s="10">
        <f>'HOUSE DATA'!M74</f>
        <v>19.587628865979383</v>
      </c>
      <c r="Q101" t="str">
        <f>'HOUSE DATA'!N74</f>
        <v>2024 HOUSE / prior substitute</v>
      </c>
      <c r="R101" s="10">
        <f t="shared" si="15"/>
        <v>10.96</v>
      </c>
      <c r="S101" s="10">
        <f t="shared" si="16"/>
        <v>9.6469172471998839</v>
      </c>
      <c r="T101" s="10">
        <f t="shared" si="17"/>
        <v>1.313082752800117</v>
      </c>
      <c r="U101" t="s">
        <v>73</v>
      </c>
      <c r="W101" t="s">
        <v>74</v>
      </c>
      <c r="X101" t="s">
        <v>75</v>
      </c>
    </row>
    <row r="102" spans="1:24" x14ac:dyDescent="0.2">
      <c r="A102" t="str">
        <f>'HOUSE DATA'!A75</f>
        <v>CA-51</v>
      </c>
      <c r="B102" s="10">
        <f>'HOUSE DATA'!B75</f>
        <v>30.206291089906802</v>
      </c>
      <c r="C102" s="10">
        <f t="shared" si="9"/>
        <v>-0.29999999999999893</v>
      </c>
      <c r="D102" s="10">
        <f>2*('HOUSE DATA'!D75*('HOUSE DASHBOARD'!$B$14-42.4)+'HOUSE DATA'!E75*('HOUSE DASHBOARD'!$B$15-54.2)+'HOUSE DATA'!F75*('HOUSE DASHBOARD'!$B$16-85.4)+'HOUSE DATA'!G75*('HOUSE DASHBOARD'!$B$17-60.7)+'HOUSE DATA'!H75*('HOUSE DASHBOARD'!$B$18-53.5))/100</f>
        <v>0</v>
      </c>
      <c r="E102" s="10">
        <f>2*('HOUSE DATA'!I75*('HOUSE DASHBOARD'!$B$21-55.6)+(100-'HOUSE DATA'!I75)*('HOUSE DASHBOARD'!$B$22-44.9))/100</f>
        <v>0</v>
      </c>
      <c r="F102" s="10">
        <f>0</f>
        <v>0</v>
      </c>
      <c r="G102" s="10">
        <f t="shared" si="10"/>
        <v>0</v>
      </c>
      <c r="H102" s="2">
        <f>'HOUSE DATA'!C75+C102+G102</f>
        <v>30.547628865979384</v>
      </c>
      <c r="I102" s="3" t="str">
        <f t="shared" si="11"/>
        <v>D</v>
      </c>
      <c r="J102" s="1" t="str">
        <f>'HOUSE DATA'!K75</f>
        <v>D</v>
      </c>
      <c r="K102" s="1" t="str">
        <f t="shared" si="12"/>
        <v>—</v>
      </c>
      <c r="L102" t="str">
        <f t="shared" si="13"/>
        <v>D+30.55</v>
      </c>
      <c r="M102">
        <f>COUNTIF($H$31:$H$465,"&gt;"&amp;H102)+COUNTIF($H$31:H102,H102)</f>
        <v>119</v>
      </c>
      <c r="N102" s="7">
        <f t="shared" si="14"/>
        <v>30.547628865979384</v>
      </c>
      <c r="O102">
        <f>COUNTIF($N$31:$N$465,"&lt;"&amp;N102)+COUNTIF($N$31:N102,N102)</f>
        <v>283</v>
      </c>
      <c r="P102" s="10">
        <f>'HOUSE DATA'!M75</f>
        <v>19.587628865979383</v>
      </c>
      <c r="Q102" t="str">
        <f>'HOUSE DATA'!N75</f>
        <v>2024 HOUSE / prior substitute</v>
      </c>
      <c r="R102" s="10">
        <f t="shared" si="15"/>
        <v>10.96</v>
      </c>
      <c r="S102" s="10">
        <f t="shared" si="16"/>
        <v>10.618662223927419</v>
      </c>
      <c r="T102" s="10">
        <f t="shared" si="17"/>
        <v>0.34133777607258153</v>
      </c>
      <c r="U102" t="s">
        <v>73</v>
      </c>
      <c r="W102" t="s">
        <v>74</v>
      </c>
      <c r="X102" t="s">
        <v>75</v>
      </c>
    </row>
    <row r="103" spans="1:24" x14ac:dyDescent="0.2">
      <c r="A103" t="str">
        <f>'HOUSE DATA'!A76</f>
        <v>CA-52</v>
      </c>
      <c r="B103" s="10">
        <f>'HOUSE DATA'!B76</f>
        <v>32.474155776476401</v>
      </c>
      <c r="C103" s="10">
        <f t="shared" si="9"/>
        <v>-0.29999999999999893</v>
      </c>
      <c r="D103" s="10">
        <f>2*('HOUSE DATA'!D76*('HOUSE DASHBOARD'!$B$14-42.4)+'HOUSE DATA'!E76*('HOUSE DASHBOARD'!$B$15-54.2)+'HOUSE DATA'!F76*('HOUSE DASHBOARD'!$B$16-85.4)+'HOUSE DATA'!G76*('HOUSE DASHBOARD'!$B$17-60.7)+'HOUSE DATA'!H76*('HOUSE DASHBOARD'!$B$18-53.5))/100</f>
        <v>0</v>
      </c>
      <c r="E103" s="10">
        <f>2*('HOUSE DATA'!I76*('HOUSE DASHBOARD'!$B$21-55.6)+(100-'HOUSE DATA'!I76)*('HOUSE DASHBOARD'!$B$22-44.9))/100</f>
        <v>0</v>
      </c>
      <c r="F103" s="10">
        <f>0</f>
        <v>0</v>
      </c>
      <c r="G103" s="10">
        <f t="shared" si="10"/>
        <v>0</v>
      </c>
      <c r="H103" s="2">
        <f>'HOUSE DATA'!C76+C103+G103</f>
        <v>28.485773195876277</v>
      </c>
      <c r="I103" s="3" t="str">
        <f t="shared" si="11"/>
        <v>D</v>
      </c>
      <c r="J103" s="1" t="str">
        <f>'HOUSE DATA'!K76</f>
        <v>D</v>
      </c>
      <c r="K103" s="1" t="str">
        <f t="shared" si="12"/>
        <v>—</v>
      </c>
      <c r="L103" t="str">
        <f t="shared" si="13"/>
        <v>D+28.49</v>
      </c>
      <c r="M103">
        <f>COUNTIF($H$31:$H$465,"&gt;"&amp;H103)+COUNTIF($H$31:H103,H103)</f>
        <v>127</v>
      </c>
      <c r="N103" s="7">
        <f t="shared" si="14"/>
        <v>28.485773195876277</v>
      </c>
      <c r="O103">
        <f>COUNTIF($N$31:$N$465,"&lt;"&amp;N103)+COUNTIF($N$31:N103,N103)</f>
        <v>266</v>
      </c>
      <c r="P103" s="10">
        <f>'HOUSE DATA'!M76</f>
        <v>17.525773195876276</v>
      </c>
      <c r="Q103" t="str">
        <f>'HOUSE DATA'!N76</f>
        <v>2024 HOUSE / prior substitute</v>
      </c>
      <c r="R103" s="10">
        <f t="shared" si="15"/>
        <v>10.96</v>
      </c>
      <c r="S103" s="10">
        <f t="shared" si="16"/>
        <v>14.948382580600125</v>
      </c>
      <c r="T103" s="10">
        <f t="shared" si="17"/>
        <v>-3.9883825806001241</v>
      </c>
      <c r="U103" t="s">
        <v>73</v>
      </c>
      <c r="W103" t="s">
        <v>74</v>
      </c>
      <c r="X103" t="s">
        <v>75</v>
      </c>
    </row>
    <row r="104" spans="1:24" x14ac:dyDescent="0.2">
      <c r="A104" t="str">
        <f>'HOUSE DATA'!A77</f>
        <v>CO-01</v>
      </c>
      <c r="B104" s="10">
        <f>'HOUSE DATA'!B77</f>
        <v>65.869329459218491</v>
      </c>
      <c r="C104" s="10">
        <f t="shared" si="9"/>
        <v>-0.29999999999999893</v>
      </c>
      <c r="D104" s="10">
        <f>2*('HOUSE DATA'!D77*('HOUSE DASHBOARD'!$B$14-42.4)+'HOUSE DATA'!E77*('HOUSE DASHBOARD'!$B$15-54.2)+'HOUSE DATA'!F77*('HOUSE DASHBOARD'!$B$16-85.4)+'HOUSE DATA'!G77*('HOUSE DASHBOARD'!$B$17-60.7)+'HOUSE DATA'!H77*('HOUSE DASHBOARD'!$B$18-53.5))/100</f>
        <v>0</v>
      </c>
      <c r="E104" s="10">
        <f>2*('HOUSE DATA'!I77*('HOUSE DASHBOARD'!$B$21-55.6)+(100-'HOUSE DATA'!I77)*('HOUSE DASHBOARD'!$B$22-44.9))/100</f>
        <v>0</v>
      </c>
      <c r="F104" s="10">
        <f>0</f>
        <v>0</v>
      </c>
      <c r="G104" s="10">
        <f t="shared" si="10"/>
        <v>0</v>
      </c>
      <c r="H104" s="2">
        <f>'HOUSE DATA'!C77+C104+G104</f>
        <v>66.62</v>
      </c>
      <c r="I104" s="3" t="str">
        <f t="shared" si="11"/>
        <v>D</v>
      </c>
      <c r="J104" s="1" t="str">
        <f>'HOUSE DATA'!K77</f>
        <v>D</v>
      </c>
      <c r="K104" s="1" t="str">
        <f t="shared" si="12"/>
        <v>—</v>
      </c>
      <c r="L104" t="str">
        <f t="shared" si="13"/>
        <v>D+66.62</v>
      </c>
      <c r="M104">
        <f>COUNTIF($H$31:$H$465,"&gt;"&amp;H104)+COUNTIF($H$31:H104,H104)</f>
        <v>21</v>
      </c>
      <c r="N104" s="7">
        <f t="shared" si="14"/>
        <v>66.62</v>
      </c>
      <c r="O104">
        <f>COUNTIF($N$31:$N$465,"&lt;"&amp;N104)+COUNTIF($N$31:N104,N104)</f>
        <v>405</v>
      </c>
      <c r="P104" s="10">
        <f>'HOUSE DATA'!M77</f>
        <v>56.07</v>
      </c>
      <c r="Q104" t="str">
        <f>'HOUSE DATA'!N77</f>
        <v>2024 PRESIDENT (open seat)</v>
      </c>
      <c r="R104" s="10">
        <f t="shared" si="15"/>
        <v>10.550000000000004</v>
      </c>
      <c r="S104" s="10">
        <f t="shared" si="16"/>
        <v>9.799329459218491</v>
      </c>
      <c r="T104" s="10">
        <f t="shared" si="17"/>
        <v>0.7506705407815133</v>
      </c>
      <c r="U104" t="s">
        <v>73</v>
      </c>
      <c r="W104" t="s">
        <v>74</v>
      </c>
      <c r="X104" t="s">
        <v>75</v>
      </c>
    </row>
    <row r="105" spans="1:24" x14ac:dyDescent="0.2">
      <c r="A105" t="str">
        <f>'HOUSE DATA'!A78</f>
        <v>CO-02</v>
      </c>
      <c r="B105" s="10">
        <f>'HOUSE DATA'!B78</f>
        <v>48.382494007313888</v>
      </c>
      <c r="C105" s="10">
        <f t="shared" si="9"/>
        <v>-0.29999999999999893</v>
      </c>
      <c r="D105" s="10">
        <f>2*('HOUSE DATA'!D78*('HOUSE DASHBOARD'!$B$14-42.4)+'HOUSE DATA'!E78*('HOUSE DASHBOARD'!$B$15-54.2)+'HOUSE DATA'!F78*('HOUSE DASHBOARD'!$B$16-85.4)+'HOUSE DATA'!G78*('HOUSE DASHBOARD'!$B$17-60.7)+'HOUSE DATA'!H78*('HOUSE DASHBOARD'!$B$18-53.5))/100</f>
        <v>0</v>
      </c>
      <c r="E105" s="10">
        <f>2*('HOUSE DATA'!I78*('HOUSE DASHBOARD'!$B$21-55.6)+(100-'HOUSE DATA'!I78)*('HOUSE DASHBOARD'!$B$22-44.9))/100</f>
        <v>0</v>
      </c>
      <c r="F105" s="10">
        <f>0</f>
        <v>0</v>
      </c>
      <c r="G105" s="10">
        <f t="shared" si="10"/>
        <v>0</v>
      </c>
      <c r="H105" s="2">
        <f>'HOUSE DATA'!C78+C105+G105</f>
        <v>51.480000000000011</v>
      </c>
      <c r="I105" s="3" t="str">
        <f t="shared" si="11"/>
        <v>D</v>
      </c>
      <c r="J105" s="1" t="str">
        <f>'HOUSE DATA'!K78</f>
        <v>D</v>
      </c>
      <c r="K105" s="1" t="str">
        <f t="shared" si="12"/>
        <v>—</v>
      </c>
      <c r="L105" t="str">
        <f t="shared" si="13"/>
        <v>D+51.48</v>
      </c>
      <c r="M105">
        <f>COUNTIF($H$31:$H$465,"&gt;"&amp;H105)+COUNTIF($H$31:H105,H105)</f>
        <v>55</v>
      </c>
      <c r="N105" s="7">
        <f t="shared" si="14"/>
        <v>51.480000000000011</v>
      </c>
      <c r="O105">
        <f>COUNTIF($N$31:$N$465,"&lt;"&amp;N105)+COUNTIF($N$31:N105,N105)</f>
        <v>371</v>
      </c>
      <c r="P105" s="10">
        <f>'HOUSE DATA'!M78</f>
        <v>40.52000000000001</v>
      </c>
      <c r="Q105" t="str">
        <f>'HOUSE DATA'!N78</f>
        <v>2024 HOUSE / prior substitute</v>
      </c>
      <c r="R105" s="10">
        <f t="shared" si="15"/>
        <v>10.96</v>
      </c>
      <c r="S105" s="10">
        <f t="shared" si="16"/>
        <v>7.8624940073138774</v>
      </c>
      <c r="T105" s="10">
        <f t="shared" si="17"/>
        <v>3.0975059926861235</v>
      </c>
      <c r="U105" t="s">
        <v>73</v>
      </c>
      <c r="W105" t="s">
        <v>74</v>
      </c>
      <c r="X105" t="s">
        <v>75</v>
      </c>
    </row>
    <row r="106" spans="1:24" x14ac:dyDescent="0.2">
      <c r="A106" t="str">
        <f>'HOUSE DATA'!A79</f>
        <v>CO-03</v>
      </c>
      <c r="B106" s="10">
        <f>'HOUSE DATA'!B79</f>
        <v>5.8594557366945876</v>
      </c>
      <c r="C106" s="10">
        <f t="shared" si="9"/>
        <v>-0.29999999999999893</v>
      </c>
      <c r="D106" s="10">
        <f>2*('HOUSE DATA'!D79*('HOUSE DASHBOARD'!$B$14-42.4)+'HOUSE DATA'!E79*('HOUSE DASHBOARD'!$B$15-54.2)+'HOUSE DATA'!F79*('HOUSE DASHBOARD'!$B$16-85.4)+'HOUSE DATA'!G79*('HOUSE DASHBOARD'!$B$17-60.7)+'HOUSE DATA'!H79*('HOUSE DASHBOARD'!$B$18-53.5))/100</f>
        <v>0</v>
      </c>
      <c r="E106" s="10">
        <f>2*('HOUSE DATA'!I79*('HOUSE DASHBOARD'!$B$21-55.6)+(100-'HOUSE DATA'!I79)*('HOUSE DASHBOARD'!$B$22-44.9))/100</f>
        <v>0</v>
      </c>
      <c r="F106" s="10">
        <f>0</f>
        <v>0</v>
      </c>
      <c r="G106" s="10">
        <f t="shared" si="10"/>
        <v>0</v>
      </c>
      <c r="H106" s="2">
        <f>'HOUSE DATA'!C79+C106+G106</f>
        <v>5.7999999999999972</v>
      </c>
      <c r="I106" s="3" t="str">
        <f t="shared" si="11"/>
        <v>D</v>
      </c>
      <c r="J106" s="1" t="str">
        <f>'HOUSE DATA'!K79</f>
        <v>R</v>
      </c>
      <c r="K106" s="1" t="str">
        <f t="shared" si="12"/>
        <v>R → D</v>
      </c>
      <c r="L106" t="str">
        <f t="shared" si="13"/>
        <v>D+5.80</v>
      </c>
      <c r="M106">
        <f>COUNTIF($H$31:$H$465,"&gt;"&amp;H106)+COUNTIF($H$31:H106,H106)</f>
        <v>223</v>
      </c>
      <c r="N106" s="7">
        <f t="shared" si="14"/>
        <v>5.7999999999999972</v>
      </c>
      <c r="O106">
        <f>COUNTIF($N$31:$N$465,"&lt;"&amp;N106)+COUNTIF($N$31:N106,N106)</f>
        <v>47</v>
      </c>
      <c r="P106" s="10">
        <f>'HOUSE DATA'!M79</f>
        <v>-5.1600000000000037</v>
      </c>
      <c r="Q106" t="str">
        <f>'HOUSE DATA'!N79</f>
        <v>2024 HOUSE / prior substitute</v>
      </c>
      <c r="R106" s="10">
        <f t="shared" si="15"/>
        <v>10.96</v>
      </c>
      <c r="S106" s="10">
        <f t="shared" si="16"/>
        <v>11.019455736694592</v>
      </c>
      <c r="T106" s="10">
        <f t="shared" si="17"/>
        <v>-5.9455736694590477E-2</v>
      </c>
      <c r="U106" t="s">
        <v>73</v>
      </c>
      <c r="W106" t="s">
        <v>74</v>
      </c>
      <c r="X106" t="s">
        <v>75</v>
      </c>
    </row>
    <row r="107" spans="1:24" x14ac:dyDescent="0.2">
      <c r="A107" t="str">
        <f>'HOUSE DATA'!A80</f>
        <v>CO-04</v>
      </c>
      <c r="B107" s="10">
        <f>'HOUSE DATA'!B80</f>
        <v>-4.1663931870868955</v>
      </c>
      <c r="C107" s="10">
        <f t="shared" si="9"/>
        <v>-0.29999999999999893</v>
      </c>
      <c r="D107" s="10">
        <f>2*('HOUSE DATA'!D80*('HOUSE DASHBOARD'!$B$14-42.4)+'HOUSE DATA'!E80*('HOUSE DASHBOARD'!$B$15-54.2)+'HOUSE DATA'!F80*('HOUSE DASHBOARD'!$B$16-85.4)+'HOUSE DATA'!G80*('HOUSE DASHBOARD'!$B$17-60.7)+'HOUSE DATA'!H80*('HOUSE DASHBOARD'!$B$18-53.5))/100</f>
        <v>0</v>
      </c>
      <c r="E107" s="10">
        <f>2*('HOUSE DATA'!I80*('HOUSE DASHBOARD'!$B$21-55.6)+(100-'HOUSE DATA'!I80)*('HOUSE DASHBOARD'!$B$22-44.9))/100</f>
        <v>0</v>
      </c>
      <c r="F107" s="10">
        <f>0</f>
        <v>0</v>
      </c>
      <c r="G107" s="10">
        <f t="shared" si="10"/>
        <v>0</v>
      </c>
      <c r="H107" s="2">
        <f>'HOUSE DATA'!C80+C107+G107</f>
        <v>-1.1600000000000039</v>
      </c>
      <c r="I107" s="3" t="str">
        <f t="shared" si="11"/>
        <v>R</v>
      </c>
      <c r="J107" s="1" t="str">
        <f>'HOUSE DATA'!K80</f>
        <v>R</v>
      </c>
      <c r="K107" s="1" t="str">
        <f t="shared" si="12"/>
        <v>—</v>
      </c>
      <c r="L107" t="str">
        <f t="shared" si="13"/>
        <v>R+1.16</v>
      </c>
      <c r="M107">
        <f>COUNTIF($H$31:$H$465,"&gt;"&amp;H107)+COUNTIF($H$31:H107,H107)</f>
        <v>243</v>
      </c>
      <c r="N107" s="7">
        <f t="shared" si="14"/>
        <v>1.1600000000000039</v>
      </c>
      <c r="O107">
        <f>COUNTIF($N$31:$N$465,"&lt;"&amp;N107)+COUNTIF($N$31:N107,N107)</f>
        <v>12</v>
      </c>
      <c r="P107" s="10">
        <f>'HOUSE DATA'!M80</f>
        <v>-12.120000000000005</v>
      </c>
      <c r="Q107" t="str">
        <f>'HOUSE DATA'!N80</f>
        <v>2024 HOUSE / prior substitute</v>
      </c>
      <c r="R107" s="10">
        <f t="shared" si="15"/>
        <v>10.96</v>
      </c>
      <c r="S107" s="10">
        <f t="shared" si="16"/>
        <v>7.953606812913109</v>
      </c>
      <c r="T107" s="10">
        <f t="shared" si="17"/>
        <v>3.0063931870868918</v>
      </c>
      <c r="U107" t="s">
        <v>73</v>
      </c>
      <c r="W107" t="s">
        <v>74</v>
      </c>
      <c r="X107" t="s">
        <v>75</v>
      </c>
    </row>
    <row r="108" spans="1:24" x14ac:dyDescent="0.2">
      <c r="A108" t="str">
        <f>'HOUSE DATA'!A81</f>
        <v>CO-05</v>
      </c>
      <c r="B108" s="10">
        <f>'HOUSE DATA'!B81</f>
        <v>-4.7440584404956105</v>
      </c>
      <c r="C108" s="10">
        <f t="shared" si="9"/>
        <v>-0.29999999999999893</v>
      </c>
      <c r="D108" s="10">
        <f>2*('HOUSE DATA'!D81*('HOUSE DASHBOARD'!$B$14-42.4)+'HOUSE DATA'!E81*('HOUSE DASHBOARD'!$B$15-54.2)+'HOUSE DATA'!F81*('HOUSE DASHBOARD'!$B$16-85.4)+'HOUSE DATA'!G81*('HOUSE DASHBOARD'!$B$17-60.7)+'HOUSE DATA'!H81*('HOUSE DASHBOARD'!$B$18-53.5))/100</f>
        <v>0</v>
      </c>
      <c r="E108" s="10">
        <f>2*('HOUSE DATA'!I81*('HOUSE DASHBOARD'!$B$21-55.6)+(100-'HOUSE DATA'!I81)*('HOUSE DASHBOARD'!$B$22-44.9))/100</f>
        <v>0</v>
      </c>
      <c r="F108" s="10">
        <f>0</f>
        <v>0</v>
      </c>
      <c r="G108" s="10">
        <f t="shared" si="10"/>
        <v>0</v>
      </c>
      <c r="H108" s="2">
        <f>'HOUSE DATA'!C81+C108+G108</f>
        <v>-3.480000000000004</v>
      </c>
      <c r="I108" s="3" t="str">
        <f t="shared" si="11"/>
        <v>R</v>
      </c>
      <c r="J108" s="1" t="str">
        <f>'HOUSE DATA'!K81</f>
        <v>R</v>
      </c>
      <c r="K108" s="1" t="str">
        <f t="shared" si="12"/>
        <v>—</v>
      </c>
      <c r="L108" t="str">
        <f t="shared" si="13"/>
        <v>R+3.48</v>
      </c>
      <c r="M108">
        <f>COUNTIF($H$31:$H$465,"&gt;"&amp;H108)+COUNTIF($H$31:H108,H108)</f>
        <v>257</v>
      </c>
      <c r="N108" s="7">
        <f t="shared" si="14"/>
        <v>3.480000000000004</v>
      </c>
      <c r="O108">
        <f>COUNTIF($N$31:$N$465,"&lt;"&amp;N108)+COUNTIF($N$31:N108,N108)</f>
        <v>29</v>
      </c>
      <c r="P108" s="10">
        <f>'HOUSE DATA'!M81</f>
        <v>-14.440000000000005</v>
      </c>
      <c r="Q108" t="str">
        <f>'HOUSE DATA'!N81</f>
        <v>2024 HOUSE / prior substitute</v>
      </c>
      <c r="R108" s="10">
        <f t="shared" si="15"/>
        <v>10.96</v>
      </c>
      <c r="S108" s="10">
        <f t="shared" si="16"/>
        <v>9.6959415595043943</v>
      </c>
      <c r="T108" s="10">
        <f t="shared" si="17"/>
        <v>1.2640584404956066</v>
      </c>
      <c r="U108" t="s">
        <v>73</v>
      </c>
      <c r="W108" t="s">
        <v>74</v>
      </c>
      <c r="X108" t="s">
        <v>75</v>
      </c>
    </row>
    <row r="109" spans="1:24" x14ac:dyDescent="0.2">
      <c r="A109" t="str">
        <f>'HOUSE DATA'!A82</f>
        <v>CO-06</v>
      </c>
      <c r="B109" s="10">
        <f>'HOUSE DATA'!B82</f>
        <v>30.428581245343452</v>
      </c>
      <c r="C109" s="10">
        <f t="shared" si="9"/>
        <v>-0.29999999999999893</v>
      </c>
      <c r="D109" s="10">
        <f>2*('HOUSE DATA'!D82*('HOUSE DASHBOARD'!$B$14-42.4)+'HOUSE DATA'!E82*('HOUSE DASHBOARD'!$B$15-54.2)+'HOUSE DATA'!F82*('HOUSE DASHBOARD'!$B$16-85.4)+'HOUSE DATA'!G82*('HOUSE DASHBOARD'!$B$17-60.7)+'HOUSE DATA'!H82*('HOUSE DASHBOARD'!$B$18-53.5))/100</f>
        <v>0</v>
      </c>
      <c r="E109" s="10">
        <f>2*('HOUSE DATA'!I82*('HOUSE DASHBOARD'!$B$21-55.6)+(100-'HOUSE DATA'!I82)*('HOUSE DASHBOARD'!$B$22-44.9))/100</f>
        <v>0</v>
      </c>
      <c r="F109" s="10">
        <f>0</f>
        <v>0</v>
      </c>
      <c r="G109" s="10">
        <f t="shared" si="10"/>
        <v>0</v>
      </c>
      <c r="H109" s="2">
        <f>'HOUSE DATA'!C82+C109+G109</f>
        <v>32.019999999999996</v>
      </c>
      <c r="I109" s="3" t="str">
        <f t="shared" si="11"/>
        <v>D</v>
      </c>
      <c r="J109" s="1" t="str">
        <f>'HOUSE DATA'!K82</f>
        <v>D</v>
      </c>
      <c r="K109" s="1" t="str">
        <f t="shared" si="12"/>
        <v>—</v>
      </c>
      <c r="L109" t="str">
        <f t="shared" si="13"/>
        <v>D+32.02</v>
      </c>
      <c r="M109">
        <f>COUNTIF($H$31:$H$465,"&gt;"&amp;H109)+COUNTIF($H$31:H109,H109)</f>
        <v>111</v>
      </c>
      <c r="N109" s="7">
        <f t="shared" si="14"/>
        <v>32.019999999999996</v>
      </c>
      <c r="O109">
        <f>COUNTIF($N$31:$N$465,"&lt;"&amp;N109)+COUNTIF($N$31:N109,N109)</f>
        <v>293</v>
      </c>
      <c r="P109" s="10">
        <f>'HOUSE DATA'!M82</f>
        <v>21.059999999999995</v>
      </c>
      <c r="Q109" t="str">
        <f>'HOUSE DATA'!N82</f>
        <v>2024 HOUSE / prior substitute</v>
      </c>
      <c r="R109" s="10">
        <f t="shared" si="15"/>
        <v>10.96</v>
      </c>
      <c r="S109" s="10">
        <f t="shared" si="16"/>
        <v>9.3685812453434565</v>
      </c>
      <c r="T109" s="10">
        <f t="shared" si="17"/>
        <v>1.5914187546565444</v>
      </c>
      <c r="U109" t="s">
        <v>73</v>
      </c>
      <c r="W109" t="s">
        <v>74</v>
      </c>
      <c r="X109" t="s">
        <v>75</v>
      </c>
    </row>
    <row r="110" spans="1:24" x14ac:dyDescent="0.2">
      <c r="A110" t="str">
        <f>'HOUSE DATA'!A83</f>
        <v>CO-07</v>
      </c>
      <c r="B110" s="10">
        <f>'HOUSE DATA'!B83</f>
        <v>22.742201098627397</v>
      </c>
      <c r="C110" s="10">
        <f t="shared" si="9"/>
        <v>-0.29999999999999893</v>
      </c>
      <c r="D110" s="10">
        <f>2*('HOUSE DATA'!D83*('HOUSE DASHBOARD'!$B$14-42.4)+'HOUSE DATA'!E83*('HOUSE DASHBOARD'!$B$15-54.2)+'HOUSE DATA'!F83*('HOUSE DASHBOARD'!$B$16-85.4)+'HOUSE DATA'!G83*('HOUSE DASHBOARD'!$B$17-60.7)+'HOUSE DATA'!H83*('HOUSE DASHBOARD'!$B$18-53.5))/100</f>
        <v>0</v>
      </c>
      <c r="E110" s="10">
        <f>2*('HOUSE DATA'!I83*('HOUSE DASHBOARD'!$B$21-55.6)+(100-'HOUSE DATA'!I83)*('HOUSE DASHBOARD'!$B$22-44.9))/100</f>
        <v>0</v>
      </c>
      <c r="F110" s="10">
        <f>0</f>
        <v>0</v>
      </c>
      <c r="G110" s="10">
        <f t="shared" si="10"/>
        <v>0</v>
      </c>
      <c r="H110" s="2">
        <f>'HOUSE DATA'!C83+C110+G110</f>
        <v>25.660000000000004</v>
      </c>
      <c r="I110" s="3" t="str">
        <f t="shared" si="11"/>
        <v>D</v>
      </c>
      <c r="J110" s="1" t="str">
        <f>'HOUSE DATA'!K83</f>
        <v>D</v>
      </c>
      <c r="K110" s="1" t="str">
        <f t="shared" si="12"/>
        <v>—</v>
      </c>
      <c r="L110" t="str">
        <f t="shared" si="13"/>
        <v>D+25.66</v>
      </c>
      <c r="M110">
        <f>COUNTIF($H$31:$H$465,"&gt;"&amp;H110)+COUNTIF($H$31:H110,H110)</f>
        <v>141</v>
      </c>
      <c r="N110" s="7">
        <f t="shared" si="14"/>
        <v>25.660000000000004</v>
      </c>
      <c r="O110">
        <f>COUNTIF($N$31:$N$465,"&lt;"&amp;N110)+COUNTIF($N$31:N110,N110)</f>
        <v>243</v>
      </c>
      <c r="P110" s="10">
        <f>'HOUSE DATA'!M83</f>
        <v>14.700000000000003</v>
      </c>
      <c r="Q110" t="str">
        <f>'HOUSE DATA'!N83</f>
        <v>2024 HOUSE / prior substitute</v>
      </c>
      <c r="R110" s="10">
        <f t="shared" si="15"/>
        <v>10.96</v>
      </c>
      <c r="S110" s="10">
        <f t="shared" si="16"/>
        <v>8.0422010986273946</v>
      </c>
      <c r="T110" s="10">
        <f t="shared" si="17"/>
        <v>2.9177989013726062</v>
      </c>
      <c r="U110" t="s">
        <v>73</v>
      </c>
      <c r="W110" t="s">
        <v>74</v>
      </c>
      <c r="X110" t="s">
        <v>75</v>
      </c>
    </row>
    <row r="111" spans="1:24" x14ac:dyDescent="0.2">
      <c r="A111" t="str">
        <f>'HOUSE DATA'!A84</f>
        <v>CO-08</v>
      </c>
      <c r="B111" s="10">
        <f>'HOUSE DATA'!B84</f>
        <v>9.5161301885194263</v>
      </c>
      <c r="C111" s="10">
        <f t="shared" si="9"/>
        <v>-0.29999999999999893</v>
      </c>
      <c r="D111" s="10">
        <f>2*('HOUSE DATA'!D84*('HOUSE DASHBOARD'!$B$14-42.4)+'HOUSE DATA'!E84*('HOUSE DASHBOARD'!$B$15-54.2)+'HOUSE DATA'!F84*('HOUSE DASHBOARD'!$B$16-85.4)+'HOUSE DATA'!G84*('HOUSE DASHBOARD'!$B$17-60.7)+'HOUSE DATA'!H84*('HOUSE DASHBOARD'!$B$18-53.5))/100</f>
        <v>0</v>
      </c>
      <c r="E111" s="10">
        <f>2*('HOUSE DATA'!I84*('HOUSE DASHBOARD'!$B$21-55.6)+(100-'HOUSE DATA'!I84)*('HOUSE DASHBOARD'!$B$22-44.9))/100</f>
        <v>0</v>
      </c>
      <c r="F111" s="10">
        <f>0</f>
        <v>0</v>
      </c>
      <c r="G111" s="10">
        <f t="shared" si="10"/>
        <v>0</v>
      </c>
      <c r="H111" s="2">
        <f>'HOUSE DATA'!C84+C111+G111</f>
        <v>10.199999999999996</v>
      </c>
      <c r="I111" s="3" t="str">
        <f t="shared" si="11"/>
        <v>D</v>
      </c>
      <c r="J111" s="1" t="str">
        <f>'HOUSE DATA'!K84</f>
        <v>R</v>
      </c>
      <c r="K111" s="1" t="str">
        <f t="shared" si="12"/>
        <v>R → D</v>
      </c>
      <c r="L111" t="str">
        <f t="shared" si="13"/>
        <v>D+10.20</v>
      </c>
      <c r="M111">
        <f>COUNTIF($H$31:$H$465,"&gt;"&amp;H111)+COUNTIF($H$31:H111,H111)</f>
        <v>211</v>
      </c>
      <c r="N111" s="7">
        <f t="shared" si="14"/>
        <v>10.199999999999996</v>
      </c>
      <c r="O111">
        <f>COUNTIF($N$31:$N$465,"&lt;"&amp;N111)+COUNTIF($N$31:N111,N111)</f>
        <v>89</v>
      </c>
      <c r="P111" s="10">
        <f>'HOUSE DATA'!M84</f>
        <v>-0.76000000000000512</v>
      </c>
      <c r="Q111" t="str">
        <f>'HOUSE DATA'!N84</f>
        <v>2024 HOUSE / prior substitute</v>
      </c>
      <c r="R111" s="10">
        <f t="shared" si="15"/>
        <v>10.96</v>
      </c>
      <c r="S111" s="10">
        <f t="shared" si="16"/>
        <v>10.276130188519431</v>
      </c>
      <c r="T111" s="10">
        <f t="shared" si="17"/>
        <v>0.68386981148056947</v>
      </c>
      <c r="U111" t="s">
        <v>73</v>
      </c>
      <c r="W111" t="s">
        <v>74</v>
      </c>
      <c r="X111" t="s">
        <v>75</v>
      </c>
    </row>
    <row r="112" spans="1:24" x14ac:dyDescent="0.2">
      <c r="A112" t="str">
        <f>'HOUSE DATA'!A85</f>
        <v>CT-01</v>
      </c>
      <c r="B112" s="10">
        <f>'HOUSE DATA'!B85</f>
        <v>33.23592430978136</v>
      </c>
      <c r="C112" s="10">
        <f t="shared" si="9"/>
        <v>-0.29999999999999893</v>
      </c>
      <c r="D112" s="10">
        <f>2*('HOUSE DATA'!D85*('HOUSE DASHBOARD'!$B$14-42.4)+'HOUSE DATA'!E85*('HOUSE DASHBOARD'!$B$15-54.2)+'HOUSE DATA'!F85*('HOUSE DASHBOARD'!$B$16-85.4)+'HOUSE DATA'!G85*('HOUSE DASHBOARD'!$B$17-60.7)+'HOUSE DATA'!H85*('HOUSE DASHBOARD'!$B$18-53.5))/100</f>
        <v>0</v>
      </c>
      <c r="E112" s="10">
        <f>2*('HOUSE DATA'!I85*('HOUSE DASHBOARD'!$B$21-55.6)+(100-'HOUSE DATA'!I85)*('HOUSE DASHBOARD'!$B$22-44.9))/100</f>
        <v>0</v>
      </c>
      <c r="F112" s="10">
        <f>0</f>
        <v>0</v>
      </c>
      <c r="G112" s="10">
        <f t="shared" si="10"/>
        <v>0</v>
      </c>
      <c r="H112" s="2">
        <f>'HOUSE DATA'!C85+C112+G112</f>
        <v>33.43</v>
      </c>
      <c r="I112" s="3" t="str">
        <f t="shared" si="11"/>
        <v>D</v>
      </c>
      <c r="J112" s="1" t="str">
        <f>'HOUSE DATA'!K85</f>
        <v>D</v>
      </c>
      <c r="K112" s="1" t="str">
        <f t="shared" si="12"/>
        <v>—</v>
      </c>
      <c r="L112" t="str">
        <f t="shared" si="13"/>
        <v>D+33.43</v>
      </c>
      <c r="M112">
        <f>COUNTIF($H$31:$H$465,"&gt;"&amp;H112)+COUNTIF($H$31:H112,H112)</f>
        <v>107</v>
      </c>
      <c r="N112" s="7">
        <f t="shared" si="14"/>
        <v>33.43</v>
      </c>
      <c r="O112">
        <f>COUNTIF($N$31:$N$465,"&lt;"&amp;N112)+COUNTIF($N$31:N112,N112)</f>
        <v>300</v>
      </c>
      <c r="P112" s="10">
        <f>'HOUSE DATA'!M85</f>
        <v>22.88</v>
      </c>
      <c r="Q112" t="str">
        <f>'HOUSE DATA'!N85</f>
        <v>2024 PRESIDENT (open seat)</v>
      </c>
      <c r="R112" s="10">
        <f t="shared" si="15"/>
        <v>10.55</v>
      </c>
      <c r="S112" s="10">
        <f t="shared" si="16"/>
        <v>10.355924309781361</v>
      </c>
      <c r="T112" s="10">
        <f t="shared" si="17"/>
        <v>0.19407569021863935</v>
      </c>
      <c r="U112" t="s">
        <v>73</v>
      </c>
      <c r="W112" t="s">
        <v>74</v>
      </c>
      <c r="X112" t="s">
        <v>75</v>
      </c>
    </row>
    <row r="113" spans="1:24" x14ac:dyDescent="0.2">
      <c r="A113" t="str">
        <f>'HOUSE DATA'!A86</f>
        <v>CT-02</v>
      </c>
      <c r="B113" s="10">
        <f>'HOUSE DATA'!B86</f>
        <v>24.446718263170911</v>
      </c>
      <c r="C113" s="10">
        <f t="shared" si="9"/>
        <v>-0.29999999999999893</v>
      </c>
      <c r="D113" s="10">
        <f>2*('HOUSE DATA'!D86*('HOUSE DASHBOARD'!$B$14-42.4)+'HOUSE DATA'!E86*('HOUSE DASHBOARD'!$B$15-54.2)+'HOUSE DATA'!F86*('HOUSE DASHBOARD'!$B$16-85.4)+'HOUSE DATA'!G86*('HOUSE DASHBOARD'!$B$17-60.7)+'HOUSE DATA'!H86*('HOUSE DASHBOARD'!$B$18-53.5))/100</f>
        <v>0</v>
      </c>
      <c r="E113" s="10">
        <f>2*('HOUSE DATA'!I86*('HOUSE DASHBOARD'!$B$21-55.6)+(100-'HOUSE DATA'!I86)*('HOUSE DASHBOARD'!$B$22-44.9))/100</f>
        <v>0</v>
      </c>
      <c r="F113" s="10">
        <f>0</f>
        <v>0</v>
      </c>
      <c r="G113" s="10">
        <f t="shared" si="10"/>
        <v>0</v>
      </c>
      <c r="H113" s="2">
        <f>'HOUSE DATA'!C86+C113+G113</f>
        <v>27</v>
      </c>
      <c r="I113" s="3" t="str">
        <f t="shared" si="11"/>
        <v>D</v>
      </c>
      <c r="J113" s="1" t="str">
        <f>'HOUSE DATA'!K86</f>
        <v>D</v>
      </c>
      <c r="K113" s="1" t="str">
        <f t="shared" si="12"/>
        <v>—</v>
      </c>
      <c r="L113" t="str">
        <f t="shared" si="13"/>
        <v>D+27.00</v>
      </c>
      <c r="M113">
        <f>COUNTIF($H$31:$H$465,"&gt;"&amp;H113)+COUNTIF($H$31:H113,H113)</f>
        <v>134</v>
      </c>
      <c r="N113" s="7">
        <f t="shared" si="14"/>
        <v>27</v>
      </c>
      <c r="O113">
        <f>COUNTIF($N$31:$N$465,"&lt;"&amp;N113)+COUNTIF($N$31:N113,N113)</f>
        <v>251</v>
      </c>
      <c r="P113" s="10">
        <f>'HOUSE DATA'!M86</f>
        <v>16.04</v>
      </c>
      <c r="Q113" t="str">
        <f>'HOUSE DATA'!N86</f>
        <v>2024 HOUSE / prior substitute</v>
      </c>
      <c r="R113" s="10">
        <f t="shared" si="15"/>
        <v>10.96</v>
      </c>
      <c r="S113" s="10">
        <f t="shared" si="16"/>
        <v>8.4067182631709123</v>
      </c>
      <c r="T113" s="10">
        <f t="shared" si="17"/>
        <v>2.5532817368290885</v>
      </c>
      <c r="U113" t="s">
        <v>73</v>
      </c>
      <c r="W113" t="s">
        <v>74</v>
      </c>
      <c r="X113" t="s">
        <v>75</v>
      </c>
    </row>
    <row r="114" spans="1:24" x14ac:dyDescent="0.2">
      <c r="A114" t="str">
        <f>'HOUSE DATA'!A87</f>
        <v>CT-03</v>
      </c>
      <c r="B114" s="10">
        <f>'HOUSE DATA'!B87</f>
        <v>29.141871703099902</v>
      </c>
      <c r="C114" s="10">
        <f t="shared" si="9"/>
        <v>-0.29999999999999893</v>
      </c>
      <c r="D114" s="10">
        <f>2*('HOUSE DATA'!D87*('HOUSE DASHBOARD'!$B$14-42.4)+'HOUSE DATA'!E87*('HOUSE DASHBOARD'!$B$15-54.2)+'HOUSE DATA'!F87*('HOUSE DASHBOARD'!$B$16-85.4)+'HOUSE DATA'!G87*('HOUSE DASHBOARD'!$B$17-60.7)+'HOUSE DATA'!H87*('HOUSE DASHBOARD'!$B$18-53.5))/100</f>
        <v>0</v>
      </c>
      <c r="E114" s="10">
        <f>2*('HOUSE DATA'!I87*('HOUSE DASHBOARD'!$B$21-55.6)+(100-'HOUSE DATA'!I87)*('HOUSE DASHBOARD'!$B$22-44.9))/100</f>
        <v>0</v>
      </c>
      <c r="F114" s="10">
        <f>0</f>
        <v>0</v>
      </c>
      <c r="G114" s="10">
        <f t="shared" si="10"/>
        <v>0</v>
      </c>
      <c r="H114" s="2">
        <f>'HOUSE DATA'!C87+C114+G114</f>
        <v>30.599999999999994</v>
      </c>
      <c r="I114" s="3" t="str">
        <f t="shared" si="11"/>
        <v>D</v>
      </c>
      <c r="J114" s="1" t="str">
        <f>'HOUSE DATA'!K87</f>
        <v>D</v>
      </c>
      <c r="K114" s="1" t="str">
        <f t="shared" si="12"/>
        <v>—</v>
      </c>
      <c r="L114" t="str">
        <f t="shared" si="13"/>
        <v>D+30.60</v>
      </c>
      <c r="M114">
        <f>COUNTIF($H$31:$H$465,"&gt;"&amp;H114)+COUNTIF($H$31:H114,H114)</f>
        <v>117</v>
      </c>
      <c r="N114" s="7">
        <f t="shared" si="14"/>
        <v>30.599999999999994</v>
      </c>
      <c r="O114">
        <f>COUNTIF($N$31:$N$465,"&lt;"&amp;N114)+COUNTIF($N$31:N114,N114)</f>
        <v>285</v>
      </c>
      <c r="P114" s="10">
        <f>'HOUSE DATA'!M87</f>
        <v>19.639999999999993</v>
      </c>
      <c r="Q114" t="str">
        <f>'HOUSE DATA'!N87</f>
        <v>2024 HOUSE / prior substitute</v>
      </c>
      <c r="R114" s="10">
        <f t="shared" si="15"/>
        <v>10.96</v>
      </c>
      <c r="S114" s="10">
        <f t="shared" si="16"/>
        <v>9.5018717030999085</v>
      </c>
      <c r="T114" s="10">
        <f t="shared" si="17"/>
        <v>1.4581282969000924</v>
      </c>
      <c r="U114" t="s">
        <v>73</v>
      </c>
      <c r="W114" t="s">
        <v>74</v>
      </c>
      <c r="X114" t="s">
        <v>75</v>
      </c>
    </row>
    <row r="115" spans="1:24" x14ac:dyDescent="0.2">
      <c r="A115" t="str">
        <f>'HOUSE DATA'!A88</f>
        <v>CT-04</v>
      </c>
      <c r="B115" s="10">
        <f>'HOUSE DATA'!B88</f>
        <v>32.995875167274797</v>
      </c>
      <c r="C115" s="10">
        <f t="shared" si="9"/>
        <v>-0.29999999999999893</v>
      </c>
      <c r="D115" s="10">
        <f>2*('HOUSE DATA'!D88*('HOUSE DASHBOARD'!$B$14-42.4)+'HOUSE DATA'!E88*('HOUSE DASHBOARD'!$B$15-54.2)+'HOUSE DATA'!F88*('HOUSE DASHBOARD'!$B$16-85.4)+'HOUSE DATA'!G88*('HOUSE DASHBOARD'!$B$17-60.7)+'HOUSE DATA'!H88*('HOUSE DASHBOARD'!$B$18-53.5))/100</f>
        <v>0</v>
      </c>
      <c r="E115" s="10">
        <f>2*('HOUSE DATA'!I88*('HOUSE DASHBOARD'!$B$21-55.6)+(100-'HOUSE DATA'!I88)*('HOUSE DASHBOARD'!$B$22-44.9))/100</f>
        <v>0</v>
      </c>
      <c r="F115" s="10">
        <f>0</f>
        <v>0</v>
      </c>
      <c r="G115" s="10">
        <f t="shared" si="10"/>
        <v>0</v>
      </c>
      <c r="H115" s="2">
        <f>'HOUSE DATA'!C88+C115+G115</f>
        <v>35.06</v>
      </c>
      <c r="I115" s="3" t="str">
        <f t="shared" si="11"/>
        <v>D</v>
      </c>
      <c r="J115" s="1" t="str">
        <f>'HOUSE DATA'!K88</f>
        <v>D</v>
      </c>
      <c r="K115" s="1" t="str">
        <f t="shared" si="12"/>
        <v>—</v>
      </c>
      <c r="L115" t="str">
        <f t="shared" si="13"/>
        <v>D+35.06</v>
      </c>
      <c r="M115">
        <f>COUNTIF($H$31:$H$465,"&gt;"&amp;H115)+COUNTIF($H$31:H115,H115)</f>
        <v>101</v>
      </c>
      <c r="N115" s="7">
        <f t="shared" si="14"/>
        <v>35.06</v>
      </c>
      <c r="O115">
        <f>COUNTIF($N$31:$N$465,"&lt;"&amp;N115)+COUNTIF($N$31:N115,N115)</f>
        <v>310</v>
      </c>
      <c r="P115" s="10">
        <f>'HOUSE DATA'!M88</f>
        <v>24.1</v>
      </c>
      <c r="Q115" t="str">
        <f>'HOUSE DATA'!N88</f>
        <v>2024 HOUSE / prior substitute</v>
      </c>
      <c r="R115" s="10">
        <f t="shared" si="15"/>
        <v>10.96</v>
      </c>
      <c r="S115" s="10">
        <f t="shared" si="16"/>
        <v>8.8958751672747951</v>
      </c>
      <c r="T115" s="10">
        <f t="shared" si="17"/>
        <v>2.0641248327252057</v>
      </c>
      <c r="U115" t="s">
        <v>73</v>
      </c>
      <c r="W115" t="s">
        <v>74</v>
      </c>
      <c r="X115" t="s">
        <v>75</v>
      </c>
    </row>
    <row r="116" spans="1:24" x14ac:dyDescent="0.2">
      <c r="A116" t="str">
        <f>'HOUSE DATA'!A89</f>
        <v>CT-05</v>
      </c>
      <c r="B116" s="10">
        <f>'HOUSE DATA'!B89</f>
        <v>13.818431223388066</v>
      </c>
      <c r="C116" s="10">
        <f t="shared" si="9"/>
        <v>-0.29999999999999893</v>
      </c>
      <c r="D116" s="10">
        <f>2*('HOUSE DATA'!D89*('HOUSE DASHBOARD'!$B$14-42.4)+'HOUSE DATA'!E89*('HOUSE DASHBOARD'!$B$15-54.2)+'HOUSE DATA'!F89*('HOUSE DASHBOARD'!$B$16-85.4)+'HOUSE DATA'!G89*('HOUSE DASHBOARD'!$B$17-60.7)+'HOUSE DATA'!H89*('HOUSE DASHBOARD'!$B$18-53.5))/100</f>
        <v>0</v>
      </c>
      <c r="E116" s="10">
        <f>2*('HOUSE DATA'!I89*('HOUSE DASHBOARD'!$B$21-55.6)+(100-'HOUSE DATA'!I89)*('HOUSE DASHBOARD'!$B$22-44.9))/100</f>
        <v>0</v>
      </c>
      <c r="F116" s="10">
        <f>0</f>
        <v>0</v>
      </c>
      <c r="G116" s="10">
        <f t="shared" si="10"/>
        <v>0</v>
      </c>
      <c r="H116" s="2">
        <f>'HOUSE DATA'!C89+C116+G116</f>
        <v>15.240000000000002</v>
      </c>
      <c r="I116" s="3" t="str">
        <f t="shared" si="11"/>
        <v>D</v>
      </c>
      <c r="J116" s="1" t="str">
        <f>'HOUSE DATA'!K89</f>
        <v>D</v>
      </c>
      <c r="K116" s="1" t="str">
        <f t="shared" si="12"/>
        <v>—</v>
      </c>
      <c r="L116" t="str">
        <f t="shared" si="13"/>
        <v>D+15.24</v>
      </c>
      <c r="M116">
        <f>COUNTIF($H$31:$H$465,"&gt;"&amp;H116)+COUNTIF($H$31:H116,H116)</f>
        <v>195</v>
      </c>
      <c r="N116" s="7">
        <f t="shared" si="14"/>
        <v>15.240000000000002</v>
      </c>
      <c r="O116">
        <f>COUNTIF($N$31:$N$465,"&lt;"&amp;N116)+COUNTIF($N$31:N116,N116)</f>
        <v>137</v>
      </c>
      <c r="P116" s="10">
        <f>'HOUSE DATA'!M89</f>
        <v>4.2800000000000011</v>
      </c>
      <c r="Q116" t="str">
        <f>'HOUSE DATA'!N89</f>
        <v>2024 HOUSE / prior substitute</v>
      </c>
      <c r="R116" s="10">
        <f t="shared" si="15"/>
        <v>10.96</v>
      </c>
      <c r="S116" s="10">
        <f t="shared" si="16"/>
        <v>9.5384312233880646</v>
      </c>
      <c r="T116" s="10">
        <f t="shared" si="17"/>
        <v>1.4215687766119363</v>
      </c>
      <c r="U116" t="s">
        <v>73</v>
      </c>
      <c r="W116" t="s">
        <v>74</v>
      </c>
      <c r="X116" t="s">
        <v>75</v>
      </c>
    </row>
    <row r="117" spans="1:24" x14ac:dyDescent="0.2">
      <c r="A117" t="str">
        <f>'HOUSE DATA'!A90</f>
        <v>DE-AL</v>
      </c>
      <c r="B117" s="10">
        <f>'HOUSE DATA'!B90</f>
        <v>25.465628584327654</v>
      </c>
      <c r="C117" s="10">
        <f t="shared" si="9"/>
        <v>-0.29999999999999893</v>
      </c>
      <c r="D117" s="10">
        <f>2*('HOUSE DATA'!D90*('HOUSE DASHBOARD'!$B$14-42.4)+'HOUSE DATA'!E90*('HOUSE DASHBOARD'!$B$15-54.2)+'HOUSE DATA'!F90*('HOUSE DASHBOARD'!$B$16-85.4)+'HOUSE DATA'!G90*('HOUSE DASHBOARD'!$B$17-60.7)+'HOUSE DATA'!H90*('HOUSE DASHBOARD'!$B$18-53.5))/100</f>
        <v>0</v>
      </c>
      <c r="E117" s="10">
        <f>2*('HOUSE DATA'!I90*('HOUSE DASHBOARD'!$B$21-55.6)+(100-'HOUSE DATA'!I90)*('HOUSE DASHBOARD'!$B$22-44.9))/100</f>
        <v>0</v>
      </c>
      <c r="F117" s="10">
        <f>0</f>
        <v>0</v>
      </c>
      <c r="G117" s="10">
        <f t="shared" si="10"/>
        <v>0</v>
      </c>
      <c r="H117" s="2">
        <f>'HOUSE DATA'!C90+C117+G117</f>
        <v>26.68</v>
      </c>
      <c r="I117" s="3" t="str">
        <f t="shared" si="11"/>
        <v>D</v>
      </c>
      <c r="J117" s="1" t="str">
        <f>'HOUSE DATA'!K90</f>
        <v>D</v>
      </c>
      <c r="K117" s="1" t="str">
        <f t="shared" si="12"/>
        <v>—</v>
      </c>
      <c r="L117" t="str">
        <f t="shared" si="13"/>
        <v>D+26.68</v>
      </c>
      <c r="M117">
        <f>COUNTIF($H$31:$H$465,"&gt;"&amp;H117)+COUNTIF($H$31:H117,H117)</f>
        <v>135</v>
      </c>
      <c r="N117" s="7">
        <f t="shared" si="14"/>
        <v>26.68</v>
      </c>
      <c r="O117">
        <f>COUNTIF($N$31:$N$465,"&lt;"&amp;N117)+COUNTIF($N$31:N117,N117)</f>
        <v>249</v>
      </c>
      <c r="P117" s="10">
        <f>'HOUSE DATA'!M90</f>
        <v>15.719999999999999</v>
      </c>
      <c r="Q117" t="str">
        <f>'HOUSE DATA'!N90</f>
        <v>2024 HOUSE / prior substitute</v>
      </c>
      <c r="R117" s="10">
        <f t="shared" si="15"/>
        <v>10.96</v>
      </c>
      <c r="S117" s="10">
        <f t="shared" si="16"/>
        <v>9.7456285843276547</v>
      </c>
      <c r="T117" s="10">
        <f t="shared" si="17"/>
        <v>1.2143714156723462</v>
      </c>
      <c r="U117" t="s">
        <v>73</v>
      </c>
      <c r="W117" t="s">
        <v>74</v>
      </c>
      <c r="X117" t="s">
        <v>75</v>
      </c>
    </row>
    <row r="118" spans="1:24" x14ac:dyDescent="0.2">
      <c r="A118" t="str">
        <f>'HOUSE DATA'!A91</f>
        <v>FL-01</v>
      </c>
      <c r="B118" s="10">
        <f>'HOUSE DATA'!B91</f>
        <v>-27.168671827338592</v>
      </c>
      <c r="C118" s="10">
        <f t="shared" si="9"/>
        <v>-0.29999999999999893</v>
      </c>
      <c r="D118" s="10">
        <f>2*('HOUSE DATA'!D91*('HOUSE DASHBOARD'!$B$14-42.4)+'HOUSE DATA'!E91*('HOUSE DASHBOARD'!$B$15-54.2)+'HOUSE DATA'!F91*('HOUSE DASHBOARD'!$B$16-85.4)+'HOUSE DATA'!G91*('HOUSE DASHBOARD'!$B$17-60.7)+'HOUSE DATA'!H91*('HOUSE DASHBOARD'!$B$18-53.5))/100</f>
        <v>0</v>
      </c>
      <c r="E118" s="10">
        <f>2*('HOUSE DATA'!I91*('HOUSE DASHBOARD'!$B$21-55.6)+(100-'HOUSE DATA'!I91)*('HOUSE DASHBOARD'!$B$22-44.9))/100</f>
        <v>0</v>
      </c>
      <c r="F118" s="10">
        <f>0</f>
        <v>0</v>
      </c>
      <c r="G118" s="10">
        <f t="shared" si="10"/>
        <v>0</v>
      </c>
      <c r="H118" s="2">
        <f>'HOUSE DATA'!C91+C118+G118</f>
        <v>-26.413737373737376</v>
      </c>
      <c r="I118" s="3" t="str">
        <f t="shared" si="11"/>
        <v>R</v>
      </c>
      <c r="J118" s="1" t="str">
        <f>'HOUSE DATA'!K91</f>
        <v>R</v>
      </c>
      <c r="K118" s="1" t="str">
        <f t="shared" si="12"/>
        <v>—</v>
      </c>
      <c r="L118" t="str">
        <f t="shared" si="13"/>
        <v>R+26.41</v>
      </c>
      <c r="M118">
        <f>COUNTIF($H$31:$H$465,"&gt;"&amp;H118)+COUNTIF($H$31:H118,H118)</f>
        <v>386</v>
      </c>
      <c r="N118" s="7">
        <f t="shared" si="14"/>
        <v>26.413737373737376</v>
      </c>
      <c r="O118">
        <f>COUNTIF($N$31:$N$465,"&lt;"&amp;N118)+COUNTIF($N$31:N118,N118)</f>
        <v>246</v>
      </c>
      <c r="P118" s="10">
        <f>'HOUSE DATA'!M91</f>
        <v>-37.373737373737377</v>
      </c>
      <c r="Q118" t="str">
        <f>'HOUSE DATA'!N91</f>
        <v>2024 HOUSE / prior substitute</v>
      </c>
      <c r="R118" s="10">
        <f t="shared" si="15"/>
        <v>10.96</v>
      </c>
      <c r="S118" s="10">
        <f t="shared" si="16"/>
        <v>10.205065546398785</v>
      </c>
      <c r="T118" s="10">
        <f t="shared" si="17"/>
        <v>0.75493445360121569</v>
      </c>
      <c r="U118" t="s">
        <v>73</v>
      </c>
      <c r="W118" t="s">
        <v>74</v>
      </c>
      <c r="X118" t="s">
        <v>75</v>
      </c>
    </row>
    <row r="119" spans="1:24" x14ac:dyDescent="0.2">
      <c r="A119" t="str">
        <f>'HOUSE DATA'!A92</f>
        <v>FL-02</v>
      </c>
      <c r="B119" s="10">
        <f>'HOUSE DATA'!B92</f>
        <v>-6.5188675278129011</v>
      </c>
      <c r="C119" s="10">
        <f t="shared" si="9"/>
        <v>-0.29999999999999893</v>
      </c>
      <c r="D119" s="10">
        <f>2*('HOUSE DATA'!D92*('HOUSE DASHBOARD'!$B$14-42.4)+'HOUSE DATA'!E92*('HOUSE DASHBOARD'!$B$15-54.2)+'HOUSE DATA'!F92*('HOUSE DASHBOARD'!$B$16-85.4)+'HOUSE DATA'!G92*('HOUSE DASHBOARD'!$B$17-60.7)+'HOUSE DATA'!H92*('HOUSE DASHBOARD'!$B$18-53.5))/100</f>
        <v>0</v>
      </c>
      <c r="E119" s="10">
        <f>2*('HOUSE DATA'!I92*('HOUSE DASHBOARD'!$B$21-55.6)+(100-'HOUSE DATA'!I92)*('HOUSE DASHBOARD'!$B$22-44.9))/100</f>
        <v>0</v>
      </c>
      <c r="F119" s="10">
        <f>0</f>
        <v>0</v>
      </c>
      <c r="G119" s="10">
        <f t="shared" si="10"/>
        <v>0</v>
      </c>
      <c r="H119" s="2">
        <f>'HOUSE DATA'!C92+C119+G119</f>
        <v>-7.4499999999999993</v>
      </c>
      <c r="I119" s="3" t="str">
        <f t="shared" si="11"/>
        <v>R</v>
      </c>
      <c r="J119" s="1" t="str">
        <f>'HOUSE DATA'!K92</f>
        <v>R</v>
      </c>
      <c r="K119" s="1" t="str">
        <f t="shared" si="12"/>
        <v>—</v>
      </c>
      <c r="L119" t="str">
        <f t="shared" si="13"/>
        <v>R+7.45</v>
      </c>
      <c r="M119">
        <f>COUNTIF($H$31:$H$465,"&gt;"&amp;H119)+COUNTIF($H$31:H119,H119)</f>
        <v>282</v>
      </c>
      <c r="N119" s="7">
        <f t="shared" si="14"/>
        <v>7.4499999999999993</v>
      </c>
      <c r="O119">
        <f>COUNTIF($N$31:$N$465,"&lt;"&amp;N119)+COUNTIF($N$31:N119,N119)</f>
        <v>63</v>
      </c>
      <c r="P119" s="10">
        <f>'HOUSE DATA'!M92</f>
        <v>-18</v>
      </c>
      <c r="Q119" t="str">
        <f>'HOUSE DATA'!N92</f>
        <v>2024 PRESIDENT (open seat)</v>
      </c>
      <c r="R119" s="10">
        <f t="shared" si="15"/>
        <v>10.55</v>
      </c>
      <c r="S119" s="10">
        <f t="shared" si="16"/>
        <v>11.481132472187099</v>
      </c>
      <c r="T119" s="10">
        <f t="shared" si="17"/>
        <v>-0.93113247218709816</v>
      </c>
      <c r="U119" t="s">
        <v>73</v>
      </c>
      <c r="W119" t="s">
        <v>74</v>
      </c>
      <c r="X119" t="s">
        <v>75</v>
      </c>
    </row>
    <row r="120" spans="1:24" x14ac:dyDescent="0.2">
      <c r="A120" t="str">
        <f>'HOUSE DATA'!A93</f>
        <v>FL-03</v>
      </c>
      <c r="B120" s="10">
        <f>'HOUSE DATA'!B93</f>
        <v>-9.5043902280015828</v>
      </c>
      <c r="C120" s="10">
        <f t="shared" si="9"/>
        <v>-0.29999999999999893</v>
      </c>
      <c r="D120" s="10">
        <f>2*('HOUSE DATA'!D93*('HOUSE DASHBOARD'!$B$14-42.4)+'HOUSE DATA'!E93*('HOUSE DASHBOARD'!$B$15-54.2)+'HOUSE DATA'!F93*('HOUSE DASHBOARD'!$B$16-85.4)+'HOUSE DATA'!G93*('HOUSE DASHBOARD'!$B$17-60.7)+'HOUSE DATA'!H93*('HOUSE DASHBOARD'!$B$18-53.5))/100</f>
        <v>0</v>
      </c>
      <c r="E120" s="10">
        <f>2*('HOUSE DATA'!I93*('HOUSE DASHBOARD'!$B$21-55.6)+(100-'HOUSE DATA'!I93)*('HOUSE DASHBOARD'!$B$22-44.9))/100</f>
        <v>0</v>
      </c>
      <c r="F120" s="10">
        <f>0</f>
        <v>0</v>
      </c>
      <c r="G120" s="10">
        <f t="shared" si="10"/>
        <v>0</v>
      </c>
      <c r="H120" s="2">
        <f>'HOUSE DATA'!C93+C120+G120</f>
        <v>-10.25212121212121</v>
      </c>
      <c r="I120" s="3" t="str">
        <f t="shared" si="11"/>
        <v>R</v>
      </c>
      <c r="J120" s="1" t="str">
        <f>'HOUSE DATA'!K93</f>
        <v>R</v>
      </c>
      <c r="K120" s="1" t="str">
        <f t="shared" si="12"/>
        <v>—</v>
      </c>
      <c r="L120" t="str">
        <f t="shared" si="13"/>
        <v>R+10.25</v>
      </c>
      <c r="M120">
        <f>COUNTIF($H$31:$H$465,"&gt;"&amp;H120)+COUNTIF($H$31:H120,H120)</f>
        <v>302</v>
      </c>
      <c r="N120" s="7">
        <f t="shared" si="14"/>
        <v>10.25212121212121</v>
      </c>
      <c r="O120">
        <f>COUNTIF($N$31:$N$465,"&lt;"&amp;N120)+COUNTIF($N$31:N120,N120)</f>
        <v>91</v>
      </c>
      <c r="P120" s="10">
        <f>'HOUSE DATA'!M93</f>
        <v>-21.212121212121211</v>
      </c>
      <c r="Q120" t="str">
        <f>'HOUSE DATA'!N93</f>
        <v>2024 HOUSE / prior substitute</v>
      </c>
      <c r="R120" s="10">
        <f t="shared" si="15"/>
        <v>10.96</v>
      </c>
      <c r="S120" s="10">
        <f t="shared" si="16"/>
        <v>11.707730984119628</v>
      </c>
      <c r="T120" s="10">
        <f t="shared" si="17"/>
        <v>-0.74773098411962735</v>
      </c>
      <c r="U120" t="s">
        <v>73</v>
      </c>
      <c r="W120" t="s">
        <v>74</v>
      </c>
      <c r="X120" t="s">
        <v>75</v>
      </c>
    </row>
    <row r="121" spans="1:24" x14ac:dyDescent="0.2">
      <c r="A121" t="str">
        <f>'HOUSE DATA'!A94</f>
        <v>FL-04</v>
      </c>
      <c r="B121" s="10">
        <f>'HOUSE DATA'!B94</f>
        <v>4.2028348033565033E-2</v>
      </c>
      <c r="C121" s="10">
        <f t="shared" si="9"/>
        <v>-0.29999999999999893</v>
      </c>
      <c r="D121" s="10">
        <f>2*('HOUSE DATA'!D94*('HOUSE DASHBOARD'!$B$14-42.4)+'HOUSE DATA'!E94*('HOUSE DASHBOARD'!$B$15-54.2)+'HOUSE DATA'!F94*('HOUSE DASHBOARD'!$B$16-85.4)+'HOUSE DATA'!G94*('HOUSE DASHBOARD'!$B$17-60.7)+'HOUSE DATA'!H94*('HOUSE DASHBOARD'!$B$18-53.5))/100</f>
        <v>0</v>
      </c>
      <c r="E121" s="10">
        <f>2*('HOUSE DATA'!I94*('HOUSE DASHBOARD'!$B$21-55.6)+(100-'HOUSE DATA'!I94)*('HOUSE DASHBOARD'!$B$22-44.9))/100</f>
        <v>0</v>
      </c>
      <c r="F121" s="10">
        <f>0</f>
        <v>0</v>
      </c>
      <c r="G121" s="10">
        <f t="shared" si="10"/>
        <v>0</v>
      </c>
      <c r="H121" s="2">
        <f>'HOUSE DATA'!C94+C121+G121</f>
        <v>-0.15111111111110648</v>
      </c>
      <c r="I121" s="3" t="str">
        <f t="shared" si="11"/>
        <v>R</v>
      </c>
      <c r="J121" s="1" t="str">
        <f>'HOUSE DATA'!K94</f>
        <v>R</v>
      </c>
      <c r="K121" s="1" t="str">
        <f t="shared" si="12"/>
        <v>—</v>
      </c>
      <c r="L121" t="str">
        <f t="shared" si="13"/>
        <v>R+0.15</v>
      </c>
      <c r="M121">
        <f>COUNTIF($H$31:$H$465,"&gt;"&amp;H121)+COUNTIF($H$31:H121,H121)</f>
        <v>237</v>
      </c>
      <c r="N121" s="7">
        <f t="shared" si="14"/>
        <v>0.15111111111110648</v>
      </c>
      <c r="O121">
        <f>COUNTIF($N$31:$N$465,"&lt;"&amp;N121)+COUNTIF($N$31:N121,N121)</f>
        <v>2</v>
      </c>
      <c r="P121" s="10">
        <f>'HOUSE DATA'!M94</f>
        <v>-11.111111111111107</v>
      </c>
      <c r="Q121" t="str">
        <f>'HOUSE DATA'!N94</f>
        <v>2024 HOUSE / prior substitute</v>
      </c>
      <c r="R121" s="10">
        <f t="shared" si="15"/>
        <v>10.96</v>
      </c>
      <c r="S121" s="10">
        <f t="shared" si="16"/>
        <v>11.153139459144672</v>
      </c>
      <c r="T121" s="10">
        <f t="shared" si="17"/>
        <v>-0.19313945914467151</v>
      </c>
      <c r="U121" t="s">
        <v>73</v>
      </c>
      <c r="W121" t="s">
        <v>74</v>
      </c>
      <c r="X121" t="s">
        <v>75</v>
      </c>
    </row>
    <row r="122" spans="1:24" x14ac:dyDescent="0.2">
      <c r="A122" t="str">
        <f>'HOUSE DATA'!A95</f>
        <v>FL-05</v>
      </c>
      <c r="B122" s="10">
        <f>'HOUSE DATA'!B95</f>
        <v>-11.745265389233364</v>
      </c>
      <c r="C122" s="10">
        <f t="shared" si="9"/>
        <v>-0.29999999999999893</v>
      </c>
      <c r="D122" s="10">
        <f>2*('HOUSE DATA'!D95*('HOUSE DASHBOARD'!$B$14-42.4)+'HOUSE DATA'!E95*('HOUSE DASHBOARD'!$B$15-54.2)+'HOUSE DATA'!F95*('HOUSE DASHBOARD'!$B$16-85.4)+'HOUSE DATA'!G95*('HOUSE DASHBOARD'!$B$17-60.7)+'HOUSE DATA'!H95*('HOUSE DASHBOARD'!$B$18-53.5))/100</f>
        <v>0</v>
      </c>
      <c r="E122" s="10">
        <f>2*('HOUSE DATA'!I95*('HOUSE DASHBOARD'!$B$21-55.6)+(100-'HOUSE DATA'!I95)*('HOUSE DASHBOARD'!$B$22-44.9))/100</f>
        <v>0</v>
      </c>
      <c r="F122" s="10">
        <f>0</f>
        <v>0</v>
      </c>
      <c r="G122" s="10">
        <f t="shared" si="10"/>
        <v>0</v>
      </c>
      <c r="H122" s="2">
        <f>'HOUSE DATA'!C95+C122+G122</f>
        <v>-10.25212121212121</v>
      </c>
      <c r="I122" s="3" t="str">
        <f t="shared" si="11"/>
        <v>R</v>
      </c>
      <c r="J122" s="1" t="str">
        <f>'HOUSE DATA'!K95</f>
        <v>R</v>
      </c>
      <c r="K122" s="1" t="str">
        <f t="shared" si="12"/>
        <v>—</v>
      </c>
      <c r="L122" t="str">
        <f t="shared" si="13"/>
        <v>R+10.25</v>
      </c>
      <c r="M122">
        <f>COUNTIF($H$31:$H$465,"&gt;"&amp;H122)+COUNTIF($H$31:H122,H122)</f>
        <v>303</v>
      </c>
      <c r="N122" s="7">
        <f t="shared" si="14"/>
        <v>10.25212121212121</v>
      </c>
      <c r="O122">
        <f>COUNTIF($N$31:$N$465,"&lt;"&amp;N122)+COUNTIF($N$31:N122,N122)</f>
        <v>92</v>
      </c>
      <c r="P122" s="10">
        <f>'HOUSE DATA'!M95</f>
        <v>-21.212121212121211</v>
      </c>
      <c r="Q122" t="str">
        <f>'HOUSE DATA'!N95</f>
        <v>2024 HOUSE / prior substitute</v>
      </c>
      <c r="R122" s="10">
        <f t="shared" si="15"/>
        <v>10.96</v>
      </c>
      <c r="S122" s="10">
        <f t="shared" si="16"/>
        <v>9.4668558228878474</v>
      </c>
      <c r="T122" s="10">
        <f t="shared" si="17"/>
        <v>1.4931441771121534</v>
      </c>
      <c r="U122" t="s">
        <v>73</v>
      </c>
      <c r="W122" t="s">
        <v>74</v>
      </c>
      <c r="X122" t="s">
        <v>75</v>
      </c>
    </row>
    <row r="123" spans="1:24" x14ac:dyDescent="0.2">
      <c r="A123" t="str">
        <f>'HOUSE DATA'!A96</f>
        <v>FL-06</v>
      </c>
      <c r="B123" s="10">
        <f>'HOUSE DATA'!B96</f>
        <v>-18.889630592283954</v>
      </c>
      <c r="C123" s="10">
        <f t="shared" si="9"/>
        <v>-0.29999999999999893</v>
      </c>
      <c r="D123" s="10">
        <f>2*('HOUSE DATA'!D96*('HOUSE DASHBOARD'!$B$14-42.4)+'HOUSE DATA'!E96*('HOUSE DASHBOARD'!$B$15-54.2)+'HOUSE DATA'!F96*('HOUSE DASHBOARD'!$B$16-85.4)+'HOUSE DATA'!G96*('HOUSE DASHBOARD'!$B$17-60.7)+'HOUSE DATA'!H96*('HOUSE DASHBOARD'!$B$18-53.5))/100</f>
        <v>0</v>
      </c>
      <c r="E123" s="10">
        <f>2*('HOUSE DATA'!I96*('HOUSE DASHBOARD'!$B$21-55.6)+(100-'HOUSE DATA'!I96)*('HOUSE DASHBOARD'!$B$22-44.9))/100</f>
        <v>0</v>
      </c>
      <c r="F123" s="10">
        <f>0</f>
        <v>0</v>
      </c>
      <c r="G123" s="10">
        <f t="shared" si="10"/>
        <v>0</v>
      </c>
      <c r="H123" s="2">
        <f>'HOUSE DATA'!C96+C123+G123</f>
        <v>-19.04</v>
      </c>
      <c r="I123" s="3" t="str">
        <f t="shared" si="11"/>
        <v>R</v>
      </c>
      <c r="J123" s="1" t="str">
        <f>'HOUSE DATA'!K96</f>
        <v>R</v>
      </c>
      <c r="K123" s="1" t="str">
        <f t="shared" si="12"/>
        <v>—</v>
      </c>
      <c r="L123" t="str">
        <f t="shared" si="13"/>
        <v>R+19.04</v>
      </c>
      <c r="M123">
        <f>COUNTIF($H$31:$H$465,"&gt;"&amp;H123)+COUNTIF($H$31:H123,H123)</f>
        <v>353</v>
      </c>
      <c r="N123" s="7">
        <f t="shared" si="14"/>
        <v>19.04</v>
      </c>
      <c r="O123">
        <f>COUNTIF($N$31:$N$465,"&lt;"&amp;N123)+COUNTIF($N$31:N123,N123)</f>
        <v>175</v>
      </c>
      <c r="P123" s="10">
        <f>'HOUSE DATA'!M96</f>
        <v>-30</v>
      </c>
      <c r="Q123" t="str">
        <f>'HOUSE DATA'!N96</f>
        <v>2024 HOUSE / prior substitute</v>
      </c>
      <c r="R123" s="10">
        <f t="shared" si="15"/>
        <v>10.96</v>
      </c>
      <c r="S123" s="10">
        <f t="shared" si="16"/>
        <v>11.110369407716046</v>
      </c>
      <c r="T123" s="10">
        <f t="shared" si="17"/>
        <v>-0.15036940771604534</v>
      </c>
      <c r="U123" t="s">
        <v>73</v>
      </c>
      <c r="W123" t="s">
        <v>74</v>
      </c>
      <c r="X123" t="s">
        <v>75</v>
      </c>
    </row>
    <row r="124" spans="1:24" x14ac:dyDescent="0.2">
      <c r="A124" t="str">
        <f>'HOUSE DATA'!A97</f>
        <v>FL-07</v>
      </c>
      <c r="B124" s="10">
        <f>'HOUSE DATA'!B97</f>
        <v>-1.8226908760798477</v>
      </c>
      <c r="C124" s="10">
        <f t="shared" si="9"/>
        <v>-0.29999999999999893</v>
      </c>
      <c r="D124" s="10">
        <f>2*('HOUSE DATA'!D97*('HOUSE DASHBOARD'!$B$14-42.4)+'HOUSE DATA'!E97*('HOUSE DASHBOARD'!$B$15-54.2)+'HOUSE DATA'!F97*('HOUSE DASHBOARD'!$B$16-85.4)+'HOUSE DATA'!G97*('HOUSE DASHBOARD'!$B$17-60.7)+'HOUSE DATA'!H97*('HOUSE DASHBOARD'!$B$18-53.5))/100</f>
        <v>0</v>
      </c>
      <c r="E124" s="10">
        <f>2*('HOUSE DATA'!I97*('HOUSE DASHBOARD'!$B$21-55.6)+(100-'HOUSE DATA'!I97)*('HOUSE DASHBOARD'!$B$22-44.9))/100</f>
        <v>0</v>
      </c>
      <c r="F124" s="10">
        <f>0</f>
        <v>0</v>
      </c>
      <c r="G124" s="10">
        <f t="shared" si="10"/>
        <v>0</v>
      </c>
      <c r="H124" s="2">
        <f>'HOUSE DATA'!C97+C124+G124</f>
        <v>-1.9299999999999997</v>
      </c>
      <c r="I124" s="3" t="str">
        <f t="shared" si="11"/>
        <v>R</v>
      </c>
      <c r="J124" s="1" t="str">
        <f>'HOUSE DATA'!K97</f>
        <v>R</v>
      </c>
      <c r="K124" s="1" t="str">
        <f t="shared" si="12"/>
        <v>—</v>
      </c>
      <c r="L124" t="str">
        <f t="shared" si="13"/>
        <v>R+1.93</v>
      </c>
      <c r="M124">
        <f>COUNTIF($H$31:$H$465,"&gt;"&amp;H124)+COUNTIF($H$31:H124,H124)</f>
        <v>247</v>
      </c>
      <c r="N124" s="7">
        <f t="shared" si="14"/>
        <v>1.9299999999999997</v>
      </c>
      <c r="O124">
        <f>COUNTIF($N$31:$N$465,"&lt;"&amp;N124)+COUNTIF($N$31:N124,N124)</f>
        <v>18</v>
      </c>
      <c r="P124" s="10">
        <f>'HOUSE DATA'!M97</f>
        <v>-12.48</v>
      </c>
      <c r="Q124" t="str">
        <f>'HOUSE DATA'!N97</f>
        <v>2024 PRESIDENT (open seat)</v>
      </c>
      <c r="R124" s="10">
        <f t="shared" si="15"/>
        <v>10.55</v>
      </c>
      <c r="S124" s="10">
        <f t="shared" si="16"/>
        <v>10.657309123920152</v>
      </c>
      <c r="T124" s="10">
        <f t="shared" si="17"/>
        <v>-0.10730912392015202</v>
      </c>
      <c r="U124" t="s">
        <v>73</v>
      </c>
      <c r="W124" t="s">
        <v>74</v>
      </c>
      <c r="X124" t="s">
        <v>75</v>
      </c>
    </row>
    <row r="125" spans="1:24" x14ac:dyDescent="0.2">
      <c r="A125" t="str">
        <f>'HOUSE DATA'!A98</f>
        <v>FL-08</v>
      </c>
      <c r="B125" s="10">
        <f>'HOUSE DATA'!B98</f>
        <v>-7.1361761269464452</v>
      </c>
      <c r="C125" s="10">
        <f t="shared" si="9"/>
        <v>-0.29999999999999893</v>
      </c>
      <c r="D125" s="10">
        <f>2*('HOUSE DATA'!D98*('HOUSE DASHBOARD'!$B$14-42.4)+'HOUSE DATA'!E98*('HOUSE DASHBOARD'!$B$15-54.2)+'HOUSE DATA'!F98*('HOUSE DASHBOARD'!$B$16-85.4)+'HOUSE DATA'!G98*('HOUSE DASHBOARD'!$B$17-60.7)+'HOUSE DATA'!H98*('HOUSE DASHBOARD'!$B$18-53.5))/100</f>
        <v>0</v>
      </c>
      <c r="E125" s="10">
        <f>2*('HOUSE DATA'!I98*('HOUSE DASHBOARD'!$B$21-55.6)+(100-'HOUSE DATA'!I98)*('HOUSE DASHBOARD'!$B$22-44.9))/100</f>
        <v>0</v>
      </c>
      <c r="F125" s="10">
        <f>0</f>
        <v>0</v>
      </c>
      <c r="G125" s="10">
        <f t="shared" si="10"/>
        <v>0</v>
      </c>
      <c r="H125" s="2">
        <f>'HOUSE DATA'!C98+C125+G125</f>
        <v>-6.2117171717171757</v>
      </c>
      <c r="I125" s="3" t="str">
        <f t="shared" si="11"/>
        <v>R</v>
      </c>
      <c r="J125" s="1" t="str">
        <f>'HOUSE DATA'!K98</f>
        <v>R</v>
      </c>
      <c r="K125" s="1" t="str">
        <f t="shared" si="12"/>
        <v>—</v>
      </c>
      <c r="L125" t="str">
        <f t="shared" si="13"/>
        <v>R+6.21</v>
      </c>
      <c r="M125">
        <f>COUNTIF($H$31:$H$465,"&gt;"&amp;H125)+COUNTIF($H$31:H125,H125)</f>
        <v>274</v>
      </c>
      <c r="N125" s="7">
        <f t="shared" si="14"/>
        <v>6.2117171717171757</v>
      </c>
      <c r="O125">
        <f>COUNTIF($N$31:$N$465,"&lt;"&amp;N125)+COUNTIF($N$31:N125,N125)</f>
        <v>51</v>
      </c>
      <c r="P125" s="10">
        <f>'HOUSE DATA'!M98</f>
        <v>-17.171717171717177</v>
      </c>
      <c r="Q125" t="str">
        <f>'HOUSE DATA'!N98</f>
        <v>2024 HOUSE / prior substitute</v>
      </c>
      <c r="R125" s="10">
        <f t="shared" si="15"/>
        <v>10.96</v>
      </c>
      <c r="S125" s="10">
        <f t="shared" si="16"/>
        <v>10.035541044770731</v>
      </c>
      <c r="T125" s="10">
        <f t="shared" si="17"/>
        <v>0.92445895522926946</v>
      </c>
      <c r="U125" t="s">
        <v>73</v>
      </c>
      <c r="W125" t="s">
        <v>74</v>
      </c>
      <c r="X125" t="s">
        <v>75</v>
      </c>
    </row>
    <row r="126" spans="1:24" x14ac:dyDescent="0.2">
      <c r="A126" t="str">
        <f>'HOUSE DATA'!A99</f>
        <v>FL-09</v>
      </c>
      <c r="B126" s="10">
        <f>'HOUSE DATA'!B99</f>
        <v>-3.3904703488404957</v>
      </c>
      <c r="C126" s="10">
        <f t="shared" si="9"/>
        <v>-0.29999999999999893</v>
      </c>
      <c r="D126" s="10">
        <f>2*('HOUSE DATA'!D99*('HOUSE DASHBOARD'!$B$14-42.4)+'HOUSE DATA'!E99*('HOUSE DASHBOARD'!$B$15-54.2)+'HOUSE DATA'!F99*('HOUSE DASHBOARD'!$B$16-85.4)+'HOUSE DATA'!G99*('HOUSE DASHBOARD'!$B$17-60.7)+'HOUSE DATA'!H99*('HOUSE DASHBOARD'!$B$18-53.5))/100</f>
        <v>0</v>
      </c>
      <c r="E126" s="10">
        <f>2*('HOUSE DATA'!I99*('HOUSE DASHBOARD'!$B$21-55.6)+(100-'HOUSE DATA'!I99)*('HOUSE DASHBOARD'!$B$22-44.9))/100</f>
        <v>0</v>
      </c>
      <c r="F126" s="10">
        <f>0</f>
        <v>0</v>
      </c>
      <c r="G126" s="10">
        <f t="shared" si="10"/>
        <v>0</v>
      </c>
      <c r="H126" s="2">
        <f>'HOUSE DATA'!C99+C126+G126</f>
        <v>-6.2117171717171757</v>
      </c>
      <c r="I126" s="3" t="str">
        <f t="shared" si="11"/>
        <v>R</v>
      </c>
      <c r="J126" s="1" t="str">
        <f>'HOUSE DATA'!K99</f>
        <v>D</v>
      </c>
      <c r="K126" s="1" t="str">
        <f t="shared" si="12"/>
        <v>D → R</v>
      </c>
      <c r="L126" t="str">
        <f t="shared" si="13"/>
        <v>R+6.21</v>
      </c>
      <c r="M126">
        <f>COUNTIF($H$31:$H$465,"&gt;"&amp;H126)+COUNTIF($H$31:H126,H126)</f>
        <v>275</v>
      </c>
      <c r="N126" s="7">
        <f t="shared" si="14"/>
        <v>6.2117171717171757</v>
      </c>
      <c r="O126">
        <f>COUNTIF($N$31:$N$465,"&lt;"&amp;N126)+COUNTIF($N$31:N126,N126)</f>
        <v>52</v>
      </c>
      <c r="P126" s="10">
        <f>'HOUSE DATA'!M99</f>
        <v>-17.171717171717177</v>
      </c>
      <c r="Q126" t="str">
        <f>'HOUSE DATA'!N99</f>
        <v>2024 HOUSE / prior substitute</v>
      </c>
      <c r="R126" s="10">
        <f t="shared" si="15"/>
        <v>10.96</v>
      </c>
      <c r="S126" s="10">
        <f t="shared" si="16"/>
        <v>13.781246822876682</v>
      </c>
      <c r="T126" s="10">
        <f t="shared" si="17"/>
        <v>-2.82124682287668</v>
      </c>
      <c r="U126" t="s">
        <v>73</v>
      </c>
      <c r="W126" t="s">
        <v>74</v>
      </c>
      <c r="X126" t="s">
        <v>75</v>
      </c>
    </row>
    <row r="127" spans="1:24" x14ac:dyDescent="0.2">
      <c r="A127" t="str">
        <f>'HOUSE DATA'!A100</f>
        <v>FL-10</v>
      </c>
      <c r="B127" s="10">
        <f>'HOUSE DATA'!B100</f>
        <v>37.499270482665473</v>
      </c>
      <c r="C127" s="10">
        <f t="shared" si="9"/>
        <v>-0.29999999999999893</v>
      </c>
      <c r="D127" s="10">
        <f>2*('HOUSE DATA'!D100*('HOUSE DASHBOARD'!$B$14-42.4)+'HOUSE DATA'!E100*('HOUSE DASHBOARD'!$B$15-54.2)+'HOUSE DATA'!F100*('HOUSE DASHBOARD'!$B$16-85.4)+'HOUSE DATA'!G100*('HOUSE DASHBOARD'!$B$17-60.7)+'HOUSE DATA'!H100*('HOUSE DASHBOARD'!$B$18-53.5))/100</f>
        <v>0</v>
      </c>
      <c r="E127" s="10">
        <f>2*('HOUSE DATA'!I100*('HOUSE DASHBOARD'!$B$21-55.6)+(100-'HOUSE DATA'!I100)*('HOUSE DASHBOARD'!$B$22-44.9))/100</f>
        <v>0</v>
      </c>
      <c r="F127" s="10">
        <f>0</f>
        <v>0</v>
      </c>
      <c r="G127" s="10">
        <f t="shared" si="10"/>
        <v>0</v>
      </c>
      <c r="H127" s="2">
        <f>'HOUSE DATA'!C100+C127+G127</f>
        <v>35.44979591836735</v>
      </c>
      <c r="I127" s="3" t="str">
        <f t="shared" si="11"/>
        <v>D</v>
      </c>
      <c r="J127" s="1" t="str">
        <f>'HOUSE DATA'!K100</f>
        <v>D</v>
      </c>
      <c r="K127" s="1" t="str">
        <f t="shared" si="12"/>
        <v>—</v>
      </c>
      <c r="L127" t="str">
        <f t="shared" si="13"/>
        <v>D — BALLOT LOCK</v>
      </c>
      <c r="M127">
        <f>COUNTIF($H$31:$H$465,"&gt;"&amp;H127)+COUNTIF($H$31:H127,H127)</f>
        <v>99</v>
      </c>
      <c r="N127" s="7">
        <f t="shared" si="14"/>
        <v>100</v>
      </c>
      <c r="O127">
        <f>COUNTIF($N$31:$N$465,"&lt;"&amp;N127)+COUNTIF($N$31:N127,N127)</f>
        <v>431</v>
      </c>
      <c r="P127" s="10">
        <f>'HOUSE DATA'!M100</f>
        <v>24.489795918367349</v>
      </c>
      <c r="Q127" t="str">
        <f>'HOUSE DATA'!N100</f>
        <v>2024 HOUSE / prior substitute</v>
      </c>
      <c r="R127" s="10">
        <f t="shared" si="15"/>
        <v>10.96</v>
      </c>
      <c r="S127" s="10">
        <f t="shared" si="16"/>
        <v>13.009474564298124</v>
      </c>
      <c r="T127" s="10">
        <f t="shared" si="17"/>
        <v>-2.0494745642981229</v>
      </c>
      <c r="U127" t="s">
        <v>84</v>
      </c>
      <c r="V127" t="s">
        <v>77</v>
      </c>
      <c r="W127" t="s">
        <v>85</v>
      </c>
      <c r="X127" t="s">
        <v>86</v>
      </c>
    </row>
    <row r="128" spans="1:24" x14ac:dyDescent="0.2">
      <c r="A128" t="str">
        <f>'HOUSE DATA'!A101</f>
        <v>FL-11</v>
      </c>
      <c r="B128" s="10">
        <f>'HOUSE DATA'!B101</f>
        <v>-5.2868190038705212</v>
      </c>
      <c r="C128" s="10">
        <f t="shared" si="9"/>
        <v>-0.29999999999999893</v>
      </c>
      <c r="D128" s="10">
        <f>2*('HOUSE DATA'!D101*('HOUSE DASHBOARD'!$B$14-42.4)+'HOUSE DATA'!E101*('HOUSE DASHBOARD'!$B$15-54.2)+'HOUSE DATA'!F101*('HOUSE DASHBOARD'!$B$16-85.4)+'HOUSE DATA'!G101*('HOUSE DASHBOARD'!$B$17-60.7)+'HOUSE DATA'!H101*('HOUSE DASHBOARD'!$B$18-53.5))/100</f>
        <v>0</v>
      </c>
      <c r="E128" s="10">
        <f>2*('HOUSE DATA'!I101*('HOUSE DASHBOARD'!$B$21-55.6)+(100-'HOUSE DATA'!I101)*('HOUSE DASHBOARD'!$B$22-44.9))/100</f>
        <v>0</v>
      </c>
      <c r="F128" s="10">
        <f>0</f>
        <v>0</v>
      </c>
      <c r="G128" s="10">
        <f t="shared" si="10"/>
        <v>0</v>
      </c>
      <c r="H128" s="2">
        <f>'HOUSE DATA'!C101+C128+G128</f>
        <v>-5.1399999999999988</v>
      </c>
      <c r="I128" s="3" t="str">
        <f t="shared" si="11"/>
        <v>R</v>
      </c>
      <c r="J128" s="1" t="str">
        <f>'HOUSE DATA'!K101</f>
        <v>R</v>
      </c>
      <c r="K128" s="1" t="str">
        <f t="shared" si="12"/>
        <v>—</v>
      </c>
      <c r="L128" t="str">
        <f t="shared" si="13"/>
        <v>R+5.14</v>
      </c>
      <c r="M128">
        <f>COUNTIF($H$31:$H$465,"&gt;"&amp;H128)+COUNTIF($H$31:H128,H128)</f>
        <v>268</v>
      </c>
      <c r="N128" s="7">
        <f t="shared" si="14"/>
        <v>5.1399999999999988</v>
      </c>
      <c r="O128">
        <f>COUNTIF($N$31:$N$465,"&lt;"&amp;N128)+COUNTIF($N$31:N128,N128)</f>
        <v>42</v>
      </c>
      <c r="P128" s="10">
        <f>'HOUSE DATA'!M101</f>
        <v>-15.69</v>
      </c>
      <c r="Q128" t="str">
        <f>'HOUSE DATA'!N101</f>
        <v>2024 PRESIDENT (open seat)</v>
      </c>
      <c r="R128" s="10">
        <f t="shared" si="15"/>
        <v>10.55</v>
      </c>
      <c r="S128" s="10">
        <f t="shared" si="16"/>
        <v>10.403180996129478</v>
      </c>
      <c r="T128" s="10">
        <f t="shared" si="17"/>
        <v>0.14681900387052238</v>
      </c>
      <c r="U128" t="s">
        <v>73</v>
      </c>
      <c r="W128" t="s">
        <v>74</v>
      </c>
      <c r="X128" t="s">
        <v>75</v>
      </c>
    </row>
    <row r="129" spans="1:24" x14ac:dyDescent="0.2">
      <c r="A129" t="str">
        <f>'HOUSE DATA'!A102</f>
        <v>FL-12</v>
      </c>
      <c r="B129" s="10">
        <f>'HOUSE DATA'!B102</f>
        <v>-4.0200198972640742</v>
      </c>
      <c r="C129" s="10">
        <f t="shared" si="9"/>
        <v>-0.29999999999999893</v>
      </c>
      <c r="D129" s="10">
        <f>2*('HOUSE DATA'!D102*('HOUSE DASHBOARD'!$B$14-42.4)+'HOUSE DATA'!E102*('HOUSE DASHBOARD'!$B$15-54.2)+'HOUSE DATA'!F102*('HOUSE DASHBOARD'!$B$16-85.4)+'HOUSE DATA'!G102*('HOUSE DASHBOARD'!$B$17-60.7)+'HOUSE DATA'!H102*('HOUSE DASHBOARD'!$B$18-53.5))/100</f>
        <v>0</v>
      </c>
      <c r="E129" s="10">
        <f>2*('HOUSE DATA'!I102*('HOUSE DASHBOARD'!$B$21-55.6)+(100-'HOUSE DATA'!I102)*('HOUSE DASHBOARD'!$B$22-44.9))/100</f>
        <v>0</v>
      </c>
      <c r="F129" s="10">
        <f>0</f>
        <v>0</v>
      </c>
      <c r="G129" s="10">
        <f t="shared" si="10"/>
        <v>0</v>
      </c>
      <c r="H129" s="2">
        <f>'HOUSE DATA'!C102+C129+G129</f>
        <v>-4.1915151515151479</v>
      </c>
      <c r="I129" s="3" t="str">
        <f t="shared" si="11"/>
        <v>R</v>
      </c>
      <c r="J129" s="1" t="str">
        <f>'HOUSE DATA'!K102</f>
        <v>R</v>
      </c>
      <c r="K129" s="1" t="str">
        <f t="shared" si="12"/>
        <v>—</v>
      </c>
      <c r="L129" t="str">
        <f t="shared" si="13"/>
        <v>R+4.19</v>
      </c>
      <c r="M129">
        <f>COUNTIF($H$31:$H$465,"&gt;"&amp;H129)+COUNTIF($H$31:H129,H129)</f>
        <v>262</v>
      </c>
      <c r="N129" s="7">
        <f t="shared" si="14"/>
        <v>4.1915151515151479</v>
      </c>
      <c r="O129">
        <f>COUNTIF($N$31:$N$465,"&lt;"&amp;N129)+COUNTIF($N$31:N129,N129)</f>
        <v>35</v>
      </c>
      <c r="P129" s="10">
        <f>'HOUSE DATA'!M102</f>
        <v>-15.151515151515149</v>
      </c>
      <c r="Q129" t="str">
        <f>'HOUSE DATA'!N102</f>
        <v>2024 HOUSE / prior substitute</v>
      </c>
      <c r="R129" s="10">
        <f t="shared" si="15"/>
        <v>10.96</v>
      </c>
      <c r="S129" s="10">
        <f t="shared" si="16"/>
        <v>11.131495254251075</v>
      </c>
      <c r="T129" s="10">
        <f t="shared" si="17"/>
        <v>-0.1714952542510737</v>
      </c>
      <c r="U129" t="s">
        <v>73</v>
      </c>
      <c r="W129" t="s">
        <v>74</v>
      </c>
      <c r="X129" t="s">
        <v>75</v>
      </c>
    </row>
    <row r="130" spans="1:24" x14ac:dyDescent="0.2">
      <c r="A130" t="str">
        <f>'HOUSE DATA'!A103</f>
        <v>FL-13</v>
      </c>
      <c r="B130" s="10">
        <f>'HOUSE DATA'!B103</f>
        <v>-2.6128683656483265</v>
      </c>
      <c r="C130" s="10">
        <f t="shared" si="9"/>
        <v>-0.29999999999999893</v>
      </c>
      <c r="D130" s="10">
        <f>2*('HOUSE DATA'!D103*('HOUSE DASHBOARD'!$B$14-42.4)+'HOUSE DATA'!E103*('HOUSE DASHBOARD'!$B$15-54.2)+'HOUSE DATA'!F103*('HOUSE DASHBOARD'!$B$16-85.4)+'HOUSE DATA'!G103*('HOUSE DASHBOARD'!$B$17-60.7)+'HOUSE DATA'!H103*('HOUSE DASHBOARD'!$B$18-53.5))/100</f>
        <v>0</v>
      </c>
      <c r="E130" s="10">
        <f>2*('HOUSE DATA'!I103*('HOUSE DASHBOARD'!$B$21-55.6)+(100-'HOUSE DATA'!I103)*('HOUSE DASHBOARD'!$B$22-44.9))/100</f>
        <v>0</v>
      </c>
      <c r="F130" s="10">
        <f>0</f>
        <v>0</v>
      </c>
      <c r="G130" s="10">
        <f t="shared" si="10"/>
        <v>0</v>
      </c>
      <c r="H130" s="2">
        <f>'HOUSE DATA'!C103+C130+G130</f>
        <v>-2.1713131313131342</v>
      </c>
      <c r="I130" s="3" t="str">
        <f t="shared" si="11"/>
        <v>R</v>
      </c>
      <c r="J130" s="1" t="str">
        <f>'HOUSE DATA'!K103</f>
        <v>R</v>
      </c>
      <c r="K130" s="1" t="str">
        <f t="shared" si="12"/>
        <v>—</v>
      </c>
      <c r="L130" t="str">
        <f t="shared" si="13"/>
        <v>R+2.17</v>
      </c>
      <c r="M130">
        <f>COUNTIF($H$31:$H$465,"&gt;"&amp;H130)+COUNTIF($H$31:H130,H130)</f>
        <v>249</v>
      </c>
      <c r="N130" s="7">
        <f t="shared" si="14"/>
        <v>2.1713131313131342</v>
      </c>
      <c r="O130">
        <f>COUNTIF($N$31:$N$465,"&lt;"&amp;N130)+COUNTIF($N$31:N130,N130)</f>
        <v>21</v>
      </c>
      <c r="P130" s="10">
        <f>'HOUSE DATA'!M103</f>
        <v>-13.131313131313135</v>
      </c>
      <c r="Q130" t="str">
        <f>'HOUSE DATA'!N103</f>
        <v>2024 HOUSE / prior substitute</v>
      </c>
      <c r="R130" s="10">
        <f t="shared" si="15"/>
        <v>10.96</v>
      </c>
      <c r="S130" s="10">
        <f t="shared" si="16"/>
        <v>10.518444765664809</v>
      </c>
      <c r="T130" s="10">
        <f t="shared" si="17"/>
        <v>0.44155523433519228</v>
      </c>
      <c r="U130" t="s">
        <v>73</v>
      </c>
      <c r="W130" t="s">
        <v>74</v>
      </c>
      <c r="X130" t="s">
        <v>75</v>
      </c>
    </row>
    <row r="131" spans="1:24" x14ac:dyDescent="0.2">
      <c r="A131" t="str">
        <f>'HOUSE DATA'!A104</f>
        <v>FL-14</v>
      </c>
      <c r="B131" s="10">
        <f>'HOUSE DATA'!B104</f>
        <v>0.63459683276524526</v>
      </c>
      <c r="C131" s="10">
        <f t="shared" si="9"/>
        <v>-0.29999999999999893</v>
      </c>
      <c r="D131" s="10">
        <f>2*('HOUSE DATA'!D104*('HOUSE DASHBOARD'!$B$14-42.4)+'HOUSE DATA'!E104*('HOUSE DASHBOARD'!$B$15-54.2)+'HOUSE DATA'!F104*('HOUSE DASHBOARD'!$B$16-85.4)+'HOUSE DATA'!G104*('HOUSE DASHBOARD'!$B$17-60.7)+'HOUSE DATA'!H104*('HOUSE DASHBOARD'!$B$18-53.5))/100</f>
        <v>0</v>
      </c>
      <c r="E131" s="10">
        <f>2*('HOUSE DATA'!I104*('HOUSE DASHBOARD'!$B$21-55.6)+(100-'HOUSE DATA'!I104)*('HOUSE DASHBOARD'!$B$22-44.9))/100</f>
        <v>0</v>
      </c>
      <c r="F131" s="10">
        <f>0</f>
        <v>0</v>
      </c>
      <c r="G131" s="10">
        <f t="shared" si="10"/>
        <v>0</v>
      </c>
      <c r="H131" s="2">
        <f>'HOUSE DATA'!C104+C131+G131</f>
        <v>-0.15111111111110648</v>
      </c>
      <c r="I131" s="3" t="str">
        <f t="shared" si="11"/>
        <v>R</v>
      </c>
      <c r="J131" s="1" t="str">
        <f>'HOUSE DATA'!K104</f>
        <v>D</v>
      </c>
      <c r="K131" s="1" t="str">
        <f t="shared" si="12"/>
        <v>D → R</v>
      </c>
      <c r="L131" t="str">
        <f t="shared" si="13"/>
        <v>R+0.15</v>
      </c>
      <c r="M131">
        <f>COUNTIF($H$31:$H$465,"&gt;"&amp;H131)+COUNTIF($H$31:H131,H131)</f>
        <v>238</v>
      </c>
      <c r="N131" s="7">
        <f t="shared" si="14"/>
        <v>0.15111111111110648</v>
      </c>
      <c r="O131">
        <f>COUNTIF($N$31:$N$465,"&lt;"&amp;N131)+COUNTIF($N$31:N131,N131)</f>
        <v>3</v>
      </c>
      <c r="P131" s="10">
        <f>'HOUSE DATA'!M104</f>
        <v>-11.111111111111107</v>
      </c>
      <c r="Q131" t="str">
        <f>'HOUSE DATA'!N104</f>
        <v>2024 HOUSE / prior substitute</v>
      </c>
      <c r="R131" s="10">
        <f t="shared" si="15"/>
        <v>10.96</v>
      </c>
      <c r="S131" s="10">
        <f t="shared" si="16"/>
        <v>11.745707943876353</v>
      </c>
      <c r="T131" s="10">
        <f t="shared" si="17"/>
        <v>-0.78570794387635168</v>
      </c>
      <c r="U131" t="s">
        <v>73</v>
      </c>
      <c r="W131" t="s">
        <v>74</v>
      </c>
      <c r="X131" t="s">
        <v>75</v>
      </c>
    </row>
    <row r="132" spans="1:24" x14ac:dyDescent="0.2">
      <c r="A132" t="str">
        <f>'HOUSE DATA'!A105</f>
        <v>FL-15</v>
      </c>
      <c r="B132" s="10">
        <f>'HOUSE DATA'!B105</f>
        <v>-8.5136442248328823</v>
      </c>
      <c r="C132" s="10">
        <f t="shared" si="9"/>
        <v>-0.29999999999999893</v>
      </c>
      <c r="D132" s="10">
        <f>2*('HOUSE DATA'!D105*('HOUSE DASHBOARD'!$B$14-42.4)+'HOUSE DATA'!E105*('HOUSE DASHBOARD'!$B$15-54.2)+'HOUSE DATA'!F105*('HOUSE DASHBOARD'!$B$16-85.4)+'HOUSE DATA'!G105*('HOUSE DASHBOARD'!$B$17-60.7)+'HOUSE DATA'!H105*('HOUSE DASHBOARD'!$B$18-53.5))/100</f>
        <v>0</v>
      </c>
      <c r="E132" s="10">
        <f>2*('HOUSE DATA'!I105*('HOUSE DASHBOARD'!$B$21-55.6)+(100-'HOUSE DATA'!I105)*('HOUSE DASHBOARD'!$B$22-44.9))/100</f>
        <v>0</v>
      </c>
      <c r="F132" s="10">
        <f>0</f>
        <v>0</v>
      </c>
      <c r="G132" s="10">
        <f t="shared" si="10"/>
        <v>0</v>
      </c>
      <c r="H132" s="2">
        <f>'HOUSE DATA'!C105+C132+G132</f>
        <v>-9.4481632653061283</v>
      </c>
      <c r="I132" s="3" t="str">
        <f t="shared" si="11"/>
        <v>R</v>
      </c>
      <c r="J132" s="1" t="str">
        <f>'HOUSE DATA'!K105</f>
        <v>R</v>
      </c>
      <c r="K132" s="1" t="str">
        <f t="shared" si="12"/>
        <v>—</v>
      </c>
      <c r="L132" t="str">
        <f t="shared" si="13"/>
        <v>R+9.45</v>
      </c>
      <c r="M132">
        <f>COUNTIF($H$31:$H$465,"&gt;"&amp;H132)+COUNTIF($H$31:H132,H132)</f>
        <v>296</v>
      </c>
      <c r="N132" s="7">
        <f t="shared" si="14"/>
        <v>9.4481632653061283</v>
      </c>
      <c r="O132">
        <f>COUNTIF($N$31:$N$465,"&lt;"&amp;N132)+COUNTIF($N$31:N132,N132)</f>
        <v>81</v>
      </c>
      <c r="P132" s="10">
        <f>'HOUSE DATA'!M105</f>
        <v>-20.408163265306129</v>
      </c>
      <c r="Q132" t="str">
        <f>'HOUSE DATA'!N105</f>
        <v>2024 HOUSE / prior substitute</v>
      </c>
      <c r="R132" s="10">
        <f t="shared" si="15"/>
        <v>10.96</v>
      </c>
      <c r="S132" s="10">
        <f t="shared" si="16"/>
        <v>11.894519040473247</v>
      </c>
      <c r="T132" s="10">
        <f t="shared" si="17"/>
        <v>-0.93451904047324597</v>
      </c>
      <c r="U132" t="s">
        <v>73</v>
      </c>
      <c r="W132" t="s">
        <v>74</v>
      </c>
      <c r="X132" t="s">
        <v>75</v>
      </c>
    </row>
    <row r="133" spans="1:24" x14ac:dyDescent="0.2">
      <c r="A133" t="str">
        <f>'HOUSE DATA'!A106</f>
        <v>FL-16</v>
      </c>
      <c r="B133" s="10">
        <f>'HOUSE DATA'!B106</f>
        <v>-3.5067510734011345</v>
      </c>
      <c r="C133" s="10">
        <f t="shared" si="9"/>
        <v>-0.29999999999999893</v>
      </c>
      <c r="D133" s="10">
        <f>2*('HOUSE DATA'!D106*('HOUSE DASHBOARD'!$B$14-42.4)+'HOUSE DATA'!E106*('HOUSE DASHBOARD'!$B$15-54.2)+'HOUSE DATA'!F106*('HOUSE DASHBOARD'!$B$16-85.4)+'HOUSE DATA'!G106*('HOUSE DASHBOARD'!$B$17-60.7)+'HOUSE DATA'!H106*('HOUSE DASHBOARD'!$B$18-53.5))/100</f>
        <v>0</v>
      </c>
      <c r="E133" s="10">
        <f>2*('HOUSE DATA'!I106*('HOUSE DASHBOARD'!$B$21-55.6)+(100-'HOUSE DATA'!I106)*('HOUSE DASHBOARD'!$B$22-44.9))/100</f>
        <v>0</v>
      </c>
      <c r="F133" s="10">
        <f>0</f>
        <v>0</v>
      </c>
      <c r="G133" s="10">
        <f t="shared" si="10"/>
        <v>0</v>
      </c>
      <c r="H133" s="2">
        <f>'HOUSE DATA'!C106+C133+G133</f>
        <v>-3.1499999999999986</v>
      </c>
      <c r="I133" s="3" t="str">
        <f t="shared" si="11"/>
        <v>R</v>
      </c>
      <c r="J133" s="1" t="str">
        <f>'HOUSE DATA'!K106</f>
        <v>R</v>
      </c>
      <c r="K133" s="1" t="str">
        <f t="shared" si="12"/>
        <v>—</v>
      </c>
      <c r="L133" t="str">
        <f t="shared" si="13"/>
        <v>R+3.15</v>
      </c>
      <c r="M133">
        <f>COUNTIF($H$31:$H$465,"&gt;"&amp;H133)+COUNTIF($H$31:H133,H133)</f>
        <v>255</v>
      </c>
      <c r="N133" s="7">
        <f t="shared" si="14"/>
        <v>3.1499999999999986</v>
      </c>
      <c r="O133">
        <f>COUNTIF($N$31:$N$465,"&lt;"&amp;N133)+COUNTIF($N$31:N133,N133)</f>
        <v>27</v>
      </c>
      <c r="P133" s="10">
        <f>'HOUSE DATA'!M106</f>
        <v>-13.7</v>
      </c>
      <c r="Q133" t="str">
        <f>'HOUSE DATA'!N106</f>
        <v>2024 PRESIDENT (open seat)</v>
      </c>
      <c r="R133" s="10">
        <f t="shared" si="15"/>
        <v>10.55</v>
      </c>
      <c r="S133" s="10">
        <f t="shared" si="16"/>
        <v>10.193248926598866</v>
      </c>
      <c r="T133" s="10">
        <f t="shared" si="17"/>
        <v>0.35675107340113588</v>
      </c>
      <c r="U133" t="s">
        <v>73</v>
      </c>
      <c r="W133" t="s">
        <v>74</v>
      </c>
      <c r="X133" t="s">
        <v>75</v>
      </c>
    </row>
    <row r="134" spans="1:24" x14ac:dyDescent="0.2">
      <c r="A134" t="str">
        <f>'HOUSE DATA'!A107</f>
        <v>FL-17</v>
      </c>
      <c r="B134" s="10">
        <f>'HOUSE DATA'!B107</f>
        <v>-11.976640213291834</v>
      </c>
      <c r="C134" s="10">
        <f t="shared" si="9"/>
        <v>-0.29999999999999893</v>
      </c>
      <c r="D134" s="10">
        <f>2*('HOUSE DATA'!D107*('HOUSE DASHBOARD'!$B$14-42.4)+'HOUSE DATA'!E107*('HOUSE DASHBOARD'!$B$15-54.2)+'HOUSE DATA'!F107*('HOUSE DASHBOARD'!$B$16-85.4)+'HOUSE DATA'!G107*('HOUSE DASHBOARD'!$B$17-60.7)+'HOUSE DATA'!H107*('HOUSE DASHBOARD'!$B$18-53.5))/100</f>
        <v>0</v>
      </c>
      <c r="E134" s="10">
        <f>2*('HOUSE DATA'!I107*('HOUSE DASHBOARD'!$B$21-55.6)+(100-'HOUSE DATA'!I107)*('HOUSE DASHBOARD'!$B$22-44.9))/100</f>
        <v>0</v>
      </c>
      <c r="F134" s="10">
        <f>0</f>
        <v>0</v>
      </c>
      <c r="G134" s="10">
        <f t="shared" si="10"/>
        <v>0</v>
      </c>
      <c r="H134" s="2">
        <f>'HOUSE DATA'!C107+C134+G134</f>
        <v>-11.04</v>
      </c>
      <c r="I134" s="3" t="str">
        <f t="shared" si="11"/>
        <v>R</v>
      </c>
      <c r="J134" s="1" t="str">
        <f>'HOUSE DATA'!K107</f>
        <v>R</v>
      </c>
      <c r="K134" s="1" t="str">
        <f t="shared" si="12"/>
        <v>—</v>
      </c>
      <c r="L134" t="str">
        <f t="shared" si="13"/>
        <v>R+11.04</v>
      </c>
      <c r="M134">
        <f>COUNTIF($H$31:$H$465,"&gt;"&amp;H134)+COUNTIF($H$31:H134,H134)</f>
        <v>311</v>
      </c>
      <c r="N134" s="7">
        <f t="shared" si="14"/>
        <v>11.04</v>
      </c>
      <c r="O134">
        <f>COUNTIF($N$31:$N$465,"&lt;"&amp;N134)+COUNTIF($N$31:N134,N134)</f>
        <v>102</v>
      </c>
      <c r="P134" s="10">
        <f>'HOUSE DATA'!M107</f>
        <v>-22</v>
      </c>
      <c r="Q134" t="str">
        <f>'HOUSE DATA'!N107</f>
        <v>2024 HOUSE / prior substitute</v>
      </c>
      <c r="R134" s="10">
        <f t="shared" si="15"/>
        <v>10.96</v>
      </c>
      <c r="S134" s="10">
        <f t="shared" si="16"/>
        <v>10.023359786708166</v>
      </c>
      <c r="T134" s="10">
        <f t="shared" si="17"/>
        <v>0.93664021329183456</v>
      </c>
      <c r="U134" t="s">
        <v>73</v>
      </c>
      <c r="W134" t="s">
        <v>74</v>
      </c>
      <c r="X134" t="s">
        <v>75</v>
      </c>
    </row>
    <row r="135" spans="1:24" x14ac:dyDescent="0.2">
      <c r="A135" t="str">
        <f>'HOUSE DATA'!A108</f>
        <v>FL-18</v>
      </c>
      <c r="B135" s="10">
        <f>'HOUSE DATA'!B108</f>
        <v>-4.7274420903617003</v>
      </c>
      <c r="C135" s="10">
        <f t="shared" si="9"/>
        <v>-0.29999999999999893</v>
      </c>
      <c r="D135" s="10">
        <f>2*('HOUSE DATA'!D108*('HOUSE DASHBOARD'!$B$14-42.4)+'HOUSE DATA'!E108*('HOUSE DASHBOARD'!$B$15-54.2)+'HOUSE DATA'!F108*('HOUSE DASHBOARD'!$B$16-85.4)+'HOUSE DATA'!G108*('HOUSE DASHBOARD'!$B$17-60.7)+'HOUSE DATA'!H108*('HOUSE DASHBOARD'!$B$18-53.5))/100</f>
        <v>0</v>
      </c>
      <c r="E135" s="10">
        <f>2*('HOUSE DATA'!I108*('HOUSE DASHBOARD'!$B$21-55.6)+(100-'HOUSE DATA'!I108)*('HOUSE DASHBOARD'!$B$22-44.9))/100</f>
        <v>0</v>
      </c>
      <c r="F135" s="10">
        <f>0</f>
        <v>0</v>
      </c>
      <c r="G135" s="10">
        <f t="shared" si="10"/>
        <v>0</v>
      </c>
      <c r="H135" s="2">
        <f>'HOUSE DATA'!C108+C135+G135</f>
        <v>-6.2117171717171757</v>
      </c>
      <c r="I135" s="3" t="str">
        <f t="shared" si="11"/>
        <v>R</v>
      </c>
      <c r="J135" s="1" t="str">
        <f>'HOUSE DATA'!K108</f>
        <v>R</v>
      </c>
      <c r="K135" s="1" t="str">
        <f t="shared" si="12"/>
        <v>—</v>
      </c>
      <c r="L135" t="str">
        <f t="shared" si="13"/>
        <v>R+6.21</v>
      </c>
      <c r="M135">
        <f>COUNTIF($H$31:$H$465,"&gt;"&amp;H135)+COUNTIF($H$31:H135,H135)</f>
        <v>276</v>
      </c>
      <c r="N135" s="7">
        <f t="shared" si="14"/>
        <v>6.2117171717171757</v>
      </c>
      <c r="O135">
        <f>COUNTIF($N$31:$N$465,"&lt;"&amp;N135)+COUNTIF($N$31:N135,N135)</f>
        <v>53</v>
      </c>
      <c r="P135" s="10">
        <f>'HOUSE DATA'!M108</f>
        <v>-17.171717171717177</v>
      </c>
      <c r="Q135" t="str">
        <f>'HOUSE DATA'!N108</f>
        <v>2024 HOUSE / prior substitute</v>
      </c>
      <c r="R135" s="10">
        <f t="shared" si="15"/>
        <v>10.96</v>
      </c>
      <c r="S135" s="10">
        <f t="shared" si="16"/>
        <v>12.444275081355476</v>
      </c>
      <c r="T135" s="10">
        <f t="shared" si="17"/>
        <v>-1.4842750813554755</v>
      </c>
      <c r="U135" t="s">
        <v>73</v>
      </c>
      <c r="W135" t="s">
        <v>74</v>
      </c>
      <c r="X135" t="s">
        <v>75</v>
      </c>
    </row>
    <row r="136" spans="1:24" x14ac:dyDescent="0.2">
      <c r="A136" t="str">
        <f>'HOUSE DATA'!A109</f>
        <v>FL-19</v>
      </c>
      <c r="B136" s="10">
        <f>'HOUSE DATA'!B109</f>
        <v>-20.375932515733041</v>
      </c>
      <c r="C136" s="10">
        <f t="shared" si="9"/>
        <v>-0.29999999999999893</v>
      </c>
      <c r="D136" s="10">
        <f>2*('HOUSE DATA'!D109*('HOUSE DASHBOARD'!$B$14-42.4)+'HOUSE DATA'!E109*('HOUSE DASHBOARD'!$B$15-54.2)+'HOUSE DATA'!F109*('HOUSE DASHBOARD'!$B$16-85.4)+'HOUSE DATA'!G109*('HOUSE DASHBOARD'!$B$17-60.7)+'HOUSE DATA'!H109*('HOUSE DASHBOARD'!$B$18-53.5))/100</f>
        <v>0</v>
      </c>
      <c r="E136" s="10">
        <f>2*('HOUSE DATA'!I109*('HOUSE DASHBOARD'!$B$21-55.6)+(100-'HOUSE DATA'!I109)*('HOUSE DASHBOARD'!$B$22-44.9))/100</f>
        <v>0</v>
      </c>
      <c r="F136" s="10">
        <f>0</f>
        <v>0</v>
      </c>
      <c r="G136" s="10">
        <f t="shared" si="10"/>
        <v>0</v>
      </c>
      <c r="H136" s="2">
        <f>'HOUSE DATA'!C109+C136+G136</f>
        <v>-19.669999999999995</v>
      </c>
      <c r="I136" s="3" t="str">
        <f t="shared" si="11"/>
        <v>R</v>
      </c>
      <c r="J136" s="1" t="str">
        <f>'HOUSE DATA'!K109</f>
        <v>R</v>
      </c>
      <c r="K136" s="1" t="str">
        <f t="shared" si="12"/>
        <v>—</v>
      </c>
      <c r="L136" t="str">
        <f t="shared" si="13"/>
        <v>R+19.67</v>
      </c>
      <c r="M136">
        <f>COUNTIF($H$31:$H$465,"&gt;"&amp;H136)+COUNTIF($H$31:H136,H136)</f>
        <v>357</v>
      </c>
      <c r="N136" s="7">
        <f t="shared" si="14"/>
        <v>19.669999999999995</v>
      </c>
      <c r="O136">
        <f>COUNTIF($N$31:$N$465,"&lt;"&amp;N136)+COUNTIF($N$31:N136,N136)</f>
        <v>184</v>
      </c>
      <c r="P136" s="10">
        <f>'HOUSE DATA'!M109</f>
        <v>-30.22</v>
      </c>
      <c r="Q136" t="str">
        <f>'HOUSE DATA'!N109</f>
        <v>2024 PRESIDENT (open seat)</v>
      </c>
      <c r="R136" s="10">
        <f t="shared" si="15"/>
        <v>10.550000000000004</v>
      </c>
      <c r="S136" s="10">
        <f t="shared" si="16"/>
        <v>9.844067484266958</v>
      </c>
      <c r="T136" s="10">
        <f t="shared" si="17"/>
        <v>0.70593251573304627</v>
      </c>
      <c r="U136" t="s">
        <v>73</v>
      </c>
      <c r="W136" t="s">
        <v>74</v>
      </c>
      <c r="X136" t="s">
        <v>75</v>
      </c>
    </row>
    <row r="137" spans="1:24" x14ac:dyDescent="0.2">
      <c r="A137" t="str">
        <f>'HOUSE DATA'!A110</f>
        <v>FL-20</v>
      </c>
      <c r="B137" s="10">
        <f>'HOUSE DATA'!B110</f>
        <v>51.197204562398724</v>
      </c>
      <c r="C137" s="10">
        <f t="shared" si="9"/>
        <v>-0.29999999999999893</v>
      </c>
      <c r="D137" s="10">
        <f>2*('HOUSE DATA'!D110*('HOUSE DASHBOARD'!$B$14-42.4)+'HOUSE DATA'!E110*('HOUSE DASHBOARD'!$B$15-54.2)+'HOUSE DATA'!F110*('HOUSE DASHBOARD'!$B$16-85.4)+'HOUSE DATA'!G110*('HOUSE DASHBOARD'!$B$17-60.7)+'HOUSE DATA'!H110*('HOUSE DASHBOARD'!$B$18-53.5))/100</f>
        <v>0</v>
      </c>
      <c r="E137" s="10">
        <f>2*('HOUSE DATA'!I110*('HOUSE DASHBOARD'!$B$21-55.6)+(100-'HOUSE DATA'!I110)*('HOUSE DASHBOARD'!$B$22-44.9))/100</f>
        <v>0</v>
      </c>
      <c r="F137" s="10">
        <f>0</f>
        <v>0</v>
      </c>
      <c r="G137" s="10">
        <f t="shared" si="10"/>
        <v>0</v>
      </c>
      <c r="H137" s="2">
        <f>'HOUSE DATA'!C110+C137+G137</f>
        <v>47.71</v>
      </c>
      <c r="I137" s="3" t="str">
        <f t="shared" si="11"/>
        <v>D</v>
      </c>
      <c r="J137" s="1" t="str">
        <f>'HOUSE DATA'!K110</f>
        <v>D</v>
      </c>
      <c r="K137" s="1" t="str">
        <f t="shared" si="12"/>
        <v>—</v>
      </c>
      <c r="L137" t="str">
        <f t="shared" si="13"/>
        <v>D+47.71</v>
      </c>
      <c r="M137">
        <f>COUNTIF($H$31:$H$465,"&gt;"&amp;H137)+COUNTIF($H$31:H137,H137)</f>
        <v>65</v>
      </c>
      <c r="N137" s="7">
        <f t="shared" si="14"/>
        <v>47.71</v>
      </c>
      <c r="O137">
        <f>COUNTIF($N$31:$N$465,"&lt;"&amp;N137)+COUNTIF($N$31:N137,N137)</f>
        <v>360</v>
      </c>
      <c r="P137" s="10">
        <f>'HOUSE DATA'!M110</f>
        <v>37.159999999999997</v>
      </c>
      <c r="Q137" t="str">
        <f>'HOUSE DATA'!N110</f>
        <v>2024 PRESIDENT (open seat)</v>
      </c>
      <c r="R137" s="10">
        <f t="shared" si="15"/>
        <v>10.550000000000004</v>
      </c>
      <c r="S137" s="10">
        <f t="shared" si="16"/>
        <v>14.037204562398728</v>
      </c>
      <c r="T137" s="10">
        <f t="shared" si="17"/>
        <v>-3.4872045623987233</v>
      </c>
      <c r="U137" t="s">
        <v>73</v>
      </c>
      <c r="W137" t="s">
        <v>74</v>
      </c>
      <c r="X137" t="s">
        <v>75</v>
      </c>
    </row>
    <row r="138" spans="1:24" x14ac:dyDescent="0.2">
      <c r="A138" t="str">
        <f>'HOUSE DATA'!A111</f>
        <v>FL-21</v>
      </c>
      <c r="B138" s="10">
        <f>'HOUSE DATA'!B111</f>
        <v>-5.8366908416956411</v>
      </c>
      <c r="C138" s="10">
        <f t="shared" si="9"/>
        <v>-0.29999999999999893</v>
      </c>
      <c r="D138" s="10">
        <f>2*('HOUSE DATA'!D111*('HOUSE DASHBOARD'!$B$14-42.4)+'HOUSE DATA'!E111*('HOUSE DASHBOARD'!$B$15-54.2)+'HOUSE DATA'!F111*('HOUSE DASHBOARD'!$B$16-85.4)+'HOUSE DATA'!G111*('HOUSE DASHBOARD'!$B$17-60.7)+'HOUSE DATA'!H111*('HOUSE DASHBOARD'!$B$18-53.5))/100</f>
        <v>0</v>
      </c>
      <c r="E138" s="10">
        <f>2*('HOUSE DATA'!I111*('HOUSE DASHBOARD'!$B$21-55.6)+(100-'HOUSE DATA'!I111)*('HOUSE DASHBOARD'!$B$22-44.9))/100</f>
        <v>0</v>
      </c>
      <c r="F138" s="10">
        <f>0</f>
        <v>0</v>
      </c>
      <c r="G138" s="10">
        <f t="shared" si="10"/>
        <v>0</v>
      </c>
      <c r="H138" s="2">
        <f>'HOUSE DATA'!C111+C138+G138</f>
        <v>-5.039999999999992</v>
      </c>
      <c r="I138" s="3" t="str">
        <f t="shared" si="11"/>
        <v>R</v>
      </c>
      <c r="J138" s="1" t="str">
        <f>'HOUSE DATA'!K111</f>
        <v>R</v>
      </c>
      <c r="K138" s="1" t="str">
        <f t="shared" si="12"/>
        <v>—</v>
      </c>
      <c r="L138" t="str">
        <f t="shared" si="13"/>
        <v>R+5.04</v>
      </c>
      <c r="M138">
        <f>COUNTIF($H$31:$H$465,"&gt;"&amp;H138)+COUNTIF($H$31:H138,H138)</f>
        <v>266</v>
      </c>
      <c r="N138" s="7">
        <f t="shared" si="14"/>
        <v>5.039999999999992</v>
      </c>
      <c r="O138">
        <f>COUNTIF($N$31:$N$465,"&lt;"&amp;N138)+COUNTIF($N$31:N138,N138)</f>
        <v>40</v>
      </c>
      <c r="P138" s="10">
        <f>'HOUSE DATA'!M111</f>
        <v>-15.999999999999993</v>
      </c>
      <c r="Q138" t="str">
        <f>'HOUSE DATA'!N111</f>
        <v>2024 HOUSE / prior substitute</v>
      </c>
      <c r="R138" s="10">
        <f t="shared" si="15"/>
        <v>10.96</v>
      </c>
      <c r="S138" s="10">
        <f t="shared" si="16"/>
        <v>10.163309158304351</v>
      </c>
      <c r="T138" s="10">
        <f t="shared" si="17"/>
        <v>0.79669084169564908</v>
      </c>
      <c r="U138" t="s">
        <v>73</v>
      </c>
      <c r="W138" t="s">
        <v>74</v>
      </c>
      <c r="X138" t="s">
        <v>75</v>
      </c>
    </row>
    <row r="139" spans="1:24" x14ac:dyDescent="0.2">
      <c r="A139" t="str">
        <f>'HOUSE DATA'!A112</f>
        <v>FL-22</v>
      </c>
      <c r="B139" s="10">
        <f>'HOUSE DATA'!B112</f>
        <v>8.8204100438198596E-2</v>
      </c>
      <c r="C139" s="10">
        <f t="shared" si="9"/>
        <v>-0.29999999999999893</v>
      </c>
      <c r="D139" s="10">
        <f>2*('HOUSE DATA'!D112*('HOUSE DASHBOARD'!$B$14-42.4)+'HOUSE DATA'!E112*('HOUSE DASHBOARD'!$B$15-54.2)+'HOUSE DATA'!F112*('HOUSE DASHBOARD'!$B$16-85.4)+'HOUSE DATA'!G112*('HOUSE DASHBOARD'!$B$17-60.7)+'HOUSE DATA'!H112*('HOUSE DASHBOARD'!$B$18-53.5))/100</f>
        <v>0</v>
      </c>
      <c r="E139" s="10">
        <f>2*('HOUSE DATA'!I112*('HOUSE DASHBOARD'!$B$21-55.6)+(100-'HOUSE DATA'!I112)*('HOUSE DASHBOARD'!$B$22-44.9))/100</f>
        <v>0</v>
      </c>
      <c r="F139" s="10">
        <f>0</f>
        <v>0</v>
      </c>
      <c r="G139" s="10">
        <f t="shared" si="10"/>
        <v>0</v>
      </c>
      <c r="H139" s="2">
        <f>'HOUSE DATA'!C112+C139+G139</f>
        <v>-0.15111111111110648</v>
      </c>
      <c r="I139" s="3" t="str">
        <f t="shared" si="11"/>
        <v>R</v>
      </c>
      <c r="J139" s="1" t="str">
        <f>'HOUSE DATA'!K112</f>
        <v>D</v>
      </c>
      <c r="K139" s="1" t="str">
        <f t="shared" si="12"/>
        <v>D → R</v>
      </c>
      <c r="L139" t="str">
        <f t="shared" si="13"/>
        <v>R+0.15</v>
      </c>
      <c r="M139">
        <f>COUNTIF($H$31:$H$465,"&gt;"&amp;H139)+COUNTIF($H$31:H139,H139)</f>
        <v>239</v>
      </c>
      <c r="N139" s="7">
        <f t="shared" si="14"/>
        <v>0.15111111111110648</v>
      </c>
      <c r="O139">
        <f>COUNTIF($N$31:$N$465,"&lt;"&amp;N139)+COUNTIF($N$31:N139,N139)</f>
        <v>4</v>
      </c>
      <c r="P139" s="10">
        <f>'HOUSE DATA'!M112</f>
        <v>-11.111111111111107</v>
      </c>
      <c r="Q139" t="str">
        <f>'HOUSE DATA'!N112</f>
        <v>2024 HOUSE / prior substitute</v>
      </c>
      <c r="R139" s="10">
        <f t="shared" si="15"/>
        <v>10.96</v>
      </c>
      <c r="S139" s="10">
        <f t="shared" si="16"/>
        <v>11.199315211549306</v>
      </c>
      <c r="T139" s="10">
        <f t="shared" si="17"/>
        <v>-0.23931521154930507</v>
      </c>
      <c r="U139" t="s">
        <v>73</v>
      </c>
      <c r="W139" t="s">
        <v>74</v>
      </c>
      <c r="X139" t="s">
        <v>75</v>
      </c>
    </row>
    <row r="140" spans="1:24" x14ac:dyDescent="0.2">
      <c r="A140" t="str">
        <f>'HOUSE DATA'!A113</f>
        <v>FL-23</v>
      </c>
      <c r="B140" s="10">
        <f>'HOUSE DATA'!B113</f>
        <v>23.56032308997673</v>
      </c>
      <c r="C140" s="10">
        <f t="shared" si="9"/>
        <v>-0.29999999999999893</v>
      </c>
      <c r="D140" s="10">
        <f>2*('HOUSE DATA'!D113*('HOUSE DASHBOARD'!$B$14-42.4)+'HOUSE DATA'!E113*('HOUSE DASHBOARD'!$B$15-54.2)+'HOUSE DATA'!F113*('HOUSE DASHBOARD'!$B$16-85.4)+'HOUSE DATA'!G113*('HOUSE DASHBOARD'!$B$17-60.7)+'HOUSE DATA'!H113*('HOUSE DASHBOARD'!$B$18-53.5))/100</f>
        <v>0</v>
      </c>
      <c r="E140" s="10">
        <f>2*('HOUSE DATA'!I113*('HOUSE DASHBOARD'!$B$21-55.6)+(100-'HOUSE DATA'!I113)*('HOUSE DASHBOARD'!$B$22-44.9))/100</f>
        <v>0</v>
      </c>
      <c r="F140" s="10">
        <f>0</f>
        <v>0</v>
      </c>
      <c r="G140" s="10">
        <f t="shared" si="10"/>
        <v>0</v>
      </c>
      <c r="H140" s="2">
        <f>'HOUSE DATA'!C113+C140+G140</f>
        <v>24.091313131313136</v>
      </c>
      <c r="I140" s="3" t="str">
        <f t="shared" si="11"/>
        <v>D</v>
      </c>
      <c r="J140" s="1" t="str">
        <f>'HOUSE DATA'!K113</f>
        <v>D</v>
      </c>
      <c r="K140" s="1" t="str">
        <f t="shared" si="12"/>
        <v>—</v>
      </c>
      <c r="L140" t="str">
        <f t="shared" si="13"/>
        <v>D+24.09</v>
      </c>
      <c r="M140">
        <f>COUNTIF($H$31:$H$465,"&gt;"&amp;H140)+COUNTIF($H$31:H140,H140)</f>
        <v>150</v>
      </c>
      <c r="N140" s="7">
        <f t="shared" si="14"/>
        <v>24.091313131313136</v>
      </c>
      <c r="O140">
        <f>COUNTIF($N$31:$N$465,"&lt;"&amp;N140)+COUNTIF($N$31:N140,N140)</f>
        <v>231</v>
      </c>
      <c r="P140" s="10">
        <f>'HOUSE DATA'!M113</f>
        <v>13.131313131313135</v>
      </c>
      <c r="Q140" t="str">
        <f>'HOUSE DATA'!N113</f>
        <v>2024 HOUSE / prior substitute</v>
      </c>
      <c r="R140" s="10">
        <f t="shared" si="15"/>
        <v>10.96</v>
      </c>
      <c r="S140" s="10">
        <f t="shared" si="16"/>
        <v>10.429009958663595</v>
      </c>
      <c r="T140" s="10">
        <f t="shared" si="17"/>
        <v>0.53099004133640548</v>
      </c>
      <c r="U140" t="s">
        <v>73</v>
      </c>
      <c r="W140" t="s">
        <v>74</v>
      </c>
      <c r="X140" t="s">
        <v>75</v>
      </c>
    </row>
    <row r="141" spans="1:24" x14ac:dyDescent="0.2">
      <c r="A141" t="str">
        <f>'HOUSE DATA'!A114</f>
        <v>FL-24</v>
      </c>
      <c r="B141" s="10">
        <f>'HOUSE DATA'!B114</f>
        <v>53.077604578867891</v>
      </c>
      <c r="C141" s="10">
        <f t="shared" si="9"/>
        <v>-0.29999999999999893</v>
      </c>
      <c r="D141" s="10">
        <f>2*('HOUSE DATA'!D114*('HOUSE DASHBOARD'!$B$14-42.4)+'HOUSE DATA'!E114*('HOUSE DASHBOARD'!$B$15-54.2)+'HOUSE DATA'!F114*('HOUSE DASHBOARD'!$B$16-85.4)+'HOUSE DATA'!G114*('HOUSE DASHBOARD'!$B$17-60.7)+'HOUSE DATA'!H114*('HOUSE DASHBOARD'!$B$18-53.5))/100</f>
        <v>0</v>
      </c>
      <c r="E141" s="10">
        <f>2*('HOUSE DATA'!I114*('HOUSE DASHBOARD'!$B$21-55.6)+(100-'HOUSE DATA'!I114)*('HOUSE DASHBOARD'!$B$22-44.9))/100</f>
        <v>0</v>
      </c>
      <c r="F141" s="10">
        <f>0</f>
        <v>0</v>
      </c>
      <c r="G141" s="10">
        <f t="shared" si="10"/>
        <v>0</v>
      </c>
      <c r="H141" s="2">
        <f>'HOUSE DATA'!C114+C141+G141</f>
        <v>49.250000000000007</v>
      </c>
      <c r="I141" s="3" t="str">
        <f t="shared" si="11"/>
        <v>D</v>
      </c>
      <c r="J141" s="1" t="str">
        <f>'HOUSE DATA'!K114</f>
        <v>D</v>
      </c>
      <c r="K141" s="1" t="str">
        <f t="shared" si="12"/>
        <v>—</v>
      </c>
      <c r="L141" t="str">
        <f t="shared" si="13"/>
        <v>D+49.25</v>
      </c>
      <c r="M141">
        <f>COUNTIF($H$31:$H$465,"&gt;"&amp;H141)+COUNTIF($H$31:H141,H141)</f>
        <v>61</v>
      </c>
      <c r="N141" s="7">
        <f t="shared" si="14"/>
        <v>49.250000000000007</v>
      </c>
      <c r="O141">
        <f>COUNTIF($N$31:$N$465,"&lt;"&amp;N141)+COUNTIF($N$31:N141,N141)</f>
        <v>365</v>
      </c>
      <c r="P141" s="10">
        <f>'HOUSE DATA'!M114</f>
        <v>38.700000000000003</v>
      </c>
      <c r="Q141" t="str">
        <f>'HOUSE DATA'!N114</f>
        <v>2024 PRESIDENT (open seat)</v>
      </c>
      <c r="R141" s="10">
        <f t="shared" si="15"/>
        <v>10.550000000000004</v>
      </c>
      <c r="S141" s="10">
        <f t="shared" si="16"/>
        <v>14.377604578867889</v>
      </c>
      <c r="T141" s="10">
        <f t="shared" si="17"/>
        <v>-3.8276045788678843</v>
      </c>
      <c r="U141" t="s">
        <v>73</v>
      </c>
      <c r="W141" t="s">
        <v>74</v>
      </c>
      <c r="X141" t="s">
        <v>75</v>
      </c>
    </row>
    <row r="142" spans="1:24" x14ac:dyDescent="0.2">
      <c r="A142" t="str">
        <f>'HOUSE DATA'!A115</f>
        <v>FL-25</v>
      </c>
      <c r="B142" s="10">
        <f>'HOUSE DATA'!B115</f>
        <v>3.3839879359936842</v>
      </c>
      <c r="C142" s="10">
        <f t="shared" si="9"/>
        <v>-0.29999999999999893</v>
      </c>
      <c r="D142" s="10">
        <f>2*('HOUSE DATA'!D115*('HOUSE DASHBOARD'!$B$14-42.4)+'HOUSE DATA'!E115*('HOUSE DASHBOARD'!$B$15-54.2)+'HOUSE DATA'!F115*('HOUSE DASHBOARD'!$B$16-85.4)+'HOUSE DATA'!G115*('HOUSE DASHBOARD'!$B$17-60.7)+'HOUSE DATA'!H115*('HOUSE DASHBOARD'!$B$18-53.5))/100</f>
        <v>0</v>
      </c>
      <c r="E142" s="10">
        <f>2*('HOUSE DATA'!I115*('HOUSE DASHBOARD'!$B$21-55.6)+(100-'HOUSE DATA'!I115)*('HOUSE DASHBOARD'!$B$22-44.9))/100</f>
        <v>0</v>
      </c>
      <c r="F142" s="10">
        <f>0</f>
        <v>0</v>
      </c>
      <c r="G142" s="10">
        <f t="shared" si="10"/>
        <v>0</v>
      </c>
      <c r="H142" s="2">
        <f>'HOUSE DATA'!C115+C142+G142</f>
        <v>1.8690909090909074</v>
      </c>
      <c r="I142" s="3" t="str">
        <f t="shared" si="11"/>
        <v>D</v>
      </c>
      <c r="J142" s="1" t="str">
        <f>'HOUSE DATA'!K115</f>
        <v>D</v>
      </c>
      <c r="K142" s="1" t="str">
        <f t="shared" si="12"/>
        <v>—</v>
      </c>
      <c r="L142" t="str">
        <f t="shared" si="13"/>
        <v>D+1.87</v>
      </c>
      <c r="M142">
        <f>COUNTIF($H$31:$H$465,"&gt;"&amp;H142)+COUNTIF($H$31:H142,H142)</f>
        <v>230</v>
      </c>
      <c r="N142" s="7">
        <f t="shared" si="14"/>
        <v>1.8690909090909074</v>
      </c>
      <c r="O142">
        <f>COUNTIF($N$31:$N$465,"&lt;"&amp;N142)+COUNTIF($N$31:N142,N142)</f>
        <v>17</v>
      </c>
      <c r="P142" s="10">
        <f>'HOUSE DATA'!M115</f>
        <v>-9.0909090909090935</v>
      </c>
      <c r="Q142" t="str">
        <f>'HOUSE DATA'!N115</f>
        <v>2024 HOUSE / prior substitute</v>
      </c>
      <c r="R142" s="10">
        <f t="shared" si="15"/>
        <v>10.96</v>
      </c>
      <c r="S142" s="10">
        <f t="shared" si="16"/>
        <v>12.474897026902777</v>
      </c>
      <c r="T142" s="10">
        <f t="shared" si="17"/>
        <v>-1.5148970269027768</v>
      </c>
      <c r="U142" t="s">
        <v>73</v>
      </c>
      <c r="W142" t="s">
        <v>74</v>
      </c>
      <c r="X142" t="s">
        <v>75</v>
      </c>
    </row>
    <row r="143" spans="1:24" x14ac:dyDescent="0.2">
      <c r="A143" t="str">
        <f>'HOUSE DATA'!A116</f>
        <v>FL-26</v>
      </c>
      <c r="B143" s="10">
        <f>'HOUSE DATA'!B116</f>
        <v>-4.0899856530695722</v>
      </c>
      <c r="C143" s="10">
        <f t="shared" si="9"/>
        <v>-0.29999999999999893</v>
      </c>
      <c r="D143" s="10">
        <f>2*('HOUSE DATA'!D116*('HOUSE DASHBOARD'!$B$14-42.4)+'HOUSE DATA'!E116*('HOUSE DASHBOARD'!$B$15-54.2)+'HOUSE DATA'!F116*('HOUSE DASHBOARD'!$B$16-85.4)+'HOUSE DATA'!G116*('HOUSE DASHBOARD'!$B$17-60.7)+'HOUSE DATA'!H116*('HOUSE DASHBOARD'!$B$18-53.5))/100</f>
        <v>0</v>
      </c>
      <c r="E143" s="10">
        <f>2*('HOUSE DATA'!I116*('HOUSE DASHBOARD'!$B$21-55.6)+(100-'HOUSE DATA'!I116)*('HOUSE DASHBOARD'!$B$22-44.9))/100</f>
        <v>0</v>
      </c>
      <c r="F143" s="10">
        <f>0</f>
        <v>0</v>
      </c>
      <c r="G143" s="10">
        <f t="shared" si="10"/>
        <v>0</v>
      </c>
      <c r="H143" s="2">
        <f>'HOUSE DATA'!C116+C143+G143</f>
        <v>-8.2319191919191823</v>
      </c>
      <c r="I143" s="3" t="str">
        <f t="shared" si="11"/>
        <v>R</v>
      </c>
      <c r="J143" s="1" t="str">
        <f>'HOUSE DATA'!K116</f>
        <v>R</v>
      </c>
      <c r="K143" s="1" t="str">
        <f t="shared" si="12"/>
        <v>—</v>
      </c>
      <c r="L143" t="str">
        <f t="shared" si="13"/>
        <v>R+8.23</v>
      </c>
      <c r="M143">
        <f>COUNTIF($H$31:$H$465,"&gt;"&amp;H143)+COUNTIF($H$31:H143,H143)</f>
        <v>284</v>
      </c>
      <c r="N143" s="7">
        <f t="shared" si="14"/>
        <v>8.2319191919191823</v>
      </c>
      <c r="O143">
        <f>COUNTIF($N$31:$N$465,"&lt;"&amp;N143)+COUNTIF($N$31:N143,N143)</f>
        <v>65</v>
      </c>
      <c r="P143" s="10">
        <f>'HOUSE DATA'!M116</f>
        <v>-19.191919191919183</v>
      </c>
      <c r="Q143" t="str">
        <f>'HOUSE DATA'!N116</f>
        <v>2024 HOUSE / prior substitute</v>
      </c>
      <c r="R143" s="10">
        <f t="shared" si="15"/>
        <v>10.96</v>
      </c>
      <c r="S143" s="10">
        <f t="shared" si="16"/>
        <v>15.101933538849611</v>
      </c>
      <c r="T143" s="10">
        <f t="shared" si="17"/>
        <v>-4.1419335388496101</v>
      </c>
      <c r="U143" t="s">
        <v>73</v>
      </c>
      <c r="W143" t="s">
        <v>74</v>
      </c>
      <c r="X143" t="s">
        <v>75</v>
      </c>
    </row>
    <row r="144" spans="1:24" x14ac:dyDescent="0.2">
      <c r="A144" t="str">
        <f>'HOUSE DATA'!A117</f>
        <v>FL-27</v>
      </c>
      <c r="B144" s="10">
        <f>'HOUSE DATA'!B117</f>
        <v>-0.60822512255524064</v>
      </c>
      <c r="C144" s="10">
        <f t="shared" si="9"/>
        <v>-0.29999999999999893</v>
      </c>
      <c r="D144" s="10">
        <f>2*('HOUSE DATA'!D117*('HOUSE DASHBOARD'!$B$14-42.4)+'HOUSE DATA'!E117*('HOUSE DASHBOARD'!$B$15-54.2)+'HOUSE DATA'!F117*('HOUSE DASHBOARD'!$B$16-85.4)+'HOUSE DATA'!G117*('HOUSE DASHBOARD'!$B$17-60.7)+'HOUSE DATA'!H117*('HOUSE DASHBOARD'!$B$18-53.5))/100</f>
        <v>0</v>
      </c>
      <c r="E144" s="10">
        <f>2*('HOUSE DATA'!I117*('HOUSE DASHBOARD'!$B$21-55.6)+(100-'HOUSE DATA'!I117)*('HOUSE DASHBOARD'!$B$22-44.9))/100</f>
        <v>0</v>
      </c>
      <c r="F144" s="10">
        <f>0</f>
        <v>0</v>
      </c>
      <c r="G144" s="10">
        <f t="shared" si="10"/>
        <v>0</v>
      </c>
      <c r="H144" s="2">
        <f>'HOUSE DATA'!C117+C144+G144</f>
        <v>-4.1915151515151479</v>
      </c>
      <c r="I144" s="3" t="str">
        <f t="shared" si="11"/>
        <v>R</v>
      </c>
      <c r="J144" s="1" t="str">
        <f>'HOUSE DATA'!K117</f>
        <v>R</v>
      </c>
      <c r="K144" s="1" t="str">
        <f t="shared" si="12"/>
        <v>—</v>
      </c>
      <c r="L144" t="str">
        <f t="shared" si="13"/>
        <v>R+4.19</v>
      </c>
      <c r="M144">
        <f>COUNTIF($H$31:$H$465,"&gt;"&amp;H144)+COUNTIF($H$31:H144,H144)</f>
        <v>263</v>
      </c>
      <c r="N144" s="7">
        <f t="shared" si="14"/>
        <v>4.1915151515151479</v>
      </c>
      <c r="O144">
        <f>COUNTIF($N$31:$N$465,"&lt;"&amp;N144)+COUNTIF($N$31:N144,N144)</f>
        <v>36</v>
      </c>
      <c r="P144" s="10">
        <f>'HOUSE DATA'!M117</f>
        <v>-15.151515151515149</v>
      </c>
      <c r="Q144" t="str">
        <f>'HOUSE DATA'!N117</f>
        <v>2024 HOUSE / prior substitute</v>
      </c>
      <c r="R144" s="10">
        <f t="shared" si="15"/>
        <v>10.96</v>
      </c>
      <c r="S144" s="10">
        <f t="shared" si="16"/>
        <v>14.543290028959909</v>
      </c>
      <c r="T144" s="10">
        <f t="shared" si="17"/>
        <v>-3.5832900289599072</v>
      </c>
      <c r="U144" t="s">
        <v>73</v>
      </c>
      <c r="W144" t="s">
        <v>74</v>
      </c>
      <c r="X144" t="s">
        <v>75</v>
      </c>
    </row>
    <row r="145" spans="1:24" x14ac:dyDescent="0.2">
      <c r="A145" t="str">
        <f>'HOUSE DATA'!A118</f>
        <v>FL-28</v>
      </c>
      <c r="B145" s="10">
        <f>'HOUSE DATA'!B118</f>
        <v>-10.401180683539291</v>
      </c>
      <c r="C145" s="10">
        <f t="shared" si="9"/>
        <v>-0.29999999999999893</v>
      </c>
      <c r="D145" s="10">
        <f>2*('HOUSE DATA'!D118*('HOUSE DASHBOARD'!$B$14-42.4)+'HOUSE DATA'!E118*('HOUSE DASHBOARD'!$B$15-54.2)+'HOUSE DATA'!F118*('HOUSE DASHBOARD'!$B$16-85.4)+'HOUSE DATA'!G118*('HOUSE DASHBOARD'!$B$17-60.7)+'HOUSE DATA'!H118*('HOUSE DASHBOARD'!$B$18-53.5))/100</f>
        <v>0</v>
      </c>
      <c r="E145" s="10">
        <f>2*('HOUSE DATA'!I118*('HOUSE DASHBOARD'!$B$21-55.6)+(100-'HOUSE DATA'!I118)*('HOUSE DASHBOARD'!$B$22-44.9))/100</f>
        <v>0</v>
      </c>
      <c r="F145" s="10">
        <f>0</f>
        <v>0</v>
      </c>
      <c r="G145" s="10">
        <f t="shared" si="10"/>
        <v>0</v>
      </c>
      <c r="H145" s="2">
        <f>'HOUSE DATA'!C118+C145+G145</f>
        <v>-14.292525252525252</v>
      </c>
      <c r="I145" s="3" t="str">
        <f t="shared" si="11"/>
        <v>R</v>
      </c>
      <c r="J145" s="1" t="str">
        <f>'HOUSE DATA'!K118</f>
        <v>R</v>
      </c>
      <c r="K145" s="1" t="str">
        <f t="shared" si="12"/>
        <v>—</v>
      </c>
      <c r="L145" t="str">
        <f t="shared" si="13"/>
        <v>R+14.29</v>
      </c>
      <c r="M145">
        <f>COUNTIF($H$31:$H$465,"&gt;"&amp;H145)+COUNTIF($H$31:H145,H145)</f>
        <v>329</v>
      </c>
      <c r="N145" s="7">
        <f t="shared" si="14"/>
        <v>14.292525252525252</v>
      </c>
      <c r="O145">
        <f>COUNTIF($N$31:$N$465,"&lt;"&amp;N145)+COUNTIF($N$31:N145,N145)</f>
        <v>128</v>
      </c>
      <c r="P145" s="10">
        <f>'HOUSE DATA'!M118</f>
        <v>-25.252525252525253</v>
      </c>
      <c r="Q145" t="str">
        <f>'HOUSE DATA'!N118</f>
        <v>2024 HOUSE / prior substitute</v>
      </c>
      <c r="R145" s="10">
        <f t="shared" si="15"/>
        <v>10.96</v>
      </c>
      <c r="S145" s="10">
        <f t="shared" si="16"/>
        <v>14.851344568985962</v>
      </c>
      <c r="T145" s="10">
        <f t="shared" si="17"/>
        <v>-3.8913445689859607</v>
      </c>
      <c r="U145" t="s">
        <v>73</v>
      </c>
      <c r="W145" t="s">
        <v>74</v>
      </c>
      <c r="X145" t="s">
        <v>75</v>
      </c>
    </row>
    <row r="146" spans="1:24" x14ac:dyDescent="0.2">
      <c r="A146" t="str">
        <f>'HOUSE DATA'!A119</f>
        <v>GA-01</v>
      </c>
      <c r="B146" s="10">
        <f>'HOUSE DATA'!B119</f>
        <v>-4.5100551175669503</v>
      </c>
      <c r="C146" s="10">
        <f t="shared" si="9"/>
        <v>-0.29999999999999893</v>
      </c>
      <c r="D146" s="10">
        <f>2*('HOUSE DATA'!D119*('HOUSE DASHBOARD'!$B$14-42.4)+'HOUSE DATA'!E119*('HOUSE DASHBOARD'!$B$15-54.2)+'HOUSE DATA'!F119*('HOUSE DASHBOARD'!$B$16-85.4)+'HOUSE DATA'!G119*('HOUSE DASHBOARD'!$B$17-60.7)+'HOUSE DATA'!H119*('HOUSE DASHBOARD'!$B$18-53.5))/100</f>
        <v>0</v>
      </c>
      <c r="E146" s="10">
        <f>2*('HOUSE DATA'!I119*('HOUSE DASHBOARD'!$B$21-55.6)+(100-'HOUSE DATA'!I119)*('HOUSE DASHBOARD'!$B$22-44.9))/100</f>
        <v>0</v>
      </c>
      <c r="F146" s="10">
        <f>0</f>
        <v>0</v>
      </c>
      <c r="G146" s="10">
        <f t="shared" si="10"/>
        <v>0</v>
      </c>
      <c r="H146" s="2">
        <f>'HOUSE DATA'!C119+C146+G146</f>
        <v>-5.26</v>
      </c>
      <c r="I146" s="3" t="str">
        <f t="shared" si="11"/>
        <v>R</v>
      </c>
      <c r="J146" s="1" t="str">
        <f>'HOUSE DATA'!K119</f>
        <v>R</v>
      </c>
      <c r="K146" s="1" t="str">
        <f t="shared" si="12"/>
        <v>—</v>
      </c>
      <c r="L146" t="str">
        <f t="shared" si="13"/>
        <v>R+5.26</v>
      </c>
      <c r="M146">
        <f>COUNTIF($H$31:$H$465,"&gt;"&amp;H146)+COUNTIF($H$31:H146,H146)</f>
        <v>270</v>
      </c>
      <c r="N146" s="7">
        <f t="shared" si="14"/>
        <v>5.26</v>
      </c>
      <c r="O146">
        <f>COUNTIF($N$31:$N$465,"&lt;"&amp;N146)+COUNTIF($N$31:N146,N146)</f>
        <v>44</v>
      </c>
      <c r="P146" s="10">
        <f>'HOUSE DATA'!M119</f>
        <v>-15.81</v>
      </c>
      <c r="Q146" t="str">
        <f>'HOUSE DATA'!N119</f>
        <v>2024 PRESIDENT (open seat)</v>
      </c>
      <c r="R146" s="10">
        <f t="shared" si="15"/>
        <v>10.55</v>
      </c>
      <c r="S146" s="10">
        <f t="shared" si="16"/>
        <v>11.299944882433049</v>
      </c>
      <c r="T146" s="10">
        <f t="shared" si="17"/>
        <v>-0.74994488243304946</v>
      </c>
      <c r="U146" t="s">
        <v>73</v>
      </c>
      <c r="W146" t="s">
        <v>74</v>
      </c>
      <c r="X146" t="s">
        <v>75</v>
      </c>
    </row>
    <row r="147" spans="1:24" x14ac:dyDescent="0.2">
      <c r="A147" t="str">
        <f>'HOUSE DATA'!A120</f>
        <v>GA-02</v>
      </c>
      <c r="B147" s="10">
        <f>'HOUSE DATA'!B120</f>
        <v>25.561742920196043</v>
      </c>
      <c r="C147" s="10">
        <f t="shared" si="9"/>
        <v>-0.29999999999999893</v>
      </c>
      <c r="D147" s="10">
        <f>2*('HOUSE DATA'!D120*('HOUSE DASHBOARD'!$B$14-42.4)+'HOUSE DATA'!E120*('HOUSE DASHBOARD'!$B$15-54.2)+'HOUSE DATA'!F120*('HOUSE DASHBOARD'!$B$16-85.4)+'HOUSE DATA'!G120*('HOUSE DASHBOARD'!$B$17-60.7)+'HOUSE DATA'!H120*('HOUSE DASHBOARD'!$B$18-53.5))/100</f>
        <v>0</v>
      </c>
      <c r="E147" s="10">
        <f>2*('HOUSE DATA'!I120*('HOUSE DASHBOARD'!$B$21-55.6)+(100-'HOUSE DATA'!I120)*('HOUSE DASHBOARD'!$B$22-44.9))/100</f>
        <v>0</v>
      </c>
      <c r="F147" s="10">
        <f>0</f>
        <v>0</v>
      </c>
      <c r="G147" s="10">
        <f t="shared" si="10"/>
        <v>0</v>
      </c>
      <c r="H147" s="2">
        <f>'HOUSE DATA'!C120+C147+G147</f>
        <v>23.620000000000012</v>
      </c>
      <c r="I147" s="3" t="str">
        <f t="shared" si="11"/>
        <v>D</v>
      </c>
      <c r="J147" s="1" t="str">
        <f>'HOUSE DATA'!K120</f>
        <v>D</v>
      </c>
      <c r="K147" s="1" t="str">
        <f t="shared" si="12"/>
        <v>—</v>
      </c>
      <c r="L147" t="str">
        <f t="shared" si="13"/>
        <v>D+23.62</v>
      </c>
      <c r="M147">
        <f>COUNTIF($H$31:$H$465,"&gt;"&amp;H147)+COUNTIF($H$31:H147,H147)</f>
        <v>154</v>
      </c>
      <c r="N147" s="7">
        <f t="shared" si="14"/>
        <v>23.620000000000012</v>
      </c>
      <c r="O147">
        <f>COUNTIF($N$31:$N$465,"&lt;"&amp;N147)+COUNTIF($N$31:N147,N147)</f>
        <v>224</v>
      </c>
      <c r="P147" s="10">
        <f>'HOUSE DATA'!M120</f>
        <v>12.660000000000011</v>
      </c>
      <c r="Q147" t="str">
        <f>'HOUSE DATA'!N120</f>
        <v>2024 HOUSE / prior substitute</v>
      </c>
      <c r="R147" s="10">
        <f t="shared" si="15"/>
        <v>10.96</v>
      </c>
      <c r="S147" s="10">
        <f t="shared" si="16"/>
        <v>12.901742920196032</v>
      </c>
      <c r="T147" s="10">
        <f t="shared" si="17"/>
        <v>-1.941742920196031</v>
      </c>
      <c r="U147" t="s">
        <v>73</v>
      </c>
      <c r="W147" t="s">
        <v>74</v>
      </c>
      <c r="X147" t="s">
        <v>75</v>
      </c>
    </row>
    <row r="148" spans="1:24" x14ac:dyDescent="0.2">
      <c r="A148" t="str">
        <f>'HOUSE DATA'!A121</f>
        <v>GA-03</v>
      </c>
      <c r="B148" s="10">
        <f>'HOUSE DATA'!B121</f>
        <v>-22.500442592917956</v>
      </c>
      <c r="C148" s="10">
        <f t="shared" si="9"/>
        <v>-0.29999999999999893</v>
      </c>
      <c r="D148" s="10">
        <f>2*('HOUSE DATA'!D121*('HOUSE DASHBOARD'!$B$14-42.4)+'HOUSE DATA'!E121*('HOUSE DASHBOARD'!$B$15-54.2)+'HOUSE DATA'!F121*('HOUSE DASHBOARD'!$B$16-85.4)+'HOUSE DATA'!G121*('HOUSE DASHBOARD'!$B$17-60.7)+'HOUSE DATA'!H121*('HOUSE DASHBOARD'!$B$18-53.5))/100</f>
        <v>0</v>
      </c>
      <c r="E148" s="10">
        <f>2*('HOUSE DATA'!I121*('HOUSE DASHBOARD'!$B$21-55.6)+(100-'HOUSE DATA'!I121)*('HOUSE DASHBOARD'!$B$22-44.9))/100</f>
        <v>0</v>
      </c>
      <c r="F148" s="10">
        <f>0</f>
        <v>0</v>
      </c>
      <c r="G148" s="10">
        <f t="shared" si="10"/>
        <v>0</v>
      </c>
      <c r="H148" s="2">
        <f>'HOUSE DATA'!C121+C148+G148</f>
        <v>-21.660000000000004</v>
      </c>
      <c r="I148" s="3" t="str">
        <f t="shared" si="11"/>
        <v>R</v>
      </c>
      <c r="J148" s="1" t="str">
        <f>'HOUSE DATA'!K121</f>
        <v>R</v>
      </c>
      <c r="K148" s="1" t="str">
        <f t="shared" si="12"/>
        <v>—</v>
      </c>
      <c r="L148" t="str">
        <f t="shared" si="13"/>
        <v>R+21.66</v>
      </c>
      <c r="M148">
        <f>COUNTIF($H$31:$H$465,"&gt;"&amp;H148)+COUNTIF($H$31:H148,H148)</f>
        <v>368</v>
      </c>
      <c r="N148" s="7">
        <f t="shared" si="14"/>
        <v>21.660000000000004</v>
      </c>
      <c r="O148">
        <f>COUNTIF($N$31:$N$465,"&lt;"&amp;N148)+COUNTIF($N$31:N148,N148)</f>
        <v>206</v>
      </c>
      <c r="P148" s="10">
        <f>'HOUSE DATA'!M121</f>
        <v>-32.620000000000005</v>
      </c>
      <c r="Q148" t="str">
        <f>'HOUSE DATA'!N121</f>
        <v>2024 HOUSE / prior substitute</v>
      </c>
      <c r="R148" s="10">
        <f t="shared" si="15"/>
        <v>10.96</v>
      </c>
      <c r="S148" s="10">
        <f t="shared" si="16"/>
        <v>10.119557407082048</v>
      </c>
      <c r="T148" s="10">
        <f t="shared" si="17"/>
        <v>0.84044259291795242</v>
      </c>
      <c r="U148" t="s">
        <v>73</v>
      </c>
      <c r="W148" t="s">
        <v>74</v>
      </c>
      <c r="X148" t="s">
        <v>75</v>
      </c>
    </row>
    <row r="149" spans="1:24" x14ac:dyDescent="0.2">
      <c r="A149" t="str">
        <f>'HOUSE DATA'!A122</f>
        <v>GA-04</v>
      </c>
      <c r="B149" s="10">
        <f>'HOUSE DATA'!B122</f>
        <v>62.946612091462789</v>
      </c>
      <c r="C149" s="10">
        <f t="shared" si="9"/>
        <v>-0.29999999999999893</v>
      </c>
      <c r="D149" s="10">
        <f>2*('HOUSE DATA'!D122*('HOUSE DASHBOARD'!$B$14-42.4)+'HOUSE DATA'!E122*('HOUSE DASHBOARD'!$B$15-54.2)+'HOUSE DATA'!F122*('HOUSE DASHBOARD'!$B$16-85.4)+'HOUSE DATA'!G122*('HOUSE DASHBOARD'!$B$17-60.7)+'HOUSE DATA'!H122*('HOUSE DASHBOARD'!$B$18-53.5))/100</f>
        <v>0</v>
      </c>
      <c r="E149" s="10">
        <f>2*('HOUSE DATA'!I122*('HOUSE DASHBOARD'!$B$21-55.6)+(100-'HOUSE DATA'!I122)*('HOUSE DASHBOARD'!$B$22-44.9))/100</f>
        <v>0</v>
      </c>
      <c r="F149" s="10">
        <f>0</f>
        <v>0</v>
      </c>
      <c r="G149" s="10">
        <f t="shared" si="10"/>
        <v>0</v>
      </c>
      <c r="H149" s="2">
        <f>'HOUSE DATA'!C122+C149+G149</f>
        <v>62.12</v>
      </c>
      <c r="I149" s="3" t="str">
        <f t="shared" si="11"/>
        <v>D</v>
      </c>
      <c r="J149" s="1" t="str">
        <f>'HOUSE DATA'!K122</f>
        <v>D</v>
      </c>
      <c r="K149" s="1" t="str">
        <f t="shared" si="12"/>
        <v>—</v>
      </c>
      <c r="L149" t="str">
        <f t="shared" si="13"/>
        <v>D+62.12</v>
      </c>
      <c r="M149">
        <f>COUNTIF($H$31:$H$465,"&gt;"&amp;H149)+COUNTIF($H$31:H149,H149)</f>
        <v>26</v>
      </c>
      <c r="N149" s="7">
        <f t="shared" si="14"/>
        <v>62.12</v>
      </c>
      <c r="O149">
        <f>COUNTIF($N$31:$N$465,"&lt;"&amp;N149)+COUNTIF($N$31:N149,N149)</f>
        <v>401</v>
      </c>
      <c r="P149" s="10">
        <f>'HOUSE DATA'!M122</f>
        <v>51.16</v>
      </c>
      <c r="Q149" t="str">
        <f>'HOUSE DATA'!N122</f>
        <v>2024 HOUSE / prior substitute</v>
      </c>
      <c r="R149" s="10">
        <f t="shared" si="15"/>
        <v>10.96</v>
      </c>
      <c r="S149" s="10">
        <f t="shared" si="16"/>
        <v>11.786612091462793</v>
      </c>
      <c r="T149" s="10">
        <f t="shared" si="17"/>
        <v>-0.82661209146279191</v>
      </c>
      <c r="U149" t="s">
        <v>73</v>
      </c>
      <c r="W149" t="s">
        <v>74</v>
      </c>
      <c r="X149" t="s">
        <v>75</v>
      </c>
    </row>
    <row r="150" spans="1:24" x14ac:dyDescent="0.2">
      <c r="A150" t="str">
        <f>'HOUSE DATA'!A123</f>
        <v>GA-05</v>
      </c>
      <c r="B150" s="10">
        <f>'HOUSE DATA'!B123</f>
        <v>82.014065784426606</v>
      </c>
      <c r="C150" s="10">
        <f t="shared" si="9"/>
        <v>-0.29999999999999893</v>
      </c>
      <c r="D150" s="10">
        <f>2*('HOUSE DATA'!D123*('HOUSE DASHBOARD'!$B$14-42.4)+'HOUSE DATA'!E123*('HOUSE DASHBOARD'!$B$15-54.2)+'HOUSE DATA'!F123*('HOUSE DASHBOARD'!$B$16-85.4)+'HOUSE DATA'!G123*('HOUSE DASHBOARD'!$B$17-60.7)+'HOUSE DATA'!H123*('HOUSE DASHBOARD'!$B$18-53.5))/100</f>
        <v>0</v>
      </c>
      <c r="E150" s="10">
        <f>2*('HOUSE DATA'!I123*('HOUSE DASHBOARD'!$B$21-55.6)+(100-'HOUSE DATA'!I123)*('HOUSE DASHBOARD'!$B$22-44.9))/100</f>
        <v>0</v>
      </c>
      <c r="F150" s="10">
        <f>0</f>
        <v>0</v>
      </c>
      <c r="G150" s="10">
        <f t="shared" si="10"/>
        <v>0</v>
      </c>
      <c r="H150" s="2">
        <f>'HOUSE DATA'!C123+C150+G150</f>
        <v>82.320000000000007</v>
      </c>
      <c r="I150" s="3" t="str">
        <f t="shared" si="11"/>
        <v>D</v>
      </c>
      <c r="J150" s="1" t="str">
        <f>'HOUSE DATA'!K123</f>
        <v>D</v>
      </c>
      <c r="K150" s="1" t="str">
        <f t="shared" si="12"/>
        <v>—</v>
      </c>
      <c r="L150" t="str">
        <f t="shared" si="13"/>
        <v>D+82.32</v>
      </c>
      <c r="M150">
        <f>COUNTIF($H$31:$H$465,"&gt;"&amp;H150)+COUNTIF($H$31:H150,H150)</f>
        <v>4</v>
      </c>
      <c r="N150" s="7">
        <f t="shared" si="14"/>
        <v>82.320000000000007</v>
      </c>
      <c r="O150">
        <f>COUNTIF($N$31:$N$465,"&lt;"&amp;N150)+COUNTIF($N$31:N150,N150)</f>
        <v>419</v>
      </c>
      <c r="P150" s="10">
        <f>'HOUSE DATA'!M123</f>
        <v>71.360000000000014</v>
      </c>
      <c r="Q150" t="str">
        <f>'HOUSE DATA'!N123</f>
        <v>2024 HOUSE / prior substitute</v>
      </c>
      <c r="R150" s="10">
        <f t="shared" si="15"/>
        <v>10.959999999999994</v>
      </c>
      <c r="S150" s="10">
        <f t="shared" si="16"/>
        <v>10.654065784426592</v>
      </c>
      <c r="T150" s="10">
        <f t="shared" si="17"/>
        <v>0.3059342155734015</v>
      </c>
      <c r="U150" t="s">
        <v>73</v>
      </c>
      <c r="W150" t="s">
        <v>74</v>
      </c>
      <c r="X150" t="s">
        <v>75</v>
      </c>
    </row>
    <row r="151" spans="1:24" x14ac:dyDescent="0.2">
      <c r="A151" t="str">
        <f>'HOUSE DATA'!A124</f>
        <v>GA-06</v>
      </c>
      <c r="B151" s="10">
        <f>'HOUSE DATA'!B124</f>
        <v>57.682334916443963</v>
      </c>
      <c r="C151" s="10">
        <f t="shared" si="9"/>
        <v>-0.29999999999999893</v>
      </c>
      <c r="D151" s="10">
        <f>2*('HOUSE DATA'!D124*('HOUSE DASHBOARD'!$B$14-42.4)+'HOUSE DATA'!E124*('HOUSE DASHBOARD'!$B$15-54.2)+'HOUSE DATA'!F124*('HOUSE DASHBOARD'!$B$16-85.4)+'HOUSE DATA'!G124*('HOUSE DASHBOARD'!$B$17-60.7)+'HOUSE DATA'!H124*('HOUSE DASHBOARD'!$B$18-53.5))/100</f>
        <v>0</v>
      </c>
      <c r="E151" s="10">
        <f>2*('HOUSE DATA'!I124*('HOUSE DASHBOARD'!$B$21-55.6)+(100-'HOUSE DATA'!I124)*('HOUSE DASHBOARD'!$B$22-44.9))/100</f>
        <v>0</v>
      </c>
      <c r="F151" s="10">
        <f>0</f>
        <v>0</v>
      </c>
      <c r="G151" s="10">
        <f t="shared" si="10"/>
        <v>0</v>
      </c>
      <c r="H151" s="2">
        <f>'HOUSE DATA'!C124+C151+G151</f>
        <v>60.320000000000014</v>
      </c>
      <c r="I151" s="3" t="str">
        <f t="shared" si="11"/>
        <v>D</v>
      </c>
      <c r="J151" s="1" t="str">
        <f>'HOUSE DATA'!K124</f>
        <v>D</v>
      </c>
      <c r="K151" s="1" t="str">
        <f t="shared" si="12"/>
        <v>—</v>
      </c>
      <c r="L151" t="str">
        <f t="shared" si="13"/>
        <v>D+60.32</v>
      </c>
      <c r="M151">
        <f>COUNTIF($H$31:$H$465,"&gt;"&amp;H151)+COUNTIF($H$31:H151,H151)</f>
        <v>32</v>
      </c>
      <c r="N151" s="7">
        <f t="shared" si="14"/>
        <v>60.320000000000014</v>
      </c>
      <c r="O151">
        <f>COUNTIF($N$31:$N$465,"&lt;"&amp;N151)+COUNTIF($N$31:N151,N151)</f>
        <v>395</v>
      </c>
      <c r="P151" s="10">
        <f>'HOUSE DATA'!M124</f>
        <v>49.360000000000014</v>
      </c>
      <c r="Q151" t="str">
        <f>'HOUSE DATA'!N124</f>
        <v>2024 HOUSE / prior substitute</v>
      </c>
      <c r="R151" s="10">
        <f t="shared" si="15"/>
        <v>10.96</v>
      </c>
      <c r="S151" s="10">
        <f t="shared" si="16"/>
        <v>8.3223349164439497</v>
      </c>
      <c r="T151" s="10">
        <f t="shared" si="17"/>
        <v>2.6376650835560511</v>
      </c>
      <c r="U151" t="s">
        <v>73</v>
      </c>
      <c r="W151" t="s">
        <v>74</v>
      </c>
      <c r="X151" t="s">
        <v>75</v>
      </c>
    </row>
    <row r="152" spans="1:24" x14ac:dyDescent="0.2">
      <c r="A152" t="str">
        <f>'HOUSE DATA'!A125</f>
        <v>GA-07</v>
      </c>
      <c r="B152" s="10">
        <f>'HOUSE DATA'!B125</f>
        <v>-18.029699221923927</v>
      </c>
      <c r="C152" s="10">
        <f t="shared" si="9"/>
        <v>-0.29999999999999893</v>
      </c>
      <c r="D152" s="10">
        <f>2*('HOUSE DATA'!D125*('HOUSE DASHBOARD'!$B$14-42.4)+'HOUSE DATA'!E125*('HOUSE DASHBOARD'!$B$15-54.2)+'HOUSE DATA'!F125*('HOUSE DASHBOARD'!$B$16-85.4)+'HOUSE DATA'!G125*('HOUSE DASHBOARD'!$B$17-60.7)+'HOUSE DATA'!H125*('HOUSE DASHBOARD'!$B$18-53.5))/100</f>
        <v>0</v>
      </c>
      <c r="E152" s="10">
        <f>2*('HOUSE DATA'!I125*('HOUSE DASHBOARD'!$B$21-55.6)+(100-'HOUSE DATA'!I125)*('HOUSE DASHBOARD'!$B$22-44.9))/100</f>
        <v>0</v>
      </c>
      <c r="F152" s="10">
        <f>0</f>
        <v>0</v>
      </c>
      <c r="G152" s="10">
        <f t="shared" si="10"/>
        <v>0</v>
      </c>
      <c r="H152" s="2">
        <f>'HOUSE DATA'!C125+C152+G152</f>
        <v>-18.739999999999995</v>
      </c>
      <c r="I152" s="3" t="str">
        <f t="shared" si="11"/>
        <v>R</v>
      </c>
      <c r="J152" s="1" t="str">
        <f>'HOUSE DATA'!K125</f>
        <v>R</v>
      </c>
      <c r="K152" s="1" t="str">
        <f t="shared" si="12"/>
        <v>—</v>
      </c>
      <c r="L152" t="str">
        <f t="shared" si="13"/>
        <v>R+18.74</v>
      </c>
      <c r="M152">
        <f>COUNTIF($H$31:$H$465,"&gt;"&amp;H152)+COUNTIF($H$31:H152,H152)</f>
        <v>352</v>
      </c>
      <c r="N152" s="7">
        <f t="shared" si="14"/>
        <v>18.739999999999995</v>
      </c>
      <c r="O152">
        <f>COUNTIF($N$31:$N$465,"&lt;"&amp;N152)+COUNTIF($N$31:N152,N152)</f>
        <v>172</v>
      </c>
      <c r="P152" s="10">
        <f>'HOUSE DATA'!M125</f>
        <v>-29.699999999999996</v>
      </c>
      <c r="Q152" t="str">
        <f>'HOUSE DATA'!N125</f>
        <v>2024 HOUSE / prior substitute</v>
      </c>
      <c r="R152" s="10">
        <f t="shared" si="15"/>
        <v>10.96</v>
      </c>
      <c r="S152" s="10">
        <f t="shared" si="16"/>
        <v>11.670300778076069</v>
      </c>
      <c r="T152" s="10">
        <f t="shared" si="17"/>
        <v>-0.71030077807606773</v>
      </c>
      <c r="U152" t="s">
        <v>73</v>
      </c>
      <c r="W152" t="s">
        <v>74</v>
      </c>
      <c r="X152" t="s">
        <v>75</v>
      </c>
    </row>
    <row r="153" spans="1:24" x14ac:dyDescent="0.2">
      <c r="A153" t="str">
        <f>'HOUSE DATA'!A126</f>
        <v>GA-08</v>
      </c>
      <c r="B153" s="10">
        <f>'HOUSE DATA'!B126</f>
        <v>-25.935021378893268</v>
      </c>
      <c r="C153" s="10">
        <f t="shared" si="9"/>
        <v>-0.29999999999999893</v>
      </c>
      <c r="D153" s="10">
        <f>2*('HOUSE DATA'!D126*('HOUSE DASHBOARD'!$B$14-42.4)+'HOUSE DATA'!E126*('HOUSE DASHBOARD'!$B$15-54.2)+'HOUSE DATA'!F126*('HOUSE DASHBOARD'!$B$16-85.4)+'HOUSE DATA'!G126*('HOUSE DASHBOARD'!$B$17-60.7)+'HOUSE DATA'!H126*('HOUSE DASHBOARD'!$B$18-53.5))/100</f>
        <v>0</v>
      </c>
      <c r="E153" s="10">
        <f>2*('HOUSE DATA'!I126*('HOUSE DASHBOARD'!$B$21-55.6)+(100-'HOUSE DATA'!I126)*('HOUSE DASHBOARD'!$B$22-44.9))/100</f>
        <v>0</v>
      </c>
      <c r="F153" s="10">
        <f>0</f>
        <v>0</v>
      </c>
      <c r="G153" s="10">
        <f t="shared" si="10"/>
        <v>0</v>
      </c>
      <c r="H153" s="2">
        <f>'HOUSE DATA'!C126+C153+G153</f>
        <v>-26.880000000000003</v>
      </c>
      <c r="I153" s="3" t="str">
        <f t="shared" si="11"/>
        <v>R</v>
      </c>
      <c r="J153" s="1" t="str">
        <f>'HOUSE DATA'!K126</f>
        <v>R</v>
      </c>
      <c r="K153" s="1" t="str">
        <f t="shared" si="12"/>
        <v>—</v>
      </c>
      <c r="L153" t="str">
        <f t="shared" si="13"/>
        <v>R+26.88</v>
      </c>
      <c r="M153">
        <f>COUNTIF($H$31:$H$465,"&gt;"&amp;H153)+COUNTIF($H$31:H153,H153)</f>
        <v>387</v>
      </c>
      <c r="N153" s="7">
        <f t="shared" si="14"/>
        <v>26.880000000000003</v>
      </c>
      <c r="O153">
        <f>COUNTIF($N$31:$N$465,"&lt;"&amp;N153)+COUNTIF($N$31:N153,N153)</f>
        <v>250</v>
      </c>
      <c r="P153" s="10">
        <f>'HOUSE DATA'!M126</f>
        <v>-37.840000000000003</v>
      </c>
      <c r="Q153" t="str">
        <f>'HOUSE DATA'!N126</f>
        <v>2024 HOUSE / prior substitute</v>
      </c>
      <c r="R153" s="10">
        <f t="shared" si="15"/>
        <v>10.96</v>
      </c>
      <c r="S153" s="10">
        <f t="shared" si="16"/>
        <v>11.904978621106736</v>
      </c>
      <c r="T153" s="10">
        <f t="shared" si="17"/>
        <v>-0.94497862110673481</v>
      </c>
      <c r="U153" t="s">
        <v>73</v>
      </c>
      <c r="W153" t="s">
        <v>74</v>
      </c>
      <c r="X153" t="s">
        <v>75</v>
      </c>
    </row>
    <row r="154" spans="1:24" x14ac:dyDescent="0.2">
      <c r="A154" t="str">
        <f>'HOUSE DATA'!A127</f>
        <v>GA-09</v>
      </c>
      <c r="B154" s="10">
        <f>'HOUSE DATA'!B127</f>
        <v>-27.824023514162345</v>
      </c>
      <c r="C154" s="10">
        <f t="shared" si="9"/>
        <v>-0.29999999999999893</v>
      </c>
      <c r="D154" s="10">
        <f>2*('HOUSE DATA'!D127*('HOUSE DASHBOARD'!$B$14-42.4)+'HOUSE DATA'!E127*('HOUSE DASHBOARD'!$B$15-54.2)+'HOUSE DATA'!F127*('HOUSE DASHBOARD'!$B$16-85.4)+'HOUSE DATA'!G127*('HOUSE DASHBOARD'!$B$17-60.7)+'HOUSE DATA'!H127*('HOUSE DASHBOARD'!$B$18-53.5))/100</f>
        <v>0</v>
      </c>
      <c r="E154" s="10">
        <f>2*('HOUSE DATA'!I127*('HOUSE DASHBOARD'!$B$21-55.6)+(100-'HOUSE DATA'!I127)*('HOUSE DASHBOARD'!$B$22-44.9))/100</f>
        <v>0</v>
      </c>
      <c r="F154" s="10">
        <f>0</f>
        <v>0</v>
      </c>
      <c r="G154" s="10">
        <f t="shared" si="10"/>
        <v>0</v>
      </c>
      <c r="H154" s="2">
        <f>'HOUSE DATA'!C127+C154+G154</f>
        <v>-27.04</v>
      </c>
      <c r="I154" s="3" t="str">
        <f t="shared" si="11"/>
        <v>R</v>
      </c>
      <c r="J154" s="1" t="str">
        <f>'HOUSE DATA'!K127</f>
        <v>R</v>
      </c>
      <c r="K154" s="1" t="str">
        <f t="shared" si="12"/>
        <v>—</v>
      </c>
      <c r="L154" t="str">
        <f t="shared" si="13"/>
        <v>R+27.04</v>
      </c>
      <c r="M154">
        <f>COUNTIF($H$31:$H$465,"&gt;"&amp;H154)+COUNTIF($H$31:H154,H154)</f>
        <v>388</v>
      </c>
      <c r="N154" s="7">
        <f t="shared" si="14"/>
        <v>27.04</v>
      </c>
      <c r="O154">
        <f>COUNTIF($N$31:$N$465,"&lt;"&amp;N154)+COUNTIF($N$31:N154,N154)</f>
        <v>252</v>
      </c>
      <c r="P154" s="10">
        <f>'HOUSE DATA'!M127</f>
        <v>-38</v>
      </c>
      <c r="Q154" t="str">
        <f>'HOUSE DATA'!N127</f>
        <v>2024 HOUSE / prior substitute</v>
      </c>
      <c r="R154" s="10">
        <f t="shared" si="15"/>
        <v>10.96</v>
      </c>
      <c r="S154" s="10">
        <f t="shared" si="16"/>
        <v>10.175976485837655</v>
      </c>
      <c r="T154" s="10">
        <f t="shared" si="17"/>
        <v>0.78402351416234595</v>
      </c>
      <c r="U154" t="s">
        <v>73</v>
      </c>
      <c r="W154" t="s">
        <v>74</v>
      </c>
      <c r="X154" t="s">
        <v>75</v>
      </c>
    </row>
    <row r="155" spans="1:24" x14ac:dyDescent="0.2">
      <c r="A155" t="str">
        <f>'HOUSE DATA'!A128</f>
        <v>GA-10</v>
      </c>
      <c r="B155" s="10">
        <f>'HOUSE DATA'!B128</f>
        <v>-10.556811433490964</v>
      </c>
      <c r="C155" s="10">
        <f t="shared" si="9"/>
        <v>-0.29999999999999893</v>
      </c>
      <c r="D155" s="10">
        <f>2*('HOUSE DATA'!D128*('HOUSE DASHBOARD'!$B$14-42.4)+'HOUSE DATA'!E128*('HOUSE DASHBOARD'!$B$15-54.2)+'HOUSE DATA'!F128*('HOUSE DASHBOARD'!$B$16-85.4)+'HOUSE DATA'!G128*('HOUSE DASHBOARD'!$B$17-60.7)+'HOUSE DATA'!H128*('HOUSE DASHBOARD'!$B$18-53.5))/100</f>
        <v>0</v>
      </c>
      <c r="E155" s="10">
        <f>2*('HOUSE DATA'!I128*('HOUSE DASHBOARD'!$B$21-55.6)+(100-'HOUSE DATA'!I128)*('HOUSE DASHBOARD'!$B$22-44.9))/100</f>
        <v>0</v>
      </c>
      <c r="F155" s="10">
        <f>0</f>
        <v>0</v>
      </c>
      <c r="G155" s="10">
        <f t="shared" si="10"/>
        <v>0</v>
      </c>
      <c r="H155" s="2">
        <f>'HOUSE DATA'!C128+C155+G155</f>
        <v>-10.23</v>
      </c>
      <c r="I155" s="3" t="str">
        <f t="shared" si="11"/>
        <v>R</v>
      </c>
      <c r="J155" s="1" t="str">
        <f>'HOUSE DATA'!K128</f>
        <v>R</v>
      </c>
      <c r="K155" s="1" t="str">
        <f t="shared" si="12"/>
        <v>—</v>
      </c>
      <c r="L155" t="str">
        <f t="shared" si="13"/>
        <v>R+10.23</v>
      </c>
      <c r="M155">
        <f>COUNTIF($H$31:$H$465,"&gt;"&amp;H155)+COUNTIF($H$31:H155,H155)</f>
        <v>301</v>
      </c>
      <c r="N155" s="7">
        <f t="shared" si="14"/>
        <v>10.23</v>
      </c>
      <c r="O155">
        <f>COUNTIF($N$31:$N$465,"&lt;"&amp;N155)+COUNTIF($N$31:N155,N155)</f>
        <v>90</v>
      </c>
      <c r="P155" s="10">
        <f>'HOUSE DATA'!M128</f>
        <v>-20.78</v>
      </c>
      <c r="Q155" t="str">
        <f>'HOUSE DATA'!N128</f>
        <v>2024 PRESIDENT (open seat)</v>
      </c>
      <c r="R155" s="10">
        <f t="shared" si="15"/>
        <v>10.55</v>
      </c>
      <c r="S155" s="10">
        <f t="shared" si="16"/>
        <v>10.223188566509037</v>
      </c>
      <c r="T155" s="10">
        <f t="shared" si="17"/>
        <v>0.32681143349096331</v>
      </c>
      <c r="U155" t="s">
        <v>73</v>
      </c>
      <c r="W155" t="s">
        <v>74</v>
      </c>
      <c r="X155" t="s">
        <v>75</v>
      </c>
    </row>
    <row r="156" spans="1:24" x14ac:dyDescent="0.2">
      <c r="A156" t="str">
        <f>'HOUSE DATA'!A129</f>
        <v>GA-11</v>
      </c>
      <c r="B156" s="10">
        <f>'HOUSE DATA'!B129</f>
        <v>-14.433907261725709</v>
      </c>
      <c r="C156" s="10">
        <f t="shared" si="9"/>
        <v>-0.29999999999999893</v>
      </c>
      <c r="D156" s="10">
        <f>2*('HOUSE DATA'!D129*('HOUSE DASHBOARD'!$B$14-42.4)+'HOUSE DATA'!E129*('HOUSE DASHBOARD'!$B$15-54.2)+'HOUSE DATA'!F129*('HOUSE DASHBOARD'!$B$16-85.4)+'HOUSE DATA'!G129*('HOUSE DASHBOARD'!$B$17-60.7)+'HOUSE DATA'!H129*('HOUSE DASHBOARD'!$B$18-53.5))/100</f>
        <v>0</v>
      </c>
      <c r="E156" s="10">
        <f>2*('HOUSE DATA'!I129*('HOUSE DASHBOARD'!$B$21-55.6)+(100-'HOUSE DATA'!I129)*('HOUSE DASHBOARD'!$B$22-44.9))/100</f>
        <v>0</v>
      </c>
      <c r="F156" s="10">
        <f>0</f>
        <v>0</v>
      </c>
      <c r="G156" s="10">
        <f t="shared" si="10"/>
        <v>0</v>
      </c>
      <c r="H156" s="2">
        <f>'HOUSE DATA'!C129+C156+G156</f>
        <v>-12.79</v>
      </c>
      <c r="I156" s="3" t="str">
        <f t="shared" si="11"/>
        <v>R</v>
      </c>
      <c r="J156" s="1" t="str">
        <f>'HOUSE DATA'!K129</f>
        <v>R</v>
      </c>
      <c r="K156" s="1" t="str">
        <f t="shared" si="12"/>
        <v>—</v>
      </c>
      <c r="L156" t="str">
        <f t="shared" si="13"/>
        <v>R+12.79</v>
      </c>
      <c r="M156">
        <f>COUNTIF($H$31:$H$465,"&gt;"&amp;H156)+COUNTIF($H$31:H156,H156)</f>
        <v>325</v>
      </c>
      <c r="N156" s="7">
        <f t="shared" si="14"/>
        <v>12.79</v>
      </c>
      <c r="O156">
        <f>COUNTIF($N$31:$N$465,"&lt;"&amp;N156)+COUNTIF($N$31:N156,N156)</f>
        <v>118</v>
      </c>
      <c r="P156" s="10">
        <f>'HOUSE DATA'!M129</f>
        <v>-23.34</v>
      </c>
      <c r="Q156" t="str">
        <f>'HOUSE DATA'!N129</f>
        <v>2024 PRESIDENT (open seat)</v>
      </c>
      <c r="R156" s="10">
        <f t="shared" si="15"/>
        <v>10.55</v>
      </c>
      <c r="S156" s="10">
        <f t="shared" si="16"/>
        <v>8.9060927382742907</v>
      </c>
      <c r="T156" s="10">
        <f t="shared" si="17"/>
        <v>1.64390726172571</v>
      </c>
      <c r="U156" t="s">
        <v>73</v>
      </c>
      <c r="W156" t="s">
        <v>74</v>
      </c>
      <c r="X156" t="s">
        <v>75</v>
      </c>
    </row>
    <row r="157" spans="1:24" x14ac:dyDescent="0.2">
      <c r="A157" t="str">
        <f>'HOUSE DATA'!A130</f>
        <v>GA-12</v>
      </c>
      <c r="B157" s="10">
        <f>'HOUSE DATA'!B130</f>
        <v>-8.5000961023721082</v>
      </c>
      <c r="C157" s="10">
        <f t="shared" si="9"/>
        <v>-0.29999999999999893</v>
      </c>
      <c r="D157" s="10">
        <f>2*('HOUSE DATA'!D130*('HOUSE DASHBOARD'!$B$14-42.4)+'HOUSE DATA'!E130*('HOUSE DASHBOARD'!$B$15-54.2)+'HOUSE DATA'!F130*('HOUSE DASHBOARD'!$B$16-85.4)+'HOUSE DATA'!G130*('HOUSE DASHBOARD'!$B$17-60.7)+'HOUSE DATA'!H130*('HOUSE DASHBOARD'!$B$18-53.5))/100</f>
        <v>0</v>
      </c>
      <c r="E157" s="10">
        <f>2*('HOUSE DATA'!I130*('HOUSE DASHBOARD'!$B$21-55.6)+(100-'HOUSE DATA'!I130)*('HOUSE DASHBOARD'!$B$22-44.9))/100</f>
        <v>0</v>
      </c>
      <c r="F157" s="10">
        <f>0</f>
        <v>0</v>
      </c>
      <c r="G157" s="10">
        <f t="shared" si="10"/>
        <v>0</v>
      </c>
      <c r="H157" s="2">
        <f>'HOUSE DATA'!C130+C157+G157</f>
        <v>-9.6799999999999926</v>
      </c>
      <c r="I157" s="3" t="str">
        <f t="shared" si="11"/>
        <v>R</v>
      </c>
      <c r="J157" s="1" t="str">
        <f>'HOUSE DATA'!K130</f>
        <v>R</v>
      </c>
      <c r="K157" s="1" t="str">
        <f t="shared" si="12"/>
        <v>—</v>
      </c>
      <c r="L157" t="str">
        <f t="shared" si="13"/>
        <v>R+9.68</v>
      </c>
      <c r="M157">
        <f>COUNTIF($H$31:$H$465,"&gt;"&amp;H157)+COUNTIF($H$31:H157,H157)</f>
        <v>298</v>
      </c>
      <c r="N157" s="7">
        <f t="shared" si="14"/>
        <v>9.6799999999999926</v>
      </c>
      <c r="O157">
        <f>COUNTIF($N$31:$N$465,"&lt;"&amp;N157)+COUNTIF($N$31:N157,N157)</f>
        <v>83</v>
      </c>
      <c r="P157" s="10">
        <f>'HOUSE DATA'!M130</f>
        <v>-20.639999999999993</v>
      </c>
      <c r="Q157" t="str">
        <f>'HOUSE DATA'!N130</f>
        <v>2024 HOUSE / prior substitute</v>
      </c>
      <c r="R157" s="10">
        <f t="shared" si="15"/>
        <v>10.96</v>
      </c>
      <c r="S157" s="10">
        <f t="shared" si="16"/>
        <v>12.139903897627885</v>
      </c>
      <c r="T157" s="10">
        <f t="shared" si="17"/>
        <v>-1.1799038976278844</v>
      </c>
      <c r="U157" t="s">
        <v>73</v>
      </c>
      <c r="W157" t="s">
        <v>74</v>
      </c>
      <c r="X157" t="s">
        <v>75</v>
      </c>
    </row>
    <row r="158" spans="1:24" x14ac:dyDescent="0.2">
      <c r="A158" t="str">
        <f>'HOUSE DATA'!A131</f>
        <v>GA-13</v>
      </c>
      <c r="B158" s="10">
        <f>'HOUSE DATA'!B131</f>
        <v>56.184778931905463</v>
      </c>
      <c r="C158" s="10">
        <f t="shared" si="9"/>
        <v>-0.29999999999999893</v>
      </c>
      <c r="D158" s="10">
        <f>2*('HOUSE DATA'!D131*('HOUSE DASHBOARD'!$B$14-42.4)+'HOUSE DATA'!E131*('HOUSE DASHBOARD'!$B$15-54.2)+'HOUSE DATA'!F131*('HOUSE DASHBOARD'!$B$16-85.4)+'HOUSE DATA'!G131*('HOUSE DASHBOARD'!$B$17-60.7)+'HOUSE DATA'!H131*('HOUSE DASHBOARD'!$B$18-53.5))/100</f>
        <v>0</v>
      </c>
      <c r="E158" s="10">
        <f>2*('HOUSE DATA'!I131*('HOUSE DASHBOARD'!$B$21-55.6)+(100-'HOUSE DATA'!I131)*('HOUSE DASHBOARD'!$B$22-44.9))/100</f>
        <v>0</v>
      </c>
      <c r="F158" s="10">
        <f>0</f>
        <v>0</v>
      </c>
      <c r="G158" s="10">
        <f t="shared" si="10"/>
        <v>0</v>
      </c>
      <c r="H158" s="2">
        <f>'HOUSE DATA'!C131+C158+G158</f>
        <v>54.62</v>
      </c>
      <c r="I158" s="3" t="str">
        <f t="shared" si="11"/>
        <v>D</v>
      </c>
      <c r="J158" s="1" t="str">
        <f>'HOUSE DATA'!K131</f>
        <v>D</v>
      </c>
      <c r="K158" s="1" t="str">
        <f t="shared" si="12"/>
        <v>—</v>
      </c>
      <c r="L158" t="str">
        <f t="shared" si="13"/>
        <v>D+54.62</v>
      </c>
      <c r="M158">
        <f>COUNTIF($H$31:$H$465,"&gt;"&amp;H158)+COUNTIF($H$31:H158,H158)</f>
        <v>45</v>
      </c>
      <c r="N158" s="7">
        <f t="shared" si="14"/>
        <v>54.62</v>
      </c>
      <c r="O158">
        <f>COUNTIF($N$31:$N$465,"&lt;"&amp;N158)+COUNTIF($N$31:N158,N158)</f>
        <v>382</v>
      </c>
      <c r="P158" s="10">
        <f>'HOUSE DATA'!M131</f>
        <v>43.66</v>
      </c>
      <c r="Q158" t="str">
        <f>'HOUSE DATA'!N131</f>
        <v>2024 HOUSE / prior substitute</v>
      </c>
      <c r="R158" s="10">
        <f t="shared" si="15"/>
        <v>10.96</v>
      </c>
      <c r="S158" s="10">
        <f t="shared" si="16"/>
        <v>12.524778931905466</v>
      </c>
      <c r="T158" s="10">
        <f t="shared" si="17"/>
        <v>-1.5647789319054652</v>
      </c>
      <c r="U158" t="s">
        <v>73</v>
      </c>
      <c r="W158" t="s">
        <v>74</v>
      </c>
      <c r="X158" t="s">
        <v>75</v>
      </c>
    </row>
    <row r="159" spans="1:24" x14ac:dyDescent="0.2">
      <c r="A159" t="str">
        <f>'HOUSE DATA'!A132</f>
        <v>GA-14</v>
      </c>
      <c r="B159" s="10">
        <f>'HOUSE DATA'!B132</f>
        <v>-18.30000072233689</v>
      </c>
      <c r="C159" s="10">
        <f t="shared" ref="C159:C222" si="18">$D$5</f>
        <v>-0.29999999999999893</v>
      </c>
      <c r="D159" s="10">
        <f>2*('HOUSE DATA'!D132*('HOUSE DASHBOARD'!$B$14-42.4)+'HOUSE DATA'!E132*('HOUSE DASHBOARD'!$B$15-54.2)+'HOUSE DATA'!F132*('HOUSE DASHBOARD'!$B$16-85.4)+'HOUSE DATA'!G132*('HOUSE DASHBOARD'!$B$17-60.7)+'HOUSE DATA'!H132*('HOUSE DASHBOARD'!$B$18-53.5))/100</f>
        <v>0</v>
      </c>
      <c r="E159" s="10">
        <f>2*('HOUSE DATA'!I132*('HOUSE DASHBOARD'!$B$21-55.6)+(100-'HOUSE DATA'!I132)*('HOUSE DASHBOARD'!$B$22-44.9))/100</f>
        <v>0</v>
      </c>
      <c r="F159" s="10">
        <f>0</f>
        <v>0</v>
      </c>
      <c r="G159" s="10">
        <f t="shared" ref="G159:G222" si="19">(D159+E159)/2</f>
        <v>0</v>
      </c>
      <c r="H159" s="2">
        <f>'HOUSE DATA'!C132+C159+G159</f>
        <v>-17.78</v>
      </c>
      <c r="I159" s="3" t="str">
        <f t="shared" ref="I159:I222" si="20">IF(V159="D","D",IF(V159="R","R",IF(H159&gt;=0,"D","R")))</f>
        <v>R</v>
      </c>
      <c r="J159" s="1" t="str">
        <f>'HOUSE DATA'!K132</f>
        <v>R</v>
      </c>
      <c r="K159" s="1" t="str">
        <f t="shared" ref="K159:K222" si="21">IF(I159=J159,"—",J159&amp;" → "&amp;I159)</f>
        <v>—</v>
      </c>
      <c r="L159" t="str">
        <f t="shared" ref="L159:L222" si="22">IF(V159="D","D — BALLOT LOCK",IF(V159="R","R — BALLOT LOCK",IF(H159&gt;=0,"D+"&amp;TEXT(H159,"0.00"),"R+"&amp;TEXT(-H159,"0.00"))))</f>
        <v>R+17.78</v>
      </c>
      <c r="M159">
        <f>COUNTIF($H$31:$H$465,"&gt;"&amp;H159)+COUNTIF($H$31:H159,H159)</f>
        <v>343</v>
      </c>
      <c r="N159" s="7">
        <f t="shared" ref="N159:N222" si="23">IF(V159&lt;&gt;"",100,ABS(H159))</f>
        <v>17.78</v>
      </c>
      <c r="O159">
        <f>COUNTIF($N$31:$N$465,"&lt;"&amp;N159)+COUNTIF($N$31:N159,N159)</f>
        <v>157</v>
      </c>
      <c r="P159" s="10">
        <f>'HOUSE DATA'!M132</f>
        <v>-28.740000000000002</v>
      </c>
      <c r="Q159" t="str">
        <f>'HOUSE DATA'!N132</f>
        <v>2024 HOUSE / prior substitute</v>
      </c>
      <c r="R159" s="10">
        <f t="shared" ref="R159:R222" si="24">H159-P159</f>
        <v>10.96</v>
      </c>
      <c r="S159" s="10">
        <f t="shared" ref="S159:S222" si="25">B159-P159</f>
        <v>10.439999277663112</v>
      </c>
      <c r="T159" s="10">
        <f t="shared" ref="T159:T222" si="26">H159-B159</f>
        <v>0.52000072233688854</v>
      </c>
      <c r="U159" t="s">
        <v>73</v>
      </c>
      <c r="W159" t="s">
        <v>74</v>
      </c>
      <c r="X159" t="s">
        <v>75</v>
      </c>
    </row>
    <row r="160" spans="1:24" x14ac:dyDescent="0.2">
      <c r="A160" t="str">
        <f>'HOUSE DATA'!A133</f>
        <v>HI-01</v>
      </c>
      <c r="B160" s="10">
        <f>'HOUSE DATA'!B133</f>
        <v>58.734009959705126</v>
      </c>
      <c r="C160" s="10">
        <f t="shared" si="18"/>
        <v>-0.29999999999999893</v>
      </c>
      <c r="D160" s="10">
        <f>2*('HOUSE DATA'!D133*('HOUSE DASHBOARD'!$B$14-42.4)+'HOUSE DATA'!E133*('HOUSE DASHBOARD'!$B$15-54.2)+'HOUSE DATA'!F133*('HOUSE DASHBOARD'!$B$16-85.4)+'HOUSE DATA'!G133*('HOUSE DASHBOARD'!$B$17-60.7)+'HOUSE DATA'!H133*('HOUSE DASHBOARD'!$B$18-53.5))/100</f>
        <v>0</v>
      </c>
      <c r="E160" s="10">
        <f>2*('HOUSE DATA'!I133*('HOUSE DASHBOARD'!$B$21-55.6)+(100-'HOUSE DATA'!I133)*('HOUSE DASHBOARD'!$B$22-44.9))/100</f>
        <v>0</v>
      </c>
      <c r="F160" s="10">
        <f>0</f>
        <v>0</v>
      </c>
      <c r="G160" s="10">
        <f t="shared" si="19"/>
        <v>0</v>
      </c>
      <c r="H160" s="2">
        <f>'HOUSE DATA'!C133+C160+G160</f>
        <v>54.640000000000008</v>
      </c>
      <c r="I160" s="3" t="str">
        <f t="shared" si="20"/>
        <v>D</v>
      </c>
      <c r="J160" s="1" t="str">
        <f>'HOUSE DATA'!K133</f>
        <v>D</v>
      </c>
      <c r="K160" s="1" t="str">
        <f t="shared" si="21"/>
        <v>—</v>
      </c>
      <c r="L160" t="str">
        <f t="shared" si="22"/>
        <v>D+54.64</v>
      </c>
      <c r="M160">
        <f>COUNTIF($H$31:$H$465,"&gt;"&amp;H160)+COUNTIF($H$31:H160,H160)</f>
        <v>44</v>
      </c>
      <c r="N160" s="7">
        <f t="shared" si="23"/>
        <v>54.640000000000008</v>
      </c>
      <c r="O160">
        <f>COUNTIF($N$31:$N$465,"&lt;"&amp;N160)+COUNTIF($N$31:N160,N160)</f>
        <v>383</v>
      </c>
      <c r="P160" s="10">
        <f>'HOUSE DATA'!M133</f>
        <v>43.680000000000007</v>
      </c>
      <c r="Q160" t="str">
        <f>'HOUSE DATA'!N133</f>
        <v>2024 HOUSE / prior substitute</v>
      </c>
      <c r="R160" s="10">
        <f t="shared" si="24"/>
        <v>10.96</v>
      </c>
      <c r="S160" s="10">
        <f t="shared" si="25"/>
        <v>15.05400995970512</v>
      </c>
      <c r="T160" s="10">
        <f t="shared" si="26"/>
        <v>-4.0940099597051187</v>
      </c>
      <c r="U160" t="s">
        <v>73</v>
      </c>
      <c r="W160" t="s">
        <v>74</v>
      </c>
      <c r="X160" t="s">
        <v>75</v>
      </c>
    </row>
    <row r="161" spans="1:24" x14ac:dyDescent="0.2">
      <c r="A161" t="str">
        <f>'HOUSE DATA'!A134</f>
        <v>HI-02</v>
      </c>
      <c r="B161" s="10">
        <f>'HOUSE DATA'!B134</f>
        <v>50.49511946461724</v>
      </c>
      <c r="C161" s="10">
        <f t="shared" si="18"/>
        <v>-0.29999999999999893</v>
      </c>
      <c r="D161" s="10">
        <f>2*('HOUSE DATA'!D134*('HOUSE DASHBOARD'!$B$14-42.4)+'HOUSE DATA'!E134*('HOUSE DASHBOARD'!$B$15-54.2)+'HOUSE DATA'!F134*('HOUSE DASHBOARD'!$B$16-85.4)+'HOUSE DATA'!G134*('HOUSE DASHBOARD'!$B$17-60.7)+'HOUSE DATA'!H134*('HOUSE DASHBOARD'!$B$18-53.5))/100</f>
        <v>0</v>
      </c>
      <c r="E161" s="10">
        <f>2*('HOUSE DATA'!I134*('HOUSE DASHBOARD'!$B$21-55.6)+(100-'HOUSE DATA'!I134)*('HOUSE DASHBOARD'!$B$22-44.9))/100</f>
        <v>0</v>
      </c>
      <c r="F161" s="10">
        <f>0</f>
        <v>0</v>
      </c>
      <c r="G161" s="10">
        <f t="shared" si="19"/>
        <v>0</v>
      </c>
      <c r="H161" s="2">
        <f>'HOUSE DATA'!C134+C161+G161</f>
        <v>48.52</v>
      </c>
      <c r="I161" s="3" t="str">
        <f t="shared" si="20"/>
        <v>D</v>
      </c>
      <c r="J161" s="1" t="str">
        <f>'HOUSE DATA'!K134</f>
        <v>D</v>
      </c>
      <c r="K161" s="1" t="str">
        <f t="shared" si="21"/>
        <v>—</v>
      </c>
      <c r="L161" t="str">
        <f t="shared" si="22"/>
        <v>D+48.52</v>
      </c>
      <c r="M161">
        <f>COUNTIF($H$31:$H$465,"&gt;"&amp;H161)+COUNTIF($H$31:H161,H161)</f>
        <v>63</v>
      </c>
      <c r="N161" s="7">
        <f t="shared" si="23"/>
        <v>48.52</v>
      </c>
      <c r="O161">
        <f>COUNTIF($N$31:$N$465,"&lt;"&amp;N161)+COUNTIF($N$31:N161,N161)</f>
        <v>362</v>
      </c>
      <c r="P161" s="10">
        <f>'HOUSE DATA'!M134</f>
        <v>37.56</v>
      </c>
      <c r="Q161" t="str">
        <f>'HOUSE DATA'!N134</f>
        <v>2024 HOUSE / prior substitute</v>
      </c>
      <c r="R161" s="10">
        <f t="shared" si="24"/>
        <v>10.96</v>
      </c>
      <c r="S161" s="10">
        <f t="shared" si="25"/>
        <v>12.935119464617237</v>
      </c>
      <c r="T161" s="10">
        <f t="shared" si="26"/>
        <v>-1.9751194646172365</v>
      </c>
      <c r="U161" t="s">
        <v>73</v>
      </c>
      <c r="W161" t="s">
        <v>74</v>
      </c>
      <c r="X161" t="s">
        <v>75</v>
      </c>
    </row>
    <row r="162" spans="1:24" x14ac:dyDescent="0.2">
      <c r="A162" t="str">
        <f>'HOUSE DATA'!A135</f>
        <v>IA-01</v>
      </c>
      <c r="B162" s="10">
        <f>'HOUSE DATA'!B135</f>
        <v>9.5804760863404557</v>
      </c>
      <c r="C162" s="10">
        <f t="shared" si="18"/>
        <v>-0.29999999999999893</v>
      </c>
      <c r="D162" s="10">
        <f>2*('HOUSE DATA'!D135*('HOUSE DASHBOARD'!$B$14-42.4)+'HOUSE DATA'!E135*('HOUSE DASHBOARD'!$B$15-54.2)+'HOUSE DATA'!F135*('HOUSE DASHBOARD'!$B$16-85.4)+'HOUSE DATA'!G135*('HOUSE DASHBOARD'!$B$17-60.7)+'HOUSE DATA'!H135*('HOUSE DASHBOARD'!$B$18-53.5))/100</f>
        <v>0</v>
      </c>
      <c r="E162" s="10">
        <f>2*('HOUSE DATA'!I135*('HOUSE DASHBOARD'!$B$21-55.6)+(100-'HOUSE DATA'!I135)*('HOUSE DASHBOARD'!$B$22-44.9))/100</f>
        <v>0</v>
      </c>
      <c r="F162" s="10">
        <f>0</f>
        <v>0</v>
      </c>
      <c r="G162" s="10">
        <f t="shared" si="19"/>
        <v>0</v>
      </c>
      <c r="H162" s="2">
        <f>'HOUSE DATA'!C135+C162+G162</f>
        <v>10.759999999999998</v>
      </c>
      <c r="I162" s="3" t="str">
        <f t="shared" si="20"/>
        <v>D</v>
      </c>
      <c r="J162" s="1" t="str">
        <f>'HOUSE DATA'!K135</f>
        <v>R</v>
      </c>
      <c r="K162" s="1" t="str">
        <f t="shared" si="21"/>
        <v>R → D</v>
      </c>
      <c r="L162" t="str">
        <f t="shared" si="22"/>
        <v>D+10.76</v>
      </c>
      <c r="M162">
        <f>COUNTIF($H$31:$H$465,"&gt;"&amp;H162)+COUNTIF($H$31:H162,H162)</f>
        <v>209</v>
      </c>
      <c r="N162" s="7">
        <f t="shared" si="23"/>
        <v>10.759999999999998</v>
      </c>
      <c r="O162">
        <f>COUNTIF($N$31:$N$465,"&lt;"&amp;N162)+COUNTIF($N$31:N162,N162)</f>
        <v>99</v>
      </c>
      <c r="P162" s="10">
        <f>'HOUSE DATA'!M135</f>
        <v>-0.20000000000000284</v>
      </c>
      <c r="Q162" t="str">
        <f>'HOUSE DATA'!N135</f>
        <v>2024 HOUSE / prior substitute</v>
      </c>
      <c r="R162" s="10">
        <f t="shared" si="24"/>
        <v>10.96</v>
      </c>
      <c r="S162" s="10">
        <f t="shared" si="25"/>
        <v>9.7804760863404585</v>
      </c>
      <c r="T162" s="10">
        <f t="shared" si="26"/>
        <v>1.1795239136595423</v>
      </c>
      <c r="U162" t="s">
        <v>73</v>
      </c>
      <c r="W162" t="s">
        <v>74</v>
      </c>
      <c r="X162" t="s">
        <v>75</v>
      </c>
    </row>
    <row r="163" spans="1:24" x14ac:dyDescent="0.2">
      <c r="A163" t="str">
        <f>'HOUSE DATA'!A136</f>
        <v>IA-02</v>
      </c>
      <c r="B163" s="10">
        <f>'HOUSE DATA'!B136</f>
        <v>-0.39937256192532256</v>
      </c>
      <c r="C163" s="10">
        <f t="shared" si="18"/>
        <v>-0.29999999999999893</v>
      </c>
      <c r="D163" s="10">
        <f>2*('HOUSE DATA'!D136*('HOUSE DASHBOARD'!$B$14-42.4)+'HOUSE DATA'!E136*('HOUSE DASHBOARD'!$B$15-54.2)+'HOUSE DATA'!F136*('HOUSE DASHBOARD'!$B$16-85.4)+'HOUSE DATA'!G136*('HOUSE DASHBOARD'!$B$17-60.7)+'HOUSE DATA'!H136*('HOUSE DASHBOARD'!$B$18-53.5))/100</f>
        <v>0</v>
      </c>
      <c r="E163" s="10">
        <f>2*('HOUSE DATA'!I136*('HOUSE DASHBOARD'!$B$21-55.6)+(100-'HOUSE DATA'!I136)*('HOUSE DASHBOARD'!$B$22-44.9))/100</f>
        <v>0</v>
      </c>
      <c r="F163" s="10">
        <f>0</f>
        <v>0</v>
      </c>
      <c r="G163" s="10">
        <f t="shared" si="19"/>
        <v>0</v>
      </c>
      <c r="H163" s="2">
        <f>'HOUSE DATA'!C136+C163+G163</f>
        <v>0.5600000000000005</v>
      </c>
      <c r="I163" s="3" t="str">
        <f t="shared" si="20"/>
        <v>D</v>
      </c>
      <c r="J163" s="1" t="str">
        <f>'HOUSE DATA'!K136</f>
        <v>R</v>
      </c>
      <c r="K163" s="1" t="str">
        <f t="shared" si="21"/>
        <v>R → D</v>
      </c>
      <c r="L163" t="str">
        <f t="shared" si="22"/>
        <v>D+0.56</v>
      </c>
      <c r="M163">
        <f>COUNTIF($H$31:$H$465,"&gt;"&amp;H163)+COUNTIF($H$31:H163,H163)</f>
        <v>233</v>
      </c>
      <c r="N163" s="7">
        <f t="shared" si="23"/>
        <v>0.5600000000000005</v>
      </c>
      <c r="O163">
        <f>COUNTIF($N$31:$N$465,"&lt;"&amp;N163)+COUNTIF($N$31:N163,N163)</f>
        <v>7</v>
      </c>
      <c r="P163" s="10">
        <f>'HOUSE DATA'!M136</f>
        <v>-9.99</v>
      </c>
      <c r="Q163" t="str">
        <f>'HOUSE DATA'!N136</f>
        <v>2024 PRESIDENT (open seat)</v>
      </c>
      <c r="R163" s="10">
        <f t="shared" si="24"/>
        <v>10.55</v>
      </c>
      <c r="S163" s="10">
        <f t="shared" si="25"/>
        <v>9.5906274380746783</v>
      </c>
      <c r="T163" s="10">
        <f t="shared" si="26"/>
        <v>0.95937256192532305</v>
      </c>
      <c r="U163" t="s">
        <v>73</v>
      </c>
      <c r="W163" t="s">
        <v>74</v>
      </c>
      <c r="X163" t="s">
        <v>75</v>
      </c>
    </row>
    <row r="164" spans="1:24" x14ac:dyDescent="0.2">
      <c r="A164" t="str">
        <f>'HOUSE DATA'!A137</f>
        <v>IA-03</v>
      </c>
      <c r="B164" s="10">
        <f>'HOUSE DATA'!B137</f>
        <v>5.4844143070240952</v>
      </c>
      <c r="C164" s="10">
        <f t="shared" si="18"/>
        <v>-0.29999999999999893</v>
      </c>
      <c r="D164" s="10">
        <f>2*('HOUSE DATA'!D137*('HOUSE DASHBOARD'!$B$14-42.4)+'HOUSE DATA'!E137*('HOUSE DASHBOARD'!$B$15-54.2)+'HOUSE DATA'!F137*('HOUSE DASHBOARD'!$B$16-85.4)+'HOUSE DATA'!G137*('HOUSE DASHBOARD'!$B$17-60.7)+'HOUSE DATA'!H137*('HOUSE DASHBOARD'!$B$18-53.5))/100</f>
        <v>0</v>
      </c>
      <c r="E164" s="10">
        <f>2*('HOUSE DATA'!I137*('HOUSE DASHBOARD'!$B$21-55.6)+(100-'HOUSE DATA'!I137)*('HOUSE DASHBOARD'!$B$22-44.9))/100</f>
        <v>0</v>
      </c>
      <c r="F164" s="10">
        <f>0</f>
        <v>0</v>
      </c>
      <c r="G164" s="10">
        <f t="shared" si="19"/>
        <v>0</v>
      </c>
      <c r="H164" s="2">
        <f>'HOUSE DATA'!C137+C164+G164</f>
        <v>7.1199999999999974</v>
      </c>
      <c r="I164" s="3" t="str">
        <f t="shared" si="20"/>
        <v>D</v>
      </c>
      <c r="J164" s="1" t="str">
        <f>'HOUSE DATA'!K137</f>
        <v>R</v>
      </c>
      <c r="K164" s="1" t="str">
        <f t="shared" si="21"/>
        <v>R → D</v>
      </c>
      <c r="L164" t="str">
        <f t="shared" si="22"/>
        <v>D+7.12</v>
      </c>
      <c r="M164">
        <f>COUNTIF($H$31:$H$465,"&gt;"&amp;H164)+COUNTIF($H$31:H164,H164)</f>
        <v>220</v>
      </c>
      <c r="N164" s="7">
        <f t="shared" si="23"/>
        <v>7.1199999999999974</v>
      </c>
      <c r="O164">
        <f>COUNTIF($N$31:$N$465,"&lt;"&amp;N164)+COUNTIF($N$31:N164,N164)</f>
        <v>59</v>
      </c>
      <c r="P164" s="10">
        <f>'HOUSE DATA'!M137</f>
        <v>-3.8400000000000034</v>
      </c>
      <c r="Q164" t="str">
        <f>'HOUSE DATA'!N137</f>
        <v>2024 HOUSE / prior substitute</v>
      </c>
      <c r="R164" s="10">
        <f t="shared" si="24"/>
        <v>10.96</v>
      </c>
      <c r="S164" s="10">
        <f t="shared" si="25"/>
        <v>9.3244143070240995</v>
      </c>
      <c r="T164" s="10">
        <f t="shared" si="26"/>
        <v>1.6355856929759023</v>
      </c>
      <c r="U164" t="s">
        <v>73</v>
      </c>
      <c r="W164" t="s">
        <v>74</v>
      </c>
      <c r="X164" t="s">
        <v>75</v>
      </c>
    </row>
    <row r="165" spans="1:24" x14ac:dyDescent="0.2">
      <c r="A165" t="str">
        <f>'HOUSE DATA'!A138</f>
        <v>IA-04</v>
      </c>
      <c r="B165" s="10">
        <f>'HOUSE DATA'!B138</f>
        <v>-21.710782333573768</v>
      </c>
      <c r="C165" s="10">
        <f t="shared" si="18"/>
        <v>-0.29999999999999893</v>
      </c>
      <c r="D165" s="10">
        <f>2*('HOUSE DATA'!D138*('HOUSE DASHBOARD'!$B$14-42.4)+'HOUSE DATA'!E138*('HOUSE DASHBOARD'!$B$15-54.2)+'HOUSE DATA'!F138*('HOUSE DASHBOARD'!$B$16-85.4)+'HOUSE DATA'!G138*('HOUSE DASHBOARD'!$B$17-60.7)+'HOUSE DATA'!H138*('HOUSE DASHBOARD'!$B$18-53.5))/100</f>
        <v>0</v>
      </c>
      <c r="E165" s="10">
        <f>2*('HOUSE DATA'!I138*('HOUSE DASHBOARD'!$B$21-55.6)+(100-'HOUSE DATA'!I138)*('HOUSE DASHBOARD'!$B$22-44.9))/100</f>
        <v>0</v>
      </c>
      <c r="F165" s="10">
        <f>0</f>
        <v>0</v>
      </c>
      <c r="G165" s="10">
        <f t="shared" si="19"/>
        <v>0</v>
      </c>
      <c r="H165" s="2">
        <f>'HOUSE DATA'!C138+C165+G165</f>
        <v>-20.93</v>
      </c>
      <c r="I165" s="3" t="str">
        <f t="shared" si="20"/>
        <v>R</v>
      </c>
      <c r="J165" s="1" t="str">
        <f>'HOUSE DATA'!K138</f>
        <v>R</v>
      </c>
      <c r="K165" s="1" t="str">
        <f t="shared" si="21"/>
        <v>—</v>
      </c>
      <c r="L165" t="str">
        <f t="shared" si="22"/>
        <v>R+20.93</v>
      </c>
      <c r="M165">
        <f>COUNTIF($H$31:$H$465,"&gt;"&amp;H165)+COUNTIF($H$31:H165,H165)</f>
        <v>361</v>
      </c>
      <c r="N165" s="7">
        <f t="shared" si="23"/>
        <v>20.93</v>
      </c>
      <c r="O165">
        <f>COUNTIF($N$31:$N$465,"&lt;"&amp;N165)+COUNTIF($N$31:N165,N165)</f>
        <v>195</v>
      </c>
      <c r="P165" s="10">
        <f>'HOUSE DATA'!M138</f>
        <v>-31.48</v>
      </c>
      <c r="Q165" t="str">
        <f>'HOUSE DATA'!N138</f>
        <v>2024 PRESIDENT (open seat)</v>
      </c>
      <c r="R165" s="10">
        <f t="shared" si="24"/>
        <v>10.55</v>
      </c>
      <c r="S165" s="10">
        <f t="shared" si="25"/>
        <v>9.7692176664262327</v>
      </c>
      <c r="T165" s="10">
        <f t="shared" si="26"/>
        <v>0.78078233357376803</v>
      </c>
      <c r="U165" t="s">
        <v>73</v>
      </c>
      <c r="W165" t="s">
        <v>74</v>
      </c>
      <c r="X165" t="s">
        <v>75</v>
      </c>
    </row>
    <row r="166" spans="1:24" x14ac:dyDescent="0.2">
      <c r="A166" t="str">
        <f>'HOUSE DATA'!A139</f>
        <v>ID-01</v>
      </c>
      <c r="B166" s="10">
        <f>'HOUSE DATA'!B139</f>
        <v>-37.616178655770113</v>
      </c>
      <c r="C166" s="10">
        <f t="shared" si="18"/>
        <v>-0.29999999999999893</v>
      </c>
      <c r="D166" s="10">
        <f>2*('HOUSE DATA'!D139*('HOUSE DASHBOARD'!$B$14-42.4)+'HOUSE DATA'!E139*('HOUSE DASHBOARD'!$B$15-54.2)+'HOUSE DATA'!F139*('HOUSE DASHBOARD'!$B$16-85.4)+'HOUSE DATA'!G139*('HOUSE DASHBOARD'!$B$17-60.7)+'HOUSE DATA'!H139*('HOUSE DASHBOARD'!$B$18-53.5))/100</f>
        <v>0</v>
      </c>
      <c r="E166" s="10">
        <f>2*('HOUSE DATA'!I139*('HOUSE DASHBOARD'!$B$21-55.6)+(100-'HOUSE DATA'!I139)*('HOUSE DASHBOARD'!$B$22-44.9))/100</f>
        <v>0</v>
      </c>
      <c r="F166" s="10">
        <f>0</f>
        <v>0</v>
      </c>
      <c r="G166" s="10">
        <f t="shared" si="19"/>
        <v>0</v>
      </c>
      <c r="H166" s="2">
        <f>'HOUSE DATA'!C139+C166+G166</f>
        <v>-36.26</v>
      </c>
      <c r="I166" s="3" t="str">
        <f t="shared" si="20"/>
        <v>R</v>
      </c>
      <c r="J166" s="1" t="str">
        <f>'HOUSE DATA'!K139</f>
        <v>R</v>
      </c>
      <c r="K166" s="1" t="str">
        <f t="shared" si="21"/>
        <v>—</v>
      </c>
      <c r="L166" t="str">
        <f t="shared" si="22"/>
        <v>R+36.26</v>
      </c>
      <c r="M166">
        <f>COUNTIF($H$31:$H$465,"&gt;"&amp;H166)+COUNTIF($H$31:H166,H166)</f>
        <v>419</v>
      </c>
      <c r="N166" s="7">
        <f t="shared" si="23"/>
        <v>36.26</v>
      </c>
      <c r="O166">
        <f>COUNTIF($N$31:$N$465,"&lt;"&amp;N166)+COUNTIF($N$31:N166,N166)</f>
        <v>318</v>
      </c>
      <c r="P166" s="10">
        <f>'HOUSE DATA'!M139</f>
        <v>-47.22</v>
      </c>
      <c r="Q166" t="str">
        <f>'HOUSE DATA'!N139</f>
        <v>2024 HOUSE / prior substitute</v>
      </c>
      <c r="R166" s="10">
        <f t="shared" si="24"/>
        <v>10.96</v>
      </c>
      <c r="S166" s="10">
        <f t="shared" si="25"/>
        <v>9.6038213442298854</v>
      </c>
      <c r="T166" s="10">
        <f t="shared" si="26"/>
        <v>1.3561786557701154</v>
      </c>
      <c r="U166" t="s">
        <v>73</v>
      </c>
      <c r="W166" t="s">
        <v>74</v>
      </c>
      <c r="X166" t="s">
        <v>75</v>
      </c>
    </row>
    <row r="167" spans="1:24" x14ac:dyDescent="0.2">
      <c r="A167" t="str">
        <f>'HOUSE DATA'!A140</f>
        <v>ID-02</v>
      </c>
      <c r="B167" s="10">
        <f>'HOUSE DATA'!B140</f>
        <v>-23.206084829041398</v>
      </c>
      <c r="C167" s="10">
        <f t="shared" si="18"/>
        <v>-0.29999999999999893</v>
      </c>
      <c r="D167" s="10">
        <f>2*('HOUSE DATA'!D140*('HOUSE DASHBOARD'!$B$14-42.4)+'HOUSE DATA'!E140*('HOUSE DASHBOARD'!$B$15-54.2)+'HOUSE DATA'!F140*('HOUSE DASHBOARD'!$B$16-85.4)+'HOUSE DATA'!G140*('HOUSE DASHBOARD'!$B$17-60.7)+'HOUSE DATA'!H140*('HOUSE DASHBOARD'!$B$18-53.5))/100</f>
        <v>0</v>
      </c>
      <c r="E167" s="10">
        <f>2*('HOUSE DATA'!I140*('HOUSE DASHBOARD'!$B$21-55.6)+(100-'HOUSE DATA'!I140)*('HOUSE DASHBOARD'!$B$22-44.9))/100</f>
        <v>0</v>
      </c>
      <c r="F167" s="10">
        <f>0</f>
        <v>0</v>
      </c>
      <c r="G167" s="10">
        <f t="shared" si="19"/>
        <v>0</v>
      </c>
      <c r="H167" s="2">
        <f>'HOUSE DATA'!C140+C167+G167</f>
        <v>-21.959999999999994</v>
      </c>
      <c r="I167" s="3" t="str">
        <f t="shared" si="20"/>
        <v>R</v>
      </c>
      <c r="J167" s="1" t="str">
        <f>'HOUSE DATA'!K140</f>
        <v>R</v>
      </c>
      <c r="K167" s="1" t="str">
        <f t="shared" si="21"/>
        <v>—</v>
      </c>
      <c r="L167" t="str">
        <f t="shared" si="22"/>
        <v>R+21.96</v>
      </c>
      <c r="M167">
        <f>COUNTIF($H$31:$H$465,"&gt;"&amp;H167)+COUNTIF($H$31:H167,H167)</f>
        <v>370</v>
      </c>
      <c r="N167" s="7">
        <f t="shared" si="23"/>
        <v>21.959999999999994</v>
      </c>
      <c r="O167">
        <f>COUNTIF($N$31:$N$465,"&lt;"&amp;N167)+COUNTIF($N$31:N167,N167)</f>
        <v>208</v>
      </c>
      <c r="P167" s="10">
        <f>'HOUSE DATA'!M140</f>
        <v>-32.919999999999995</v>
      </c>
      <c r="Q167" t="str">
        <f>'HOUSE DATA'!N140</f>
        <v>2024 HOUSE / prior substitute</v>
      </c>
      <c r="R167" s="10">
        <f t="shared" si="24"/>
        <v>10.96</v>
      </c>
      <c r="S167" s="10">
        <f t="shared" si="25"/>
        <v>9.7139151709585967</v>
      </c>
      <c r="T167" s="10">
        <f t="shared" si="26"/>
        <v>1.2460848290414042</v>
      </c>
      <c r="U167" t="s">
        <v>73</v>
      </c>
      <c r="W167" t="s">
        <v>74</v>
      </c>
      <c r="X167" t="s">
        <v>75</v>
      </c>
    </row>
    <row r="168" spans="1:24" x14ac:dyDescent="0.2">
      <c r="A168" t="str">
        <f>'HOUSE DATA'!A141</f>
        <v>IL-01</v>
      </c>
      <c r="B168" s="10">
        <f>'HOUSE DATA'!B141</f>
        <v>43.936383209825436</v>
      </c>
      <c r="C168" s="10">
        <f t="shared" si="18"/>
        <v>-0.29999999999999893</v>
      </c>
      <c r="D168" s="10">
        <f>2*('HOUSE DATA'!D141*('HOUSE DASHBOARD'!$B$14-42.4)+'HOUSE DATA'!E141*('HOUSE DASHBOARD'!$B$15-54.2)+'HOUSE DATA'!F141*('HOUSE DASHBOARD'!$B$16-85.4)+'HOUSE DATA'!G141*('HOUSE DASHBOARD'!$B$17-60.7)+'HOUSE DATA'!H141*('HOUSE DASHBOARD'!$B$18-53.5))/100</f>
        <v>0</v>
      </c>
      <c r="E168" s="10">
        <f>2*('HOUSE DATA'!I141*('HOUSE DASHBOARD'!$B$21-55.6)+(100-'HOUSE DATA'!I141)*('HOUSE DASHBOARD'!$B$22-44.9))/100</f>
        <v>0</v>
      </c>
      <c r="F168" s="10">
        <f>0</f>
        <v>0</v>
      </c>
      <c r="G168" s="10">
        <f t="shared" si="19"/>
        <v>0</v>
      </c>
      <c r="H168" s="2">
        <f>'HOUSE DATA'!C141+C168+G168</f>
        <v>42.659999999999989</v>
      </c>
      <c r="I168" s="3" t="str">
        <f t="shared" si="20"/>
        <v>D</v>
      </c>
      <c r="J168" s="1" t="str">
        <f>'HOUSE DATA'!K141</f>
        <v>D</v>
      </c>
      <c r="K168" s="1" t="str">
        <f t="shared" si="21"/>
        <v>—</v>
      </c>
      <c r="L168" t="str">
        <f t="shared" si="22"/>
        <v>D+42.66</v>
      </c>
      <c r="M168">
        <f>COUNTIF($H$31:$H$465,"&gt;"&amp;H168)+COUNTIF($H$31:H168,H168)</f>
        <v>83</v>
      </c>
      <c r="N168" s="7">
        <f t="shared" si="23"/>
        <v>42.659999999999989</v>
      </c>
      <c r="O168">
        <f>COUNTIF($N$31:$N$465,"&lt;"&amp;N168)+COUNTIF($N$31:N168,N168)</f>
        <v>341</v>
      </c>
      <c r="P168" s="10">
        <f>'HOUSE DATA'!M141</f>
        <v>31.699999999999989</v>
      </c>
      <c r="Q168" t="str">
        <f>'HOUSE DATA'!N141</f>
        <v>2024 HOUSE / prior substitute</v>
      </c>
      <c r="R168" s="10">
        <f t="shared" si="24"/>
        <v>10.96</v>
      </c>
      <c r="S168" s="10">
        <f t="shared" si="25"/>
        <v>12.236383209825448</v>
      </c>
      <c r="T168" s="10">
        <f t="shared" si="26"/>
        <v>-1.2763832098254468</v>
      </c>
      <c r="U168" t="s">
        <v>73</v>
      </c>
      <c r="W168" t="s">
        <v>74</v>
      </c>
      <c r="X168" t="s">
        <v>75</v>
      </c>
    </row>
    <row r="169" spans="1:24" x14ac:dyDescent="0.2">
      <c r="A169" t="str">
        <f>'HOUSE DATA'!A142</f>
        <v>IL-02</v>
      </c>
      <c r="B169" s="10">
        <f>'HOUSE DATA'!B142</f>
        <v>46.092978211302544</v>
      </c>
      <c r="C169" s="10">
        <f t="shared" si="18"/>
        <v>-0.29999999999999893</v>
      </c>
      <c r="D169" s="10">
        <f>2*('HOUSE DATA'!D142*('HOUSE DASHBOARD'!$B$14-42.4)+'HOUSE DATA'!E142*('HOUSE DASHBOARD'!$B$15-54.2)+'HOUSE DATA'!F142*('HOUSE DASHBOARD'!$B$16-85.4)+'HOUSE DATA'!G142*('HOUSE DASHBOARD'!$B$17-60.7)+'HOUSE DATA'!H142*('HOUSE DASHBOARD'!$B$18-53.5))/100</f>
        <v>0</v>
      </c>
      <c r="E169" s="10">
        <f>2*('HOUSE DATA'!I142*('HOUSE DASHBOARD'!$B$21-55.6)+(100-'HOUSE DATA'!I142)*('HOUSE DASHBOARD'!$B$22-44.9))/100</f>
        <v>0</v>
      </c>
      <c r="F169" s="10">
        <f>0</f>
        <v>0</v>
      </c>
      <c r="G169" s="10">
        <f t="shared" si="19"/>
        <v>0</v>
      </c>
      <c r="H169" s="2">
        <f>'HOUSE DATA'!C142+C169+G169</f>
        <v>43.67</v>
      </c>
      <c r="I169" s="3" t="str">
        <f t="shared" si="20"/>
        <v>D</v>
      </c>
      <c r="J169" s="1" t="str">
        <f>'HOUSE DATA'!K142</f>
        <v>D</v>
      </c>
      <c r="K169" s="1" t="str">
        <f t="shared" si="21"/>
        <v>—</v>
      </c>
      <c r="L169" t="str">
        <f t="shared" si="22"/>
        <v>D+43.67</v>
      </c>
      <c r="M169">
        <f>COUNTIF($H$31:$H$465,"&gt;"&amp;H169)+COUNTIF($H$31:H169,H169)</f>
        <v>81</v>
      </c>
      <c r="N169" s="7">
        <f t="shared" si="23"/>
        <v>43.67</v>
      </c>
      <c r="O169">
        <f>COUNTIF($N$31:$N$465,"&lt;"&amp;N169)+COUNTIF($N$31:N169,N169)</f>
        <v>344</v>
      </c>
      <c r="P169" s="10">
        <f>'HOUSE DATA'!M142</f>
        <v>33.119999999999997</v>
      </c>
      <c r="Q169" t="str">
        <f>'HOUSE DATA'!N142</f>
        <v>2024 PRESIDENT (open seat)</v>
      </c>
      <c r="R169" s="10">
        <f t="shared" si="24"/>
        <v>10.550000000000004</v>
      </c>
      <c r="S169" s="10">
        <f t="shared" si="25"/>
        <v>12.972978211302546</v>
      </c>
      <c r="T169" s="10">
        <f t="shared" si="26"/>
        <v>-2.4229782113025422</v>
      </c>
      <c r="U169" t="s">
        <v>73</v>
      </c>
      <c r="W169" t="s">
        <v>74</v>
      </c>
      <c r="X169" t="s">
        <v>75</v>
      </c>
    </row>
    <row r="170" spans="1:24" x14ac:dyDescent="0.2">
      <c r="A170" t="str">
        <f>'HOUSE DATA'!A143</f>
        <v>IL-03</v>
      </c>
      <c r="B170" s="10">
        <f>'HOUSE DATA'!B143</f>
        <v>46.873419430866143</v>
      </c>
      <c r="C170" s="10">
        <f t="shared" si="18"/>
        <v>-0.29999999999999893</v>
      </c>
      <c r="D170" s="10">
        <f>2*('HOUSE DATA'!D143*('HOUSE DASHBOARD'!$B$14-42.4)+'HOUSE DATA'!E143*('HOUSE DASHBOARD'!$B$15-54.2)+'HOUSE DATA'!F143*('HOUSE DASHBOARD'!$B$16-85.4)+'HOUSE DATA'!G143*('HOUSE DASHBOARD'!$B$17-60.7)+'HOUSE DATA'!H143*('HOUSE DASHBOARD'!$B$18-53.5))/100</f>
        <v>0</v>
      </c>
      <c r="E170" s="10">
        <f>2*('HOUSE DATA'!I143*('HOUSE DASHBOARD'!$B$21-55.6)+(100-'HOUSE DATA'!I143)*('HOUSE DASHBOARD'!$B$22-44.9))/100</f>
        <v>0</v>
      </c>
      <c r="F170" s="10">
        <f>0</f>
        <v>0</v>
      </c>
      <c r="G170" s="10">
        <f t="shared" si="19"/>
        <v>0</v>
      </c>
      <c r="H170" s="2">
        <f>'HOUSE DATA'!C143+C170+G170</f>
        <v>45.540000000000006</v>
      </c>
      <c r="I170" s="3" t="str">
        <f t="shared" si="20"/>
        <v>D</v>
      </c>
      <c r="J170" s="1" t="str">
        <f>'HOUSE DATA'!K143</f>
        <v>D</v>
      </c>
      <c r="K170" s="1" t="str">
        <f t="shared" si="21"/>
        <v>—</v>
      </c>
      <c r="L170" t="str">
        <f t="shared" si="22"/>
        <v>D+45.54</v>
      </c>
      <c r="M170">
        <f>COUNTIF($H$31:$H$465,"&gt;"&amp;H170)+COUNTIF($H$31:H170,H170)</f>
        <v>75</v>
      </c>
      <c r="N170" s="7">
        <f t="shared" si="23"/>
        <v>45.540000000000006</v>
      </c>
      <c r="O170">
        <f>COUNTIF($N$31:$N$465,"&lt;"&amp;N170)+COUNTIF($N$31:N170,N170)</f>
        <v>351</v>
      </c>
      <c r="P170" s="10">
        <f>'HOUSE DATA'!M143</f>
        <v>34.580000000000005</v>
      </c>
      <c r="Q170" t="str">
        <f>'HOUSE DATA'!N143</f>
        <v>2024 HOUSE / prior substitute</v>
      </c>
      <c r="R170" s="10">
        <f t="shared" si="24"/>
        <v>10.96</v>
      </c>
      <c r="S170" s="10">
        <f t="shared" si="25"/>
        <v>12.293419430866138</v>
      </c>
      <c r="T170" s="10">
        <f t="shared" si="26"/>
        <v>-1.3334194308661367</v>
      </c>
      <c r="U170" t="s">
        <v>73</v>
      </c>
      <c r="W170" t="s">
        <v>74</v>
      </c>
      <c r="X170" t="s">
        <v>75</v>
      </c>
    </row>
    <row r="171" spans="1:24" x14ac:dyDescent="0.2">
      <c r="A171" t="str">
        <f>'HOUSE DATA'!A144</f>
        <v>IL-04</v>
      </c>
      <c r="B171" s="10">
        <f>'HOUSE DATA'!B144</f>
        <v>42.858752868069558</v>
      </c>
      <c r="C171" s="10">
        <f t="shared" si="18"/>
        <v>-0.29999999999999893</v>
      </c>
      <c r="D171" s="10">
        <f>2*('HOUSE DATA'!D144*('HOUSE DASHBOARD'!$B$14-42.4)+'HOUSE DATA'!E144*('HOUSE DASHBOARD'!$B$15-54.2)+'HOUSE DATA'!F144*('HOUSE DASHBOARD'!$B$16-85.4)+'HOUSE DATA'!G144*('HOUSE DASHBOARD'!$B$17-60.7)+'HOUSE DATA'!H144*('HOUSE DASHBOARD'!$B$18-53.5))/100</f>
        <v>0</v>
      </c>
      <c r="E171" s="10">
        <f>2*('HOUSE DATA'!I144*('HOUSE DASHBOARD'!$B$21-55.6)+(100-'HOUSE DATA'!I144)*('HOUSE DASHBOARD'!$B$22-44.9))/100</f>
        <v>0</v>
      </c>
      <c r="F171" s="10">
        <f>0</f>
        <v>0</v>
      </c>
      <c r="G171" s="10">
        <f t="shared" si="19"/>
        <v>0</v>
      </c>
      <c r="H171" s="2">
        <f>'HOUSE DATA'!C144+C171+G171</f>
        <v>38.880000000000003</v>
      </c>
      <c r="I171" s="3" t="str">
        <f t="shared" si="20"/>
        <v>D</v>
      </c>
      <c r="J171" s="1" t="str">
        <f>'HOUSE DATA'!K144</f>
        <v>D</v>
      </c>
      <c r="K171" s="1" t="str">
        <f t="shared" si="21"/>
        <v>—</v>
      </c>
      <c r="L171" t="str">
        <f t="shared" si="22"/>
        <v>D+38.88</v>
      </c>
      <c r="M171">
        <f>COUNTIF($H$31:$H$465,"&gt;"&amp;H171)+COUNTIF($H$31:H171,H171)</f>
        <v>88</v>
      </c>
      <c r="N171" s="7">
        <f t="shared" si="23"/>
        <v>38.880000000000003</v>
      </c>
      <c r="O171">
        <f>COUNTIF($N$31:$N$465,"&lt;"&amp;N171)+COUNTIF($N$31:N171,N171)</f>
        <v>331</v>
      </c>
      <c r="P171" s="10">
        <f>'HOUSE DATA'!M144</f>
        <v>28.33</v>
      </c>
      <c r="Q171" t="str">
        <f>'HOUSE DATA'!N144</f>
        <v>2024 PRESIDENT (open seat)</v>
      </c>
      <c r="R171" s="10">
        <f t="shared" si="24"/>
        <v>10.550000000000004</v>
      </c>
      <c r="S171" s="10">
        <f t="shared" si="25"/>
        <v>14.52875286806956</v>
      </c>
      <c r="T171" s="10">
        <f t="shared" si="26"/>
        <v>-3.9787528680695559</v>
      </c>
      <c r="U171" t="s">
        <v>73</v>
      </c>
      <c r="W171" t="s">
        <v>74</v>
      </c>
      <c r="X171" t="s">
        <v>75</v>
      </c>
    </row>
    <row r="172" spans="1:24" x14ac:dyDescent="0.2">
      <c r="A172" t="str">
        <f>'HOUSE DATA'!A145</f>
        <v>IL-05</v>
      </c>
      <c r="B172" s="10">
        <f>'HOUSE DATA'!B145</f>
        <v>46.232595509462307</v>
      </c>
      <c r="C172" s="10">
        <f t="shared" si="18"/>
        <v>-0.29999999999999893</v>
      </c>
      <c r="D172" s="10">
        <f>2*('HOUSE DATA'!D145*('HOUSE DASHBOARD'!$B$14-42.4)+'HOUSE DATA'!E145*('HOUSE DASHBOARD'!$B$15-54.2)+'HOUSE DATA'!F145*('HOUSE DASHBOARD'!$B$16-85.4)+'HOUSE DATA'!G145*('HOUSE DASHBOARD'!$B$17-60.7)+'HOUSE DATA'!H145*('HOUSE DASHBOARD'!$B$18-53.5))/100</f>
        <v>0</v>
      </c>
      <c r="E172" s="10">
        <f>2*('HOUSE DATA'!I145*('HOUSE DASHBOARD'!$B$21-55.6)+(100-'HOUSE DATA'!I145)*('HOUSE DASHBOARD'!$B$22-44.9))/100</f>
        <v>0</v>
      </c>
      <c r="F172" s="10">
        <f>0</f>
        <v>0</v>
      </c>
      <c r="G172" s="10">
        <f t="shared" si="19"/>
        <v>0</v>
      </c>
      <c r="H172" s="2">
        <f>'HOUSE DATA'!C145+C172+G172</f>
        <v>48.9</v>
      </c>
      <c r="I172" s="3" t="str">
        <f t="shared" si="20"/>
        <v>D</v>
      </c>
      <c r="J172" s="1" t="str">
        <f>'HOUSE DATA'!K145</f>
        <v>D</v>
      </c>
      <c r="K172" s="1" t="str">
        <f t="shared" si="21"/>
        <v>—</v>
      </c>
      <c r="L172" t="str">
        <f t="shared" si="22"/>
        <v>D+48.90</v>
      </c>
      <c r="M172">
        <f>COUNTIF($H$31:$H$465,"&gt;"&amp;H172)+COUNTIF($H$31:H172,H172)</f>
        <v>62</v>
      </c>
      <c r="N172" s="7">
        <f t="shared" si="23"/>
        <v>48.9</v>
      </c>
      <c r="O172">
        <f>COUNTIF($N$31:$N$465,"&lt;"&amp;N172)+COUNTIF($N$31:N172,N172)</f>
        <v>363</v>
      </c>
      <c r="P172" s="10">
        <f>'HOUSE DATA'!M145</f>
        <v>37.94</v>
      </c>
      <c r="Q172" t="str">
        <f>'HOUSE DATA'!N145</f>
        <v>2024 HOUSE / prior substitute</v>
      </c>
      <c r="R172" s="10">
        <f t="shared" si="24"/>
        <v>10.96</v>
      </c>
      <c r="S172" s="10">
        <f t="shared" si="25"/>
        <v>8.2925955094623092</v>
      </c>
      <c r="T172" s="10">
        <f t="shared" si="26"/>
        <v>2.6674044905376917</v>
      </c>
      <c r="U172" t="s">
        <v>73</v>
      </c>
      <c r="W172" t="s">
        <v>74</v>
      </c>
      <c r="X172" t="s">
        <v>75</v>
      </c>
    </row>
    <row r="173" spans="1:24" x14ac:dyDescent="0.2">
      <c r="A173" t="str">
        <f>'HOUSE DATA'!A146</f>
        <v>IL-06</v>
      </c>
      <c r="B173" s="10">
        <f>'HOUSE DATA'!B146</f>
        <v>16.92534970483938</v>
      </c>
      <c r="C173" s="10">
        <f t="shared" si="18"/>
        <v>-0.29999999999999893</v>
      </c>
      <c r="D173" s="10">
        <f>2*('HOUSE DATA'!D146*('HOUSE DASHBOARD'!$B$14-42.4)+'HOUSE DATA'!E146*('HOUSE DASHBOARD'!$B$15-54.2)+'HOUSE DATA'!F146*('HOUSE DASHBOARD'!$B$16-85.4)+'HOUSE DATA'!G146*('HOUSE DASHBOARD'!$B$17-60.7)+'HOUSE DATA'!H146*('HOUSE DASHBOARD'!$B$18-53.5))/100</f>
        <v>0</v>
      </c>
      <c r="E173" s="10">
        <f>2*('HOUSE DATA'!I146*('HOUSE DASHBOARD'!$B$21-55.6)+(100-'HOUSE DATA'!I146)*('HOUSE DASHBOARD'!$B$22-44.9))/100</f>
        <v>0</v>
      </c>
      <c r="F173" s="10">
        <f>0</f>
        <v>0</v>
      </c>
      <c r="G173" s="10">
        <f t="shared" si="19"/>
        <v>0</v>
      </c>
      <c r="H173" s="2">
        <f>'HOUSE DATA'!C146+C173+G173</f>
        <v>19.380000000000003</v>
      </c>
      <c r="I173" s="3" t="str">
        <f t="shared" si="20"/>
        <v>D</v>
      </c>
      <c r="J173" s="1" t="str">
        <f>'HOUSE DATA'!K146</f>
        <v>D</v>
      </c>
      <c r="K173" s="1" t="str">
        <f t="shared" si="21"/>
        <v>—</v>
      </c>
      <c r="L173" t="str">
        <f t="shared" si="22"/>
        <v>D+19.38</v>
      </c>
      <c r="M173">
        <f>COUNTIF($H$31:$H$465,"&gt;"&amp;H173)+COUNTIF($H$31:H173,H173)</f>
        <v>174</v>
      </c>
      <c r="N173" s="7">
        <f t="shared" si="23"/>
        <v>19.380000000000003</v>
      </c>
      <c r="O173">
        <f>COUNTIF($N$31:$N$465,"&lt;"&amp;N173)+COUNTIF($N$31:N173,N173)</f>
        <v>180</v>
      </c>
      <c r="P173" s="10">
        <f>'HOUSE DATA'!M146</f>
        <v>8.4200000000000017</v>
      </c>
      <c r="Q173" t="str">
        <f>'HOUSE DATA'!N146</f>
        <v>2024 HOUSE / prior substitute</v>
      </c>
      <c r="R173" s="10">
        <f t="shared" si="24"/>
        <v>10.96</v>
      </c>
      <c r="S173" s="10">
        <f t="shared" si="25"/>
        <v>8.5053497048393787</v>
      </c>
      <c r="T173" s="10">
        <f t="shared" si="26"/>
        <v>2.4546502951606222</v>
      </c>
      <c r="U173" t="s">
        <v>73</v>
      </c>
      <c r="W173" t="s">
        <v>74</v>
      </c>
      <c r="X173" t="s">
        <v>75</v>
      </c>
    </row>
    <row r="174" spans="1:24" x14ac:dyDescent="0.2">
      <c r="A174" t="str">
        <f>'HOUSE DATA'!A147</f>
        <v>IL-07</v>
      </c>
      <c r="B174" s="10">
        <f>'HOUSE DATA'!B147</f>
        <v>77.18151751823757</v>
      </c>
      <c r="C174" s="10">
        <f t="shared" si="18"/>
        <v>-0.29999999999999893</v>
      </c>
      <c r="D174" s="10">
        <f>2*('HOUSE DATA'!D147*('HOUSE DASHBOARD'!$B$14-42.4)+'HOUSE DATA'!E147*('HOUSE DASHBOARD'!$B$15-54.2)+'HOUSE DATA'!F147*('HOUSE DASHBOARD'!$B$16-85.4)+'HOUSE DATA'!G147*('HOUSE DASHBOARD'!$B$17-60.7)+'HOUSE DATA'!H147*('HOUSE DASHBOARD'!$B$18-53.5))/100</f>
        <v>0</v>
      </c>
      <c r="E174" s="10">
        <f>2*('HOUSE DATA'!I147*('HOUSE DASHBOARD'!$B$21-55.6)+(100-'HOUSE DATA'!I147)*('HOUSE DASHBOARD'!$B$22-44.9))/100</f>
        <v>0</v>
      </c>
      <c r="F174" s="10">
        <f>0</f>
        <v>0</v>
      </c>
      <c r="G174" s="10">
        <f t="shared" si="19"/>
        <v>0</v>
      </c>
      <c r="H174" s="2">
        <f>'HOUSE DATA'!C147+C174+G174</f>
        <v>75.94</v>
      </c>
      <c r="I174" s="3" t="str">
        <f t="shared" si="20"/>
        <v>D</v>
      </c>
      <c r="J174" s="1" t="str">
        <f>'HOUSE DATA'!K147</f>
        <v>D</v>
      </c>
      <c r="K174" s="1" t="str">
        <f t="shared" si="21"/>
        <v>—</v>
      </c>
      <c r="L174" t="str">
        <f t="shared" si="22"/>
        <v>D+75.94</v>
      </c>
      <c r="M174">
        <f>COUNTIF($H$31:$H$465,"&gt;"&amp;H174)+COUNTIF($H$31:H174,H174)</f>
        <v>7</v>
      </c>
      <c r="N174" s="7">
        <f t="shared" si="23"/>
        <v>75.94</v>
      </c>
      <c r="O174">
        <f>COUNTIF($N$31:$N$465,"&lt;"&amp;N174)+COUNTIF($N$31:N174,N174)</f>
        <v>417</v>
      </c>
      <c r="P174" s="10">
        <f>'HOUSE DATA'!M147</f>
        <v>65.39</v>
      </c>
      <c r="Q174" t="str">
        <f>'HOUSE DATA'!N147</f>
        <v>2024 PRESIDENT (open seat)</v>
      </c>
      <c r="R174" s="10">
        <f t="shared" si="24"/>
        <v>10.549999999999997</v>
      </c>
      <c r="S174" s="10">
        <f t="shared" si="25"/>
        <v>11.791517518237569</v>
      </c>
      <c r="T174" s="10">
        <f t="shared" si="26"/>
        <v>-1.2415175182375719</v>
      </c>
      <c r="U174" t="s">
        <v>73</v>
      </c>
      <c r="W174" t="s">
        <v>74</v>
      </c>
      <c r="X174" t="s">
        <v>75</v>
      </c>
    </row>
    <row r="175" spans="1:24" x14ac:dyDescent="0.2">
      <c r="A175" t="str">
        <f>'HOUSE DATA'!A148</f>
        <v>IL-08</v>
      </c>
      <c r="B175" s="10">
        <f>'HOUSE DATA'!B148</f>
        <v>17.128344841299356</v>
      </c>
      <c r="C175" s="10">
        <f t="shared" si="18"/>
        <v>-0.29999999999999893</v>
      </c>
      <c r="D175" s="10">
        <f>2*('HOUSE DATA'!D148*('HOUSE DASHBOARD'!$B$14-42.4)+'HOUSE DATA'!E148*('HOUSE DASHBOARD'!$B$15-54.2)+'HOUSE DATA'!F148*('HOUSE DASHBOARD'!$B$16-85.4)+'HOUSE DATA'!G148*('HOUSE DASHBOARD'!$B$17-60.7)+'HOUSE DATA'!H148*('HOUSE DASHBOARD'!$B$18-53.5))/100</f>
        <v>0</v>
      </c>
      <c r="E175" s="10">
        <f>2*('HOUSE DATA'!I148*('HOUSE DASHBOARD'!$B$21-55.6)+(100-'HOUSE DATA'!I148)*('HOUSE DASHBOARD'!$B$22-44.9))/100</f>
        <v>0</v>
      </c>
      <c r="F175" s="10">
        <f>0</f>
        <v>0</v>
      </c>
      <c r="G175" s="10">
        <f t="shared" si="19"/>
        <v>0</v>
      </c>
      <c r="H175" s="2">
        <f>'HOUSE DATA'!C148+C175+G175</f>
        <v>17.46</v>
      </c>
      <c r="I175" s="3" t="str">
        <f t="shared" si="20"/>
        <v>D</v>
      </c>
      <c r="J175" s="1" t="str">
        <f>'HOUSE DATA'!K148</f>
        <v>D</v>
      </c>
      <c r="K175" s="1" t="str">
        <f t="shared" si="21"/>
        <v>—</v>
      </c>
      <c r="L175" t="str">
        <f t="shared" si="22"/>
        <v>D+17.46</v>
      </c>
      <c r="M175">
        <f>COUNTIF($H$31:$H$465,"&gt;"&amp;H175)+COUNTIF($H$31:H175,H175)</f>
        <v>186</v>
      </c>
      <c r="N175" s="7">
        <f t="shared" si="23"/>
        <v>17.46</v>
      </c>
      <c r="O175">
        <f>COUNTIF($N$31:$N$465,"&lt;"&amp;N175)+COUNTIF($N$31:N175,N175)</f>
        <v>156</v>
      </c>
      <c r="P175" s="10">
        <f>'HOUSE DATA'!M148</f>
        <v>6.91</v>
      </c>
      <c r="Q175" t="str">
        <f>'HOUSE DATA'!N148</f>
        <v>2024 PRESIDENT (open seat)</v>
      </c>
      <c r="R175" s="10">
        <f t="shared" si="24"/>
        <v>10.55</v>
      </c>
      <c r="S175" s="10">
        <f t="shared" si="25"/>
        <v>10.218344841299356</v>
      </c>
      <c r="T175" s="10">
        <f t="shared" si="26"/>
        <v>0.3316551587006451</v>
      </c>
      <c r="U175" t="s">
        <v>73</v>
      </c>
      <c r="W175" t="s">
        <v>74</v>
      </c>
      <c r="X175" t="s">
        <v>75</v>
      </c>
    </row>
    <row r="176" spans="1:24" x14ac:dyDescent="0.2">
      <c r="A176" t="str">
        <f>'HOUSE DATA'!A149</f>
        <v>IL-09</v>
      </c>
      <c r="B176" s="10">
        <f>'HOUSE DATA'!B149</f>
        <v>46.467960878770036</v>
      </c>
      <c r="C176" s="10">
        <f t="shared" si="18"/>
        <v>-0.29999999999999893</v>
      </c>
      <c r="D176" s="10">
        <f>2*('HOUSE DATA'!D149*('HOUSE DASHBOARD'!$B$14-42.4)+'HOUSE DATA'!E149*('HOUSE DASHBOARD'!$B$15-54.2)+'HOUSE DATA'!F149*('HOUSE DASHBOARD'!$B$16-85.4)+'HOUSE DATA'!G149*('HOUSE DASHBOARD'!$B$17-60.7)+'HOUSE DATA'!H149*('HOUSE DASHBOARD'!$B$18-53.5))/100</f>
        <v>0</v>
      </c>
      <c r="E176" s="10">
        <f>2*('HOUSE DATA'!I149*('HOUSE DASHBOARD'!$B$21-55.6)+(100-'HOUSE DATA'!I149)*('HOUSE DASHBOARD'!$B$22-44.9))/100</f>
        <v>0</v>
      </c>
      <c r="F176" s="10">
        <f>0</f>
        <v>0</v>
      </c>
      <c r="G176" s="10">
        <f t="shared" si="19"/>
        <v>0</v>
      </c>
      <c r="H176" s="2">
        <f>'HOUSE DATA'!C149+C176+G176</f>
        <v>47.120000000000005</v>
      </c>
      <c r="I176" s="3" t="str">
        <f t="shared" si="20"/>
        <v>D</v>
      </c>
      <c r="J176" s="1" t="str">
        <f>'HOUSE DATA'!K149</f>
        <v>D</v>
      </c>
      <c r="K176" s="1" t="str">
        <f t="shared" si="21"/>
        <v>—</v>
      </c>
      <c r="L176" t="str">
        <f t="shared" si="22"/>
        <v>D+47.12</v>
      </c>
      <c r="M176">
        <f>COUNTIF($H$31:$H$465,"&gt;"&amp;H176)+COUNTIF($H$31:H176,H176)</f>
        <v>66</v>
      </c>
      <c r="N176" s="7">
        <f t="shared" si="23"/>
        <v>47.120000000000005</v>
      </c>
      <c r="O176">
        <f>COUNTIF($N$31:$N$465,"&lt;"&amp;N176)+COUNTIF($N$31:N176,N176)</f>
        <v>359</v>
      </c>
      <c r="P176" s="10">
        <f>'HOUSE DATA'!M149</f>
        <v>36.57</v>
      </c>
      <c r="Q176" t="str">
        <f>'HOUSE DATA'!N149</f>
        <v>2024 PRESIDENT (open seat)</v>
      </c>
      <c r="R176" s="10">
        <f t="shared" si="24"/>
        <v>10.550000000000004</v>
      </c>
      <c r="S176" s="10">
        <f t="shared" si="25"/>
        <v>9.8979608787700357</v>
      </c>
      <c r="T176" s="10">
        <f t="shared" si="26"/>
        <v>0.65203912122996854</v>
      </c>
      <c r="U176" t="s">
        <v>73</v>
      </c>
      <c r="W176" t="s">
        <v>74</v>
      </c>
      <c r="X176" t="s">
        <v>75</v>
      </c>
    </row>
    <row r="177" spans="1:24" x14ac:dyDescent="0.2">
      <c r="A177" t="str">
        <f>'HOUSE DATA'!A150</f>
        <v>IL-10</v>
      </c>
      <c r="B177" s="10">
        <f>'HOUSE DATA'!B150</f>
        <v>29.012128867150274</v>
      </c>
      <c r="C177" s="10">
        <f t="shared" si="18"/>
        <v>-0.29999999999999893</v>
      </c>
      <c r="D177" s="10">
        <f>2*('HOUSE DATA'!D150*('HOUSE DASHBOARD'!$B$14-42.4)+'HOUSE DATA'!E150*('HOUSE DASHBOARD'!$B$15-54.2)+'HOUSE DATA'!F150*('HOUSE DASHBOARD'!$B$16-85.4)+'HOUSE DATA'!G150*('HOUSE DASHBOARD'!$B$17-60.7)+'HOUSE DATA'!H150*('HOUSE DASHBOARD'!$B$18-53.5))/100</f>
        <v>0</v>
      </c>
      <c r="E177" s="10">
        <f>2*('HOUSE DATA'!I150*('HOUSE DASHBOARD'!$B$21-55.6)+(100-'HOUSE DATA'!I150)*('HOUSE DASHBOARD'!$B$22-44.9))/100</f>
        <v>0</v>
      </c>
      <c r="F177" s="10">
        <f>0</f>
        <v>0</v>
      </c>
      <c r="G177" s="10">
        <f t="shared" si="19"/>
        <v>0</v>
      </c>
      <c r="H177" s="2">
        <f>'HOUSE DATA'!C150+C177+G177</f>
        <v>30.919999999999995</v>
      </c>
      <c r="I177" s="3" t="str">
        <f t="shared" si="20"/>
        <v>D</v>
      </c>
      <c r="J177" s="1" t="str">
        <f>'HOUSE DATA'!K150</f>
        <v>D</v>
      </c>
      <c r="K177" s="1" t="str">
        <f t="shared" si="21"/>
        <v>—</v>
      </c>
      <c r="L177" t="str">
        <f t="shared" si="22"/>
        <v>D+30.92</v>
      </c>
      <c r="M177">
        <f>COUNTIF($H$31:$H$465,"&gt;"&amp;H177)+COUNTIF($H$31:H177,H177)</f>
        <v>115</v>
      </c>
      <c r="N177" s="7">
        <f t="shared" si="23"/>
        <v>30.919999999999995</v>
      </c>
      <c r="O177">
        <f>COUNTIF($N$31:$N$465,"&lt;"&amp;N177)+COUNTIF($N$31:N177,N177)</f>
        <v>287</v>
      </c>
      <c r="P177" s="10">
        <f>'HOUSE DATA'!M150</f>
        <v>19.959999999999994</v>
      </c>
      <c r="Q177" t="str">
        <f>'HOUSE DATA'!N150</f>
        <v>2024 HOUSE / prior substitute</v>
      </c>
      <c r="R177" s="10">
        <f t="shared" si="24"/>
        <v>10.96</v>
      </c>
      <c r="S177" s="10">
        <f t="shared" si="25"/>
        <v>9.0521288671502802</v>
      </c>
      <c r="T177" s="10">
        <f t="shared" si="26"/>
        <v>1.9078711328497207</v>
      </c>
      <c r="U177" t="s">
        <v>73</v>
      </c>
      <c r="W177" t="s">
        <v>74</v>
      </c>
      <c r="X177" t="s">
        <v>75</v>
      </c>
    </row>
    <row r="178" spans="1:24" x14ac:dyDescent="0.2">
      <c r="A178" t="str">
        <f>'HOUSE DATA'!A151</f>
        <v>IL-11</v>
      </c>
      <c r="B178" s="10">
        <f>'HOUSE DATA'!B151</f>
        <v>19.976092189244909</v>
      </c>
      <c r="C178" s="10">
        <f t="shared" si="18"/>
        <v>-0.29999999999999893</v>
      </c>
      <c r="D178" s="10">
        <f>2*('HOUSE DATA'!D151*('HOUSE DASHBOARD'!$B$14-42.4)+'HOUSE DATA'!E151*('HOUSE DASHBOARD'!$B$15-54.2)+'HOUSE DATA'!F151*('HOUSE DASHBOARD'!$B$16-85.4)+'HOUSE DATA'!G151*('HOUSE DASHBOARD'!$B$17-60.7)+'HOUSE DATA'!H151*('HOUSE DASHBOARD'!$B$18-53.5))/100</f>
        <v>0</v>
      </c>
      <c r="E178" s="10">
        <f>2*('HOUSE DATA'!I151*('HOUSE DASHBOARD'!$B$21-55.6)+(100-'HOUSE DATA'!I151)*('HOUSE DASHBOARD'!$B$22-44.9))/100</f>
        <v>0</v>
      </c>
      <c r="F178" s="10">
        <f>0</f>
        <v>0</v>
      </c>
      <c r="G178" s="10">
        <f t="shared" si="19"/>
        <v>0</v>
      </c>
      <c r="H178" s="2">
        <f>'HOUSE DATA'!C151+C178+G178</f>
        <v>22.14</v>
      </c>
      <c r="I178" s="3" t="str">
        <f t="shared" si="20"/>
        <v>D</v>
      </c>
      <c r="J178" s="1" t="str">
        <f>'HOUSE DATA'!K151</f>
        <v>D</v>
      </c>
      <c r="K178" s="1" t="str">
        <f t="shared" si="21"/>
        <v>—</v>
      </c>
      <c r="L178" t="str">
        <f t="shared" si="22"/>
        <v>D+22.14</v>
      </c>
      <c r="M178">
        <f>COUNTIF($H$31:$H$465,"&gt;"&amp;H178)+COUNTIF($H$31:H178,H178)</f>
        <v>161</v>
      </c>
      <c r="N178" s="7">
        <f t="shared" si="23"/>
        <v>22.14</v>
      </c>
      <c r="O178">
        <f>COUNTIF($N$31:$N$465,"&lt;"&amp;N178)+COUNTIF($N$31:N178,N178)</f>
        <v>209</v>
      </c>
      <c r="P178" s="10">
        <f>'HOUSE DATA'!M151</f>
        <v>11.18</v>
      </c>
      <c r="Q178" t="str">
        <f>'HOUSE DATA'!N151</f>
        <v>2024 HOUSE / prior substitute</v>
      </c>
      <c r="R178" s="10">
        <f t="shared" si="24"/>
        <v>10.96</v>
      </c>
      <c r="S178" s="10">
        <f t="shared" si="25"/>
        <v>8.7960921892449093</v>
      </c>
      <c r="T178" s="10">
        <f t="shared" si="26"/>
        <v>2.1639078107550915</v>
      </c>
      <c r="U178" t="s">
        <v>73</v>
      </c>
      <c r="W178" t="s">
        <v>74</v>
      </c>
      <c r="X178" t="s">
        <v>75</v>
      </c>
    </row>
    <row r="179" spans="1:24" x14ac:dyDescent="0.2">
      <c r="A179" t="str">
        <f>'HOUSE DATA'!A152</f>
        <v>IL-12</v>
      </c>
      <c r="B179" s="10">
        <f>'HOUSE DATA'!B152</f>
        <v>-38.295665713320851</v>
      </c>
      <c r="C179" s="10">
        <f t="shared" si="18"/>
        <v>-0.29999999999999893</v>
      </c>
      <c r="D179" s="10">
        <f>2*('HOUSE DATA'!D152*('HOUSE DASHBOARD'!$B$14-42.4)+'HOUSE DATA'!E152*('HOUSE DASHBOARD'!$B$15-54.2)+'HOUSE DATA'!F152*('HOUSE DASHBOARD'!$B$16-85.4)+'HOUSE DATA'!G152*('HOUSE DASHBOARD'!$B$17-60.7)+'HOUSE DATA'!H152*('HOUSE DASHBOARD'!$B$18-53.5))/100</f>
        <v>0</v>
      </c>
      <c r="E179" s="10">
        <f>2*('HOUSE DATA'!I152*('HOUSE DASHBOARD'!$B$21-55.6)+(100-'HOUSE DATA'!I152)*('HOUSE DASHBOARD'!$B$22-44.9))/100</f>
        <v>0</v>
      </c>
      <c r="F179" s="10">
        <f>0</f>
        <v>0</v>
      </c>
      <c r="G179" s="10">
        <f t="shared" si="19"/>
        <v>0</v>
      </c>
      <c r="H179" s="2">
        <f>'HOUSE DATA'!C152+C179+G179</f>
        <v>-37.419999999999995</v>
      </c>
      <c r="I179" s="3" t="str">
        <f t="shared" si="20"/>
        <v>R</v>
      </c>
      <c r="J179" s="1" t="str">
        <f>'HOUSE DATA'!K152</f>
        <v>R</v>
      </c>
      <c r="K179" s="1" t="str">
        <f t="shared" si="21"/>
        <v>—</v>
      </c>
      <c r="L179" t="str">
        <f t="shared" si="22"/>
        <v>R+37.42</v>
      </c>
      <c r="M179">
        <f>COUNTIF($H$31:$H$465,"&gt;"&amp;H179)+COUNTIF($H$31:H179,H179)</f>
        <v>421</v>
      </c>
      <c r="N179" s="7">
        <f t="shared" si="23"/>
        <v>37.419999999999995</v>
      </c>
      <c r="O179">
        <f>COUNTIF($N$31:$N$465,"&lt;"&amp;N179)+COUNTIF($N$31:N179,N179)</f>
        <v>326</v>
      </c>
      <c r="P179" s="10">
        <f>'HOUSE DATA'!M152</f>
        <v>-48.379999999999995</v>
      </c>
      <c r="Q179" t="str">
        <f>'HOUSE DATA'!N152</f>
        <v>2024 HOUSE / prior substitute</v>
      </c>
      <c r="R179" s="10">
        <f t="shared" si="24"/>
        <v>10.96</v>
      </c>
      <c r="S179" s="10">
        <f t="shared" si="25"/>
        <v>10.084334286679145</v>
      </c>
      <c r="T179" s="10">
        <f t="shared" si="26"/>
        <v>0.8756657133208563</v>
      </c>
      <c r="U179" t="s">
        <v>73</v>
      </c>
      <c r="W179" t="s">
        <v>74</v>
      </c>
      <c r="X179" t="s">
        <v>75</v>
      </c>
    </row>
    <row r="180" spans="1:24" x14ac:dyDescent="0.2">
      <c r="A180" t="str">
        <f>'HOUSE DATA'!A153</f>
        <v>IL-13</v>
      </c>
      <c r="B180" s="10">
        <f>'HOUSE DATA'!B153</f>
        <v>27.325713502475224</v>
      </c>
      <c r="C180" s="10">
        <f t="shared" si="18"/>
        <v>-0.29999999999999893</v>
      </c>
      <c r="D180" s="10">
        <f>2*('HOUSE DATA'!D153*('HOUSE DASHBOARD'!$B$14-42.4)+'HOUSE DATA'!E153*('HOUSE DASHBOARD'!$B$15-54.2)+'HOUSE DATA'!F153*('HOUSE DASHBOARD'!$B$16-85.4)+'HOUSE DATA'!G153*('HOUSE DASHBOARD'!$B$17-60.7)+'HOUSE DATA'!H153*('HOUSE DASHBOARD'!$B$18-53.5))/100</f>
        <v>0</v>
      </c>
      <c r="E180" s="10">
        <f>2*('HOUSE DATA'!I153*('HOUSE DASHBOARD'!$B$21-55.6)+(100-'HOUSE DATA'!I153)*('HOUSE DASHBOARD'!$B$22-44.9))/100</f>
        <v>0</v>
      </c>
      <c r="F180" s="10">
        <f>0</f>
        <v>0</v>
      </c>
      <c r="G180" s="10">
        <f t="shared" si="19"/>
        <v>0</v>
      </c>
      <c r="H180" s="2">
        <f>'HOUSE DATA'!C153+C180+G180</f>
        <v>27.179999999999993</v>
      </c>
      <c r="I180" s="3" t="str">
        <f t="shared" si="20"/>
        <v>D</v>
      </c>
      <c r="J180" s="1" t="str">
        <f>'HOUSE DATA'!K153</f>
        <v>D</v>
      </c>
      <c r="K180" s="1" t="str">
        <f t="shared" si="21"/>
        <v>—</v>
      </c>
      <c r="L180" t="str">
        <f t="shared" si="22"/>
        <v>D+27.18</v>
      </c>
      <c r="M180">
        <f>COUNTIF($H$31:$H$465,"&gt;"&amp;H180)+COUNTIF($H$31:H180,H180)</f>
        <v>133</v>
      </c>
      <c r="N180" s="7">
        <f t="shared" si="23"/>
        <v>27.179999999999993</v>
      </c>
      <c r="O180">
        <f>COUNTIF($N$31:$N$465,"&lt;"&amp;N180)+COUNTIF($N$31:N180,N180)</f>
        <v>253</v>
      </c>
      <c r="P180" s="10">
        <f>'HOUSE DATA'!M153</f>
        <v>16.219999999999992</v>
      </c>
      <c r="Q180" t="str">
        <f>'HOUSE DATA'!N153</f>
        <v>2024 HOUSE / prior substitute</v>
      </c>
      <c r="R180" s="10">
        <f t="shared" si="24"/>
        <v>10.96</v>
      </c>
      <c r="S180" s="10">
        <f t="shared" si="25"/>
        <v>11.105713502475233</v>
      </c>
      <c r="T180" s="10">
        <f t="shared" si="26"/>
        <v>-0.14571350247523185</v>
      </c>
      <c r="U180" t="s">
        <v>73</v>
      </c>
      <c r="W180" t="s">
        <v>74</v>
      </c>
      <c r="X180" t="s">
        <v>75</v>
      </c>
    </row>
    <row r="181" spans="1:24" x14ac:dyDescent="0.2">
      <c r="A181" t="str">
        <f>'HOUSE DATA'!A154</f>
        <v>IL-14</v>
      </c>
      <c r="B181" s="10">
        <f>'HOUSE DATA'!B154</f>
        <v>20.174284204077246</v>
      </c>
      <c r="C181" s="10">
        <f t="shared" si="18"/>
        <v>-0.29999999999999893</v>
      </c>
      <c r="D181" s="10">
        <f>2*('HOUSE DATA'!D154*('HOUSE DASHBOARD'!$B$14-42.4)+'HOUSE DATA'!E154*('HOUSE DASHBOARD'!$B$15-54.2)+'HOUSE DATA'!F154*('HOUSE DASHBOARD'!$B$16-85.4)+'HOUSE DATA'!G154*('HOUSE DASHBOARD'!$B$17-60.7)+'HOUSE DATA'!H154*('HOUSE DASHBOARD'!$B$18-53.5))/100</f>
        <v>0</v>
      </c>
      <c r="E181" s="10">
        <f>2*('HOUSE DATA'!I154*('HOUSE DASHBOARD'!$B$21-55.6)+(100-'HOUSE DATA'!I154)*('HOUSE DASHBOARD'!$B$22-44.9))/100</f>
        <v>0</v>
      </c>
      <c r="F181" s="10">
        <f>0</f>
        <v>0</v>
      </c>
      <c r="G181" s="10">
        <f t="shared" si="19"/>
        <v>0</v>
      </c>
      <c r="H181" s="2">
        <f>'HOUSE DATA'!C154+C181+G181</f>
        <v>21.160000000000004</v>
      </c>
      <c r="I181" s="3" t="str">
        <f t="shared" si="20"/>
        <v>D</v>
      </c>
      <c r="J181" s="1" t="str">
        <f>'HOUSE DATA'!K154</f>
        <v>D</v>
      </c>
      <c r="K181" s="1" t="str">
        <f t="shared" si="21"/>
        <v>—</v>
      </c>
      <c r="L181" t="str">
        <f t="shared" si="22"/>
        <v>D+21.16</v>
      </c>
      <c r="M181">
        <f>COUNTIF($H$31:$H$465,"&gt;"&amp;H181)+COUNTIF($H$31:H181,H181)</f>
        <v>164</v>
      </c>
      <c r="N181" s="7">
        <f t="shared" si="23"/>
        <v>21.160000000000004</v>
      </c>
      <c r="O181">
        <f>COUNTIF($N$31:$N$465,"&lt;"&amp;N181)+COUNTIF($N$31:N181,N181)</f>
        <v>200</v>
      </c>
      <c r="P181" s="10">
        <f>'HOUSE DATA'!M154</f>
        <v>10.200000000000003</v>
      </c>
      <c r="Q181" t="str">
        <f>'HOUSE DATA'!N154</f>
        <v>2024 HOUSE / prior substitute</v>
      </c>
      <c r="R181" s="10">
        <f t="shared" si="24"/>
        <v>10.96</v>
      </c>
      <c r="S181" s="10">
        <f t="shared" si="25"/>
        <v>9.974284204077243</v>
      </c>
      <c r="T181" s="10">
        <f t="shared" si="26"/>
        <v>0.98571579592275782</v>
      </c>
      <c r="U181" t="s">
        <v>73</v>
      </c>
      <c r="W181" t="s">
        <v>74</v>
      </c>
      <c r="X181" t="s">
        <v>75</v>
      </c>
    </row>
    <row r="182" spans="1:24" x14ac:dyDescent="0.2">
      <c r="A182" t="str">
        <f>'HOUSE DATA'!A155</f>
        <v>IL-15</v>
      </c>
      <c r="B182" s="10">
        <f>'HOUSE DATA'!B155</f>
        <v>-31.19364443538705</v>
      </c>
      <c r="C182" s="10">
        <f t="shared" si="18"/>
        <v>-0.29999999999999893</v>
      </c>
      <c r="D182" s="10">
        <f>2*('HOUSE DATA'!D155*('HOUSE DASHBOARD'!$B$14-42.4)+'HOUSE DATA'!E155*('HOUSE DASHBOARD'!$B$15-54.2)+'HOUSE DATA'!F155*('HOUSE DASHBOARD'!$B$16-85.4)+'HOUSE DATA'!G155*('HOUSE DASHBOARD'!$B$17-60.7)+'HOUSE DATA'!H155*('HOUSE DASHBOARD'!$B$18-53.5))/100</f>
        <v>0</v>
      </c>
      <c r="E182" s="10">
        <f>2*('HOUSE DATA'!I155*('HOUSE DASHBOARD'!$B$21-55.6)+(100-'HOUSE DATA'!I155)*('HOUSE DASHBOARD'!$B$22-44.9))/100</f>
        <v>0</v>
      </c>
      <c r="F182" s="10">
        <f>0</f>
        <v>0</v>
      </c>
      <c r="G182" s="10">
        <f t="shared" si="19"/>
        <v>0</v>
      </c>
      <c r="H182" s="2">
        <f>'HOUSE DATA'!C155+C182+G182</f>
        <v>-29.859999999999992</v>
      </c>
      <c r="I182" s="3" t="str">
        <f t="shared" si="20"/>
        <v>R</v>
      </c>
      <c r="J182" s="1" t="str">
        <f>'HOUSE DATA'!K155</f>
        <v>R</v>
      </c>
      <c r="K182" s="1" t="str">
        <f t="shared" si="21"/>
        <v>—</v>
      </c>
      <c r="L182" t="str">
        <f t="shared" si="22"/>
        <v>R+29.86</v>
      </c>
      <c r="M182">
        <f>COUNTIF($H$31:$H$465,"&gt;"&amp;H182)+COUNTIF($H$31:H182,H182)</f>
        <v>400</v>
      </c>
      <c r="N182" s="7">
        <f t="shared" si="23"/>
        <v>29.859999999999992</v>
      </c>
      <c r="O182">
        <f>COUNTIF($N$31:$N$465,"&lt;"&amp;N182)+COUNTIF($N$31:N182,N182)</f>
        <v>276</v>
      </c>
      <c r="P182" s="10">
        <f>'HOUSE DATA'!M155</f>
        <v>-40.819999999999993</v>
      </c>
      <c r="Q182" t="str">
        <f>'HOUSE DATA'!N155</f>
        <v>2024 HOUSE / prior substitute</v>
      </c>
      <c r="R182" s="10">
        <f t="shared" si="24"/>
        <v>10.96</v>
      </c>
      <c r="S182" s="10">
        <f t="shared" si="25"/>
        <v>9.6263555646129433</v>
      </c>
      <c r="T182" s="10">
        <f t="shared" si="26"/>
        <v>1.3336444353870576</v>
      </c>
      <c r="U182" t="s">
        <v>73</v>
      </c>
      <c r="W182" t="s">
        <v>74</v>
      </c>
      <c r="X182" t="s">
        <v>75</v>
      </c>
    </row>
    <row r="183" spans="1:24" x14ac:dyDescent="0.2">
      <c r="A183" t="str">
        <f>'HOUSE DATA'!A156</f>
        <v>IL-16</v>
      </c>
      <c r="B183" s="10">
        <f>'HOUSE DATA'!B156</f>
        <v>-14.348936508617593</v>
      </c>
      <c r="C183" s="10">
        <f t="shared" si="18"/>
        <v>-0.29999999999999893</v>
      </c>
      <c r="D183" s="10">
        <f>2*('HOUSE DATA'!D156*('HOUSE DASHBOARD'!$B$14-42.4)+'HOUSE DATA'!E156*('HOUSE DASHBOARD'!$B$15-54.2)+'HOUSE DATA'!F156*('HOUSE DASHBOARD'!$B$16-85.4)+'HOUSE DATA'!G156*('HOUSE DASHBOARD'!$B$17-60.7)+'HOUSE DATA'!H156*('HOUSE DASHBOARD'!$B$18-53.5))/100</f>
        <v>0</v>
      </c>
      <c r="E183" s="10">
        <f>2*('HOUSE DATA'!I156*('HOUSE DASHBOARD'!$B$21-55.6)+(100-'HOUSE DATA'!I156)*('HOUSE DASHBOARD'!$B$22-44.9))/100</f>
        <v>0</v>
      </c>
      <c r="F183" s="10">
        <f>0</f>
        <v>0</v>
      </c>
      <c r="G183" s="10">
        <f t="shared" si="19"/>
        <v>0</v>
      </c>
      <c r="H183" s="2">
        <f>'HOUSE DATA'!C156+C183+G183</f>
        <v>-12.280000000000001</v>
      </c>
      <c r="I183" s="3" t="str">
        <f t="shared" si="20"/>
        <v>R</v>
      </c>
      <c r="J183" s="1" t="str">
        <f>'HOUSE DATA'!K156</f>
        <v>R</v>
      </c>
      <c r="K183" s="1" t="str">
        <f t="shared" si="21"/>
        <v>—</v>
      </c>
      <c r="L183" t="str">
        <f t="shared" si="22"/>
        <v>R+12.28</v>
      </c>
      <c r="M183">
        <f>COUNTIF($H$31:$H$465,"&gt;"&amp;H183)+COUNTIF($H$31:H183,H183)</f>
        <v>321</v>
      </c>
      <c r="N183" s="7">
        <f t="shared" si="23"/>
        <v>12.280000000000001</v>
      </c>
      <c r="O183">
        <f>COUNTIF($N$31:$N$465,"&lt;"&amp;N183)+COUNTIF($N$31:N183,N183)</f>
        <v>113</v>
      </c>
      <c r="P183" s="10">
        <f>'HOUSE DATA'!M156</f>
        <v>-23.240000000000002</v>
      </c>
      <c r="Q183" t="str">
        <f>'HOUSE DATA'!N156</f>
        <v>2024 HOUSE / prior substitute</v>
      </c>
      <c r="R183" s="10">
        <f t="shared" si="24"/>
        <v>10.96</v>
      </c>
      <c r="S183" s="10">
        <f t="shared" si="25"/>
        <v>8.8910634913824094</v>
      </c>
      <c r="T183" s="10">
        <f t="shared" si="26"/>
        <v>2.0689365086175915</v>
      </c>
      <c r="U183" t="s">
        <v>73</v>
      </c>
      <c r="W183" t="s">
        <v>74</v>
      </c>
      <c r="X183" t="s">
        <v>75</v>
      </c>
    </row>
    <row r="184" spans="1:24" x14ac:dyDescent="0.2">
      <c r="A184" t="str">
        <f>'HOUSE DATA'!A157</f>
        <v>IL-17</v>
      </c>
      <c r="B184" s="10">
        <f>'HOUSE DATA'!B157</f>
        <v>20.219942160719913</v>
      </c>
      <c r="C184" s="10">
        <f t="shared" si="18"/>
        <v>-0.29999999999999893</v>
      </c>
      <c r="D184" s="10">
        <f>2*('HOUSE DATA'!D157*('HOUSE DASHBOARD'!$B$14-42.4)+'HOUSE DATA'!E157*('HOUSE DASHBOARD'!$B$15-54.2)+'HOUSE DATA'!F157*('HOUSE DASHBOARD'!$B$16-85.4)+'HOUSE DATA'!G157*('HOUSE DASHBOARD'!$B$17-60.7)+'HOUSE DATA'!H157*('HOUSE DASHBOARD'!$B$18-53.5))/100</f>
        <v>0</v>
      </c>
      <c r="E184" s="10">
        <f>2*('HOUSE DATA'!I157*('HOUSE DASHBOARD'!$B$21-55.6)+(100-'HOUSE DATA'!I157)*('HOUSE DASHBOARD'!$B$22-44.9))/100</f>
        <v>0</v>
      </c>
      <c r="F184" s="10">
        <f>0</f>
        <v>0</v>
      </c>
      <c r="G184" s="10">
        <f t="shared" si="19"/>
        <v>0</v>
      </c>
      <c r="H184" s="2">
        <f>'HOUSE DATA'!C157+C184+G184</f>
        <v>19.82</v>
      </c>
      <c r="I184" s="3" t="str">
        <f t="shared" si="20"/>
        <v>D</v>
      </c>
      <c r="J184" s="1" t="str">
        <f>'HOUSE DATA'!K157</f>
        <v>D</v>
      </c>
      <c r="K184" s="1" t="str">
        <f t="shared" si="21"/>
        <v>—</v>
      </c>
      <c r="L184" t="str">
        <f t="shared" si="22"/>
        <v>D+19.82</v>
      </c>
      <c r="M184">
        <f>COUNTIF($H$31:$H$465,"&gt;"&amp;H184)+COUNTIF($H$31:H184,H184)</f>
        <v>171</v>
      </c>
      <c r="N184" s="7">
        <f t="shared" si="23"/>
        <v>19.82</v>
      </c>
      <c r="O184">
        <f>COUNTIF($N$31:$N$465,"&lt;"&amp;N184)+COUNTIF($N$31:N184,N184)</f>
        <v>186</v>
      </c>
      <c r="P184" s="10">
        <f>'HOUSE DATA'!M157</f>
        <v>8.86</v>
      </c>
      <c r="Q184" t="str">
        <f>'HOUSE DATA'!N157</f>
        <v>2024 HOUSE / prior substitute</v>
      </c>
      <c r="R184" s="10">
        <f t="shared" si="24"/>
        <v>10.96</v>
      </c>
      <c r="S184" s="10">
        <f t="shared" si="25"/>
        <v>11.359942160719914</v>
      </c>
      <c r="T184" s="10">
        <f t="shared" si="26"/>
        <v>-0.39994216071991318</v>
      </c>
      <c r="U184" t="s">
        <v>73</v>
      </c>
      <c r="W184" t="s">
        <v>74</v>
      </c>
      <c r="X184" t="s">
        <v>75</v>
      </c>
    </row>
    <row r="185" spans="1:24" x14ac:dyDescent="0.2">
      <c r="A185" t="str">
        <f>'HOUSE DATA'!A158</f>
        <v>IN-01</v>
      </c>
      <c r="B185" s="10">
        <f>'HOUSE DATA'!B158</f>
        <v>19.640616787950947</v>
      </c>
      <c r="C185" s="10">
        <f t="shared" si="18"/>
        <v>-0.29999999999999893</v>
      </c>
      <c r="D185" s="10">
        <f>2*('HOUSE DATA'!D158*('HOUSE DASHBOARD'!$B$14-42.4)+'HOUSE DATA'!E158*('HOUSE DASHBOARD'!$B$15-54.2)+'HOUSE DATA'!F158*('HOUSE DASHBOARD'!$B$16-85.4)+'HOUSE DATA'!G158*('HOUSE DASHBOARD'!$B$17-60.7)+'HOUSE DATA'!H158*('HOUSE DASHBOARD'!$B$18-53.5))/100</f>
        <v>0</v>
      </c>
      <c r="E185" s="10">
        <f>2*('HOUSE DATA'!I158*('HOUSE DASHBOARD'!$B$21-55.6)+(100-'HOUSE DATA'!I158)*('HOUSE DASHBOARD'!$B$22-44.9))/100</f>
        <v>0</v>
      </c>
      <c r="F185" s="10">
        <f>0</f>
        <v>0</v>
      </c>
      <c r="G185" s="10">
        <f t="shared" si="19"/>
        <v>0</v>
      </c>
      <c r="H185" s="2">
        <f>'HOUSE DATA'!C158+C185+G185</f>
        <v>19.600000000000001</v>
      </c>
      <c r="I185" s="3" t="str">
        <f t="shared" si="20"/>
        <v>D</v>
      </c>
      <c r="J185" s="1" t="str">
        <f>'HOUSE DATA'!K158</f>
        <v>D</v>
      </c>
      <c r="K185" s="1" t="str">
        <f t="shared" si="21"/>
        <v>—</v>
      </c>
      <c r="L185" t="str">
        <f t="shared" si="22"/>
        <v>D+19.60</v>
      </c>
      <c r="M185">
        <f>COUNTIF($H$31:$H$465,"&gt;"&amp;H185)+COUNTIF($H$31:H185,H185)</f>
        <v>173</v>
      </c>
      <c r="N185" s="7">
        <f t="shared" si="23"/>
        <v>19.600000000000001</v>
      </c>
      <c r="O185">
        <f>COUNTIF($N$31:$N$465,"&lt;"&amp;N185)+COUNTIF($N$31:N185,N185)</f>
        <v>182</v>
      </c>
      <c r="P185" s="10">
        <f>'HOUSE DATA'!M158</f>
        <v>8.64</v>
      </c>
      <c r="Q185" t="str">
        <f>'HOUSE DATA'!N158</f>
        <v>2024 HOUSE / prior substitute</v>
      </c>
      <c r="R185" s="10">
        <f t="shared" si="24"/>
        <v>10.96</v>
      </c>
      <c r="S185" s="10">
        <f t="shared" si="25"/>
        <v>11.000616787950946</v>
      </c>
      <c r="T185" s="10">
        <f t="shared" si="26"/>
        <v>-4.0616787950945366E-2</v>
      </c>
      <c r="U185" t="s">
        <v>73</v>
      </c>
      <c r="W185" t="s">
        <v>74</v>
      </c>
      <c r="X185" t="s">
        <v>75</v>
      </c>
    </row>
    <row r="186" spans="1:24" x14ac:dyDescent="0.2">
      <c r="A186" t="str">
        <f>'HOUSE DATA'!A159</f>
        <v>IN-02</v>
      </c>
      <c r="B186" s="10">
        <f>'HOUSE DATA'!B159</f>
        <v>-18.360817169983413</v>
      </c>
      <c r="C186" s="10">
        <f t="shared" si="18"/>
        <v>-0.29999999999999893</v>
      </c>
      <c r="D186" s="10">
        <f>2*('HOUSE DATA'!D159*('HOUSE DASHBOARD'!$B$14-42.4)+'HOUSE DATA'!E159*('HOUSE DASHBOARD'!$B$15-54.2)+'HOUSE DATA'!F159*('HOUSE DASHBOARD'!$B$16-85.4)+'HOUSE DATA'!G159*('HOUSE DASHBOARD'!$B$17-60.7)+'HOUSE DATA'!H159*('HOUSE DASHBOARD'!$B$18-53.5))/100</f>
        <v>0</v>
      </c>
      <c r="E186" s="10">
        <f>2*('HOUSE DATA'!I159*('HOUSE DASHBOARD'!$B$21-55.6)+(100-'HOUSE DATA'!I159)*('HOUSE DASHBOARD'!$B$22-44.9))/100</f>
        <v>0</v>
      </c>
      <c r="F186" s="10">
        <f>0</f>
        <v>0</v>
      </c>
      <c r="G186" s="10">
        <f t="shared" si="19"/>
        <v>0</v>
      </c>
      <c r="H186" s="2">
        <f>'HOUSE DATA'!C159+C186+G186</f>
        <v>-17.940000000000005</v>
      </c>
      <c r="I186" s="3" t="str">
        <f t="shared" si="20"/>
        <v>R</v>
      </c>
      <c r="J186" s="1" t="str">
        <f>'HOUSE DATA'!K159</f>
        <v>R</v>
      </c>
      <c r="K186" s="1" t="str">
        <f t="shared" si="21"/>
        <v>—</v>
      </c>
      <c r="L186" t="str">
        <f t="shared" si="22"/>
        <v>R+17.94</v>
      </c>
      <c r="M186">
        <f>COUNTIF($H$31:$H$465,"&gt;"&amp;H186)+COUNTIF($H$31:H186,H186)</f>
        <v>344</v>
      </c>
      <c r="N186" s="7">
        <f t="shared" si="23"/>
        <v>17.940000000000005</v>
      </c>
      <c r="O186">
        <f>COUNTIF($N$31:$N$465,"&lt;"&amp;N186)+COUNTIF($N$31:N186,N186)</f>
        <v>160</v>
      </c>
      <c r="P186" s="10">
        <f>'HOUSE DATA'!M159</f>
        <v>-28.900000000000006</v>
      </c>
      <c r="Q186" t="str">
        <f>'HOUSE DATA'!N159</f>
        <v>2024 HOUSE / prior substitute</v>
      </c>
      <c r="R186" s="10">
        <f t="shared" si="24"/>
        <v>10.96</v>
      </c>
      <c r="S186" s="10">
        <f t="shared" si="25"/>
        <v>10.539182830016593</v>
      </c>
      <c r="T186" s="10">
        <f t="shared" si="26"/>
        <v>0.42081716998340823</v>
      </c>
      <c r="U186" t="s">
        <v>73</v>
      </c>
      <c r="W186" t="s">
        <v>74</v>
      </c>
      <c r="X186" t="s">
        <v>75</v>
      </c>
    </row>
    <row r="187" spans="1:24" x14ac:dyDescent="0.2">
      <c r="A187" t="str">
        <f>'HOUSE DATA'!A160</f>
        <v>IN-03</v>
      </c>
      <c r="B187" s="10">
        <f>'HOUSE DATA'!B160</f>
        <v>-24.734614769812644</v>
      </c>
      <c r="C187" s="10">
        <f t="shared" si="18"/>
        <v>-0.29999999999999893</v>
      </c>
      <c r="D187" s="10">
        <f>2*('HOUSE DATA'!D160*('HOUSE DASHBOARD'!$B$14-42.4)+'HOUSE DATA'!E160*('HOUSE DASHBOARD'!$B$15-54.2)+'HOUSE DATA'!F160*('HOUSE DASHBOARD'!$B$16-85.4)+'HOUSE DATA'!G160*('HOUSE DASHBOARD'!$B$17-60.7)+'HOUSE DATA'!H160*('HOUSE DASHBOARD'!$B$18-53.5))/100</f>
        <v>0</v>
      </c>
      <c r="E187" s="10">
        <f>2*('HOUSE DATA'!I160*('HOUSE DASHBOARD'!$B$21-55.6)+(100-'HOUSE DATA'!I160)*('HOUSE DASHBOARD'!$B$22-44.9))/100</f>
        <v>0</v>
      </c>
      <c r="F187" s="10">
        <f>0</f>
        <v>0</v>
      </c>
      <c r="G187" s="10">
        <f t="shared" si="19"/>
        <v>0</v>
      </c>
      <c r="H187" s="2">
        <f>'HOUSE DATA'!C160+C187+G187</f>
        <v>-23.900000000000006</v>
      </c>
      <c r="I187" s="3" t="str">
        <f t="shared" si="20"/>
        <v>R</v>
      </c>
      <c r="J187" s="1" t="str">
        <f>'HOUSE DATA'!K160</f>
        <v>R</v>
      </c>
      <c r="K187" s="1" t="str">
        <f t="shared" si="21"/>
        <v>—</v>
      </c>
      <c r="L187" t="str">
        <f t="shared" si="22"/>
        <v>R+23.90</v>
      </c>
      <c r="M187">
        <f>COUNTIF($H$31:$H$465,"&gt;"&amp;H187)+COUNTIF($H$31:H187,H187)</f>
        <v>381</v>
      </c>
      <c r="N187" s="7">
        <f t="shared" si="23"/>
        <v>23.900000000000006</v>
      </c>
      <c r="O187">
        <f>COUNTIF($N$31:$N$465,"&lt;"&amp;N187)+COUNTIF($N$31:N187,N187)</f>
        <v>229</v>
      </c>
      <c r="P187" s="10">
        <f>'HOUSE DATA'!M160</f>
        <v>-34.860000000000007</v>
      </c>
      <c r="Q187" t="str">
        <f>'HOUSE DATA'!N160</f>
        <v>2024 HOUSE / prior substitute</v>
      </c>
      <c r="R187" s="10">
        <f t="shared" si="24"/>
        <v>10.96</v>
      </c>
      <c r="S187" s="10">
        <f t="shared" si="25"/>
        <v>10.125385230187362</v>
      </c>
      <c r="T187" s="10">
        <f t="shared" si="26"/>
        <v>0.83461476981263871</v>
      </c>
      <c r="U187" t="s">
        <v>73</v>
      </c>
      <c r="W187" t="s">
        <v>74</v>
      </c>
      <c r="X187" t="s">
        <v>75</v>
      </c>
    </row>
    <row r="188" spans="1:24" x14ac:dyDescent="0.2">
      <c r="A188" t="str">
        <f>'HOUSE DATA'!A161</f>
        <v>IN-04</v>
      </c>
      <c r="B188" s="10">
        <f>'HOUSE DATA'!B161</f>
        <v>-25.951083522063275</v>
      </c>
      <c r="C188" s="10">
        <f t="shared" si="18"/>
        <v>-0.29999999999999893</v>
      </c>
      <c r="D188" s="10">
        <f>2*('HOUSE DATA'!D161*('HOUSE DASHBOARD'!$B$14-42.4)+'HOUSE DATA'!E161*('HOUSE DASHBOARD'!$B$15-54.2)+'HOUSE DATA'!F161*('HOUSE DASHBOARD'!$B$16-85.4)+'HOUSE DATA'!G161*('HOUSE DASHBOARD'!$B$17-60.7)+'HOUSE DATA'!H161*('HOUSE DASHBOARD'!$B$18-53.5))/100</f>
        <v>0</v>
      </c>
      <c r="E188" s="10">
        <f>2*('HOUSE DATA'!I161*('HOUSE DASHBOARD'!$B$21-55.6)+(100-'HOUSE DATA'!I161)*('HOUSE DASHBOARD'!$B$22-44.9))/100</f>
        <v>0</v>
      </c>
      <c r="F188" s="10">
        <f>0</f>
        <v>0</v>
      </c>
      <c r="G188" s="10">
        <f t="shared" si="19"/>
        <v>0</v>
      </c>
      <c r="H188" s="2">
        <f>'HOUSE DATA'!C161+C188+G188</f>
        <v>-24.439999999999998</v>
      </c>
      <c r="I188" s="3" t="str">
        <f t="shared" si="20"/>
        <v>R</v>
      </c>
      <c r="J188" s="1" t="str">
        <f>'HOUSE DATA'!K161</f>
        <v>R</v>
      </c>
      <c r="K188" s="1" t="str">
        <f t="shared" si="21"/>
        <v>—</v>
      </c>
      <c r="L188" t="str">
        <f t="shared" si="22"/>
        <v>R+24.44</v>
      </c>
      <c r="M188">
        <f>COUNTIF($H$31:$H$465,"&gt;"&amp;H188)+COUNTIF($H$31:H188,H188)</f>
        <v>382</v>
      </c>
      <c r="N188" s="7">
        <f t="shared" si="23"/>
        <v>24.439999999999998</v>
      </c>
      <c r="O188">
        <f>COUNTIF($N$31:$N$465,"&lt;"&amp;N188)+COUNTIF($N$31:N188,N188)</f>
        <v>236</v>
      </c>
      <c r="P188" s="10">
        <f>'HOUSE DATA'!M161</f>
        <v>-35.4</v>
      </c>
      <c r="Q188" t="str">
        <f>'HOUSE DATA'!N161</f>
        <v>2024 HOUSE / prior substitute</v>
      </c>
      <c r="R188" s="10">
        <f t="shared" si="24"/>
        <v>10.96</v>
      </c>
      <c r="S188" s="10">
        <f t="shared" si="25"/>
        <v>9.4489164779367236</v>
      </c>
      <c r="T188" s="10">
        <f t="shared" si="26"/>
        <v>1.5110835220632772</v>
      </c>
      <c r="U188" t="s">
        <v>73</v>
      </c>
      <c r="W188" t="s">
        <v>74</v>
      </c>
      <c r="X188" t="s">
        <v>75</v>
      </c>
    </row>
    <row r="189" spans="1:24" x14ac:dyDescent="0.2">
      <c r="A189" t="str">
        <f>'HOUSE DATA'!A162</f>
        <v>IN-05</v>
      </c>
      <c r="B189" s="10">
        <f>'HOUSE DATA'!B162</f>
        <v>-10.532290219820865</v>
      </c>
      <c r="C189" s="10">
        <f t="shared" si="18"/>
        <v>-0.29999999999999893</v>
      </c>
      <c r="D189" s="10">
        <f>2*('HOUSE DATA'!D162*('HOUSE DASHBOARD'!$B$14-42.4)+'HOUSE DATA'!E162*('HOUSE DASHBOARD'!$B$15-54.2)+'HOUSE DATA'!F162*('HOUSE DASHBOARD'!$B$16-85.4)+'HOUSE DATA'!G162*('HOUSE DASHBOARD'!$B$17-60.7)+'HOUSE DATA'!H162*('HOUSE DASHBOARD'!$B$18-53.5))/100</f>
        <v>0</v>
      </c>
      <c r="E189" s="10">
        <f>2*('HOUSE DATA'!I162*('HOUSE DASHBOARD'!$B$21-55.6)+(100-'HOUSE DATA'!I162)*('HOUSE DASHBOARD'!$B$22-44.9))/100</f>
        <v>0</v>
      </c>
      <c r="F189" s="10">
        <f>0</f>
        <v>0</v>
      </c>
      <c r="G189" s="10">
        <f t="shared" si="19"/>
        <v>0</v>
      </c>
      <c r="H189" s="2">
        <f>'HOUSE DATA'!C162+C189+G189</f>
        <v>-8.6799999999999926</v>
      </c>
      <c r="I189" s="3" t="str">
        <f t="shared" si="20"/>
        <v>R</v>
      </c>
      <c r="J189" s="1" t="str">
        <f>'HOUSE DATA'!K162</f>
        <v>R</v>
      </c>
      <c r="K189" s="1" t="str">
        <f t="shared" si="21"/>
        <v>—</v>
      </c>
      <c r="L189" t="str">
        <f t="shared" si="22"/>
        <v>R+8.68</v>
      </c>
      <c r="M189">
        <f>COUNTIF($H$31:$H$465,"&gt;"&amp;H189)+COUNTIF($H$31:H189,H189)</f>
        <v>288</v>
      </c>
      <c r="N189" s="7">
        <f t="shared" si="23"/>
        <v>8.6799999999999926</v>
      </c>
      <c r="O189">
        <f>COUNTIF($N$31:$N$465,"&lt;"&amp;N189)+COUNTIF($N$31:N189,N189)</f>
        <v>71</v>
      </c>
      <c r="P189" s="10">
        <f>'HOUSE DATA'!M162</f>
        <v>-19.639999999999993</v>
      </c>
      <c r="Q189" t="str">
        <f>'HOUSE DATA'!N162</f>
        <v>2024 HOUSE / prior substitute</v>
      </c>
      <c r="R189" s="10">
        <f t="shared" si="24"/>
        <v>10.96</v>
      </c>
      <c r="S189" s="10">
        <f t="shared" si="25"/>
        <v>9.1077097801791282</v>
      </c>
      <c r="T189" s="10">
        <f t="shared" si="26"/>
        <v>1.8522902198208726</v>
      </c>
      <c r="U189" t="s">
        <v>73</v>
      </c>
      <c r="W189" t="s">
        <v>74</v>
      </c>
      <c r="X189" t="s">
        <v>75</v>
      </c>
    </row>
    <row r="190" spans="1:24" x14ac:dyDescent="0.2">
      <c r="A190" t="str">
        <f>'HOUSE DATA'!A163</f>
        <v>IN-06</v>
      </c>
      <c r="B190" s="10">
        <f>'HOUSE DATA'!B163</f>
        <v>-23.991695322743148</v>
      </c>
      <c r="C190" s="10">
        <f t="shared" si="18"/>
        <v>-0.29999999999999893</v>
      </c>
      <c r="D190" s="10">
        <f>2*('HOUSE DATA'!D163*('HOUSE DASHBOARD'!$B$14-42.4)+'HOUSE DATA'!E163*('HOUSE DASHBOARD'!$B$15-54.2)+'HOUSE DATA'!F163*('HOUSE DASHBOARD'!$B$16-85.4)+'HOUSE DATA'!G163*('HOUSE DASHBOARD'!$B$17-60.7)+'HOUSE DATA'!H163*('HOUSE DASHBOARD'!$B$18-53.5))/100</f>
        <v>0</v>
      </c>
      <c r="E190" s="10">
        <f>2*('HOUSE DATA'!I163*('HOUSE DASHBOARD'!$B$21-55.6)+(100-'HOUSE DATA'!I163)*('HOUSE DASHBOARD'!$B$22-44.9))/100</f>
        <v>0</v>
      </c>
      <c r="F190" s="10">
        <f>0</f>
        <v>0</v>
      </c>
      <c r="G190" s="10">
        <f t="shared" si="19"/>
        <v>0</v>
      </c>
      <c r="H190" s="2">
        <f>'HOUSE DATA'!C163+C190+G190</f>
        <v>-22.739999999999995</v>
      </c>
      <c r="I190" s="3" t="str">
        <f t="shared" si="20"/>
        <v>R</v>
      </c>
      <c r="J190" s="1" t="str">
        <f>'HOUSE DATA'!K163</f>
        <v>R</v>
      </c>
      <c r="K190" s="1" t="str">
        <f t="shared" si="21"/>
        <v>—</v>
      </c>
      <c r="L190" t="str">
        <f t="shared" si="22"/>
        <v>R+22.74</v>
      </c>
      <c r="M190">
        <f>COUNTIF($H$31:$H$465,"&gt;"&amp;H190)+COUNTIF($H$31:H190,H190)</f>
        <v>374</v>
      </c>
      <c r="N190" s="7">
        <f t="shared" si="23"/>
        <v>22.739999999999995</v>
      </c>
      <c r="O190">
        <f>COUNTIF($N$31:$N$465,"&lt;"&amp;N190)+COUNTIF($N$31:N190,N190)</f>
        <v>216</v>
      </c>
      <c r="P190" s="10">
        <f>'HOUSE DATA'!M163</f>
        <v>-33.699999999999996</v>
      </c>
      <c r="Q190" t="str">
        <f>'HOUSE DATA'!N163</f>
        <v>2024 HOUSE / prior substitute</v>
      </c>
      <c r="R190" s="10">
        <f t="shared" si="24"/>
        <v>10.96</v>
      </c>
      <c r="S190" s="10">
        <f t="shared" si="25"/>
        <v>9.708304677256848</v>
      </c>
      <c r="T190" s="10">
        <f t="shared" si="26"/>
        <v>1.2516953227431529</v>
      </c>
      <c r="U190" t="s">
        <v>73</v>
      </c>
      <c r="W190" t="s">
        <v>74</v>
      </c>
      <c r="X190" t="s">
        <v>75</v>
      </c>
    </row>
    <row r="191" spans="1:24" x14ac:dyDescent="0.2">
      <c r="A191" t="str">
        <f>'HOUSE DATA'!A164</f>
        <v>IN-07</v>
      </c>
      <c r="B191" s="10">
        <f>'HOUSE DATA'!B164</f>
        <v>52.338884280613954</v>
      </c>
      <c r="C191" s="10">
        <f t="shared" si="18"/>
        <v>-0.29999999999999893</v>
      </c>
      <c r="D191" s="10">
        <f>2*('HOUSE DATA'!D164*('HOUSE DASHBOARD'!$B$14-42.4)+'HOUSE DATA'!E164*('HOUSE DASHBOARD'!$B$15-54.2)+'HOUSE DATA'!F164*('HOUSE DASHBOARD'!$B$16-85.4)+'HOUSE DATA'!G164*('HOUSE DASHBOARD'!$B$17-60.7)+'HOUSE DATA'!H164*('HOUSE DASHBOARD'!$B$18-53.5))/100</f>
        <v>0</v>
      </c>
      <c r="E191" s="10">
        <f>2*('HOUSE DATA'!I164*('HOUSE DASHBOARD'!$B$21-55.6)+(100-'HOUSE DATA'!I164)*('HOUSE DASHBOARD'!$B$22-44.9))/100</f>
        <v>0</v>
      </c>
      <c r="F191" s="10">
        <f>0</f>
        <v>0</v>
      </c>
      <c r="G191" s="10">
        <f t="shared" si="19"/>
        <v>0</v>
      </c>
      <c r="H191" s="2">
        <f>'HOUSE DATA'!C164+C191+G191</f>
        <v>51.440000000000012</v>
      </c>
      <c r="I191" s="3" t="str">
        <f t="shared" si="20"/>
        <v>D</v>
      </c>
      <c r="J191" s="1" t="str">
        <f>'HOUSE DATA'!K164</f>
        <v>D</v>
      </c>
      <c r="K191" s="1" t="str">
        <f t="shared" si="21"/>
        <v>—</v>
      </c>
      <c r="L191" t="str">
        <f t="shared" si="22"/>
        <v>D+51.44</v>
      </c>
      <c r="M191">
        <f>COUNTIF($H$31:$H$465,"&gt;"&amp;H191)+COUNTIF($H$31:H191,H191)</f>
        <v>56</v>
      </c>
      <c r="N191" s="7">
        <f t="shared" si="23"/>
        <v>51.440000000000012</v>
      </c>
      <c r="O191">
        <f>COUNTIF($N$31:$N$465,"&lt;"&amp;N191)+COUNTIF($N$31:N191,N191)</f>
        <v>370</v>
      </c>
      <c r="P191" s="10">
        <f>'HOUSE DATA'!M164</f>
        <v>40.480000000000011</v>
      </c>
      <c r="Q191" t="str">
        <f>'HOUSE DATA'!N164</f>
        <v>2024 HOUSE / prior substitute</v>
      </c>
      <c r="R191" s="10">
        <f t="shared" si="24"/>
        <v>10.96</v>
      </c>
      <c r="S191" s="10">
        <f t="shared" si="25"/>
        <v>11.858884280613943</v>
      </c>
      <c r="T191" s="10">
        <f t="shared" si="26"/>
        <v>-0.89888428061394166</v>
      </c>
      <c r="U191" t="s">
        <v>73</v>
      </c>
      <c r="W191" t="s">
        <v>74</v>
      </c>
      <c r="X191" t="s">
        <v>75</v>
      </c>
    </row>
    <row r="192" spans="1:24" x14ac:dyDescent="0.2">
      <c r="A192" t="str">
        <f>'HOUSE DATA'!A165</f>
        <v>IN-08</v>
      </c>
      <c r="B192" s="10">
        <f>'HOUSE DATA'!B165</f>
        <v>-29.44479182823104</v>
      </c>
      <c r="C192" s="10">
        <f t="shared" si="18"/>
        <v>-0.29999999999999893</v>
      </c>
      <c r="D192" s="10">
        <f>2*('HOUSE DATA'!D165*('HOUSE DASHBOARD'!$B$14-42.4)+'HOUSE DATA'!E165*('HOUSE DASHBOARD'!$B$15-54.2)+'HOUSE DATA'!F165*('HOUSE DASHBOARD'!$B$16-85.4)+'HOUSE DATA'!G165*('HOUSE DASHBOARD'!$B$17-60.7)+'HOUSE DATA'!H165*('HOUSE DASHBOARD'!$B$18-53.5))/100</f>
        <v>0</v>
      </c>
      <c r="E192" s="10">
        <f>2*('HOUSE DATA'!I165*('HOUSE DASHBOARD'!$B$21-55.6)+(100-'HOUSE DATA'!I165)*('HOUSE DASHBOARD'!$B$22-44.9))/100</f>
        <v>0</v>
      </c>
      <c r="F192" s="10">
        <f>0</f>
        <v>0</v>
      </c>
      <c r="G192" s="10">
        <f t="shared" si="19"/>
        <v>0</v>
      </c>
      <c r="H192" s="2">
        <f>'HOUSE DATA'!C165+C192+G192</f>
        <v>-28.579999999999991</v>
      </c>
      <c r="I192" s="3" t="str">
        <f t="shared" si="20"/>
        <v>R</v>
      </c>
      <c r="J192" s="1" t="str">
        <f>'HOUSE DATA'!K165</f>
        <v>R</v>
      </c>
      <c r="K192" s="1" t="str">
        <f t="shared" si="21"/>
        <v>—</v>
      </c>
      <c r="L192" t="str">
        <f t="shared" si="22"/>
        <v>R+28.58</v>
      </c>
      <c r="M192">
        <f>COUNTIF($H$31:$H$465,"&gt;"&amp;H192)+COUNTIF($H$31:H192,H192)</f>
        <v>395</v>
      </c>
      <c r="N192" s="7">
        <f t="shared" si="23"/>
        <v>28.579999999999991</v>
      </c>
      <c r="O192">
        <f>COUNTIF($N$31:$N$465,"&lt;"&amp;N192)+COUNTIF($N$31:N192,N192)</f>
        <v>267</v>
      </c>
      <c r="P192" s="10">
        <f>'HOUSE DATA'!M165</f>
        <v>-39.539999999999992</v>
      </c>
      <c r="Q192" t="str">
        <f>'HOUSE DATA'!N165</f>
        <v>2024 HOUSE / prior substitute</v>
      </c>
      <c r="R192" s="10">
        <f t="shared" si="24"/>
        <v>10.96</v>
      </c>
      <c r="S192" s="10">
        <f t="shared" si="25"/>
        <v>10.095208171768952</v>
      </c>
      <c r="T192" s="10">
        <f t="shared" si="26"/>
        <v>0.8647918282310485</v>
      </c>
      <c r="U192" t="s">
        <v>73</v>
      </c>
      <c r="W192" t="s">
        <v>74</v>
      </c>
      <c r="X192" t="s">
        <v>75</v>
      </c>
    </row>
    <row r="193" spans="1:24" x14ac:dyDescent="0.2">
      <c r="A193" t="str">
        <f>'HOUSE DATA'!A166</f>
        <v>IN-09</v>
      </c>
      <c r="B193" s="10">
        <f>'HOUSE DATA'!B166</f>
        <v>-22.926697159692463</v>
      </c>
      <c r="C193" s="10">
        <f t="shared" si="18"/>
        <v>-0.29999999999999893</v>
      </c>
      <c r="D193" s="10">
        <f>2*('HOUSE DATA'!D166*('HOUSE DASHBOARD'!$B$14-42.4)+'HOUSE DATA'!E166*('HOUSE DASHBOARD'!$B$15-54.2)+'HOUSE DATA'!F166*('HOUSE DASHBOARD'!$B$16-85.4)+'HOUSE DATA'!G166*('HOUSE DASHBOARD'!$B$17-60.7)+'HOUSE DATA'!H166*('HOUSE DASHBOARD'!$B$18-53.5))/100</f>
        <v>0</v>
      </c>
      <c r="E193" s="10">
        <f>2*('HOUSE DATA'!I166*('HOUSE DASHBOARD'!$B$21-55.6)+(100-'HOUSE DATA'!I166)*('HOUSE DASHBOARD'!$B$22-44.9))/100</f>
        <v>0</v>
      </c>
      <c r="F193" s="10">
        <f>0</f>
        <v>0</v>
      </c>
      <c r="G193" s="10">
        <f t="shared" si="19"/>
        <v>0</v>
      </c>
      <c r="H193" s="2">
        <f>'HOUSE DATA'!C166+C193+G193</f>
        <v>-21.6</v>
      </c>
      <c r="I193" s="3" t="str">
        <f t="shared" si="20"/>
        <v>R</v>
      </c>
      <c r="J193" s="1" t="str">
        <f>'HOUSE DATA'!K166</f>
        <v>R</v>
      </c>
      <c r="K193" s="1" t="str">
        <f t="shared" si="21"/>
        <v>—</v>
      </c>
      <c r="L193" t="str">
        <f t="shared" si="22"/>
        <v>R+21.60</v>
      </c>
      <c r="M193">
        <f>COUNTIF($H$31:$H$465,"&gt;"&amp;H193)+COUNTIF($H$31:H193,H193)</f>
        <v>367</v>
      </c>
      <c r="N193" s="7">
        <f t="shared" si="23"/>
        <v>21.6</v>
      </c>
      <c r="O193">
        <f>COUNTIF($N$31:$N$465,"&lt;"&amp;N193)+COUNTIF($N$31:N193,N193)</f>
        <v>205</v>
      </c>
      <c r="P193" s="10">
        <f>'HOUSE DATA'!M166</f>
        <v>-32.56</v>
      </c>
      <c r="Q193" t="str">
        <f>'HOUSE DATA'!N166</f>
        <v>2024 HOUSE / prior substitute</v>
      </c>
      <c r="R193" s="10">
        <f t="shared" si="24"/>
        <v>10.96</v>
      </c>
      <c r="S193" s="10">
        <f t="shared" si="25"/>
        <v>9.6333028403075396</v>
      </c>
      <c r="T193" s="10">
        <f t="shared" si="26"/>
        <v>1.3266971596924613</v>
      </c>
      <c r="U193" t="s">
        <v>73</v>
      </c>
      <c r="W193" t="s">
        <v>74</v>
      </c>
      <c r="X193" t="s">
        <v>75</v>
      </c>
    </row>
    <row r="194" spans="1:24" x14ac:dyDescent="0.2">
      <c r="A194" t="str">
        <f>'HOUSE DATA'!A167</f>
        <v>KS-01</v>
      </c>
      <c r="B194" s="10">
        <f>'HOUSE DATA'!B167</f>
        <v>-27.512893697966163</v>
      </c>
      <c r="C194" s="10">
        <f t="shared" si="18"/>
        <v>-0.29999999999999893</v>
      </c>
      <c r="D194" s="10">
        <f>2*('HOUSE DATA'!D167*('HOUSE DASHBOARD'!$B$14-42.4)+'HOUSE DATA'!E167*('HOUSE DASHBOARD'!$B$15-54.2)+'HOUSE DATA'!F167*('HOUSE DASHBOARD'!$B$16-85.4)+'HOUSE DATA'!G167*('HOUSE DASHBOARD'!$B$17-60.7)+'HOUSE DATA'!H167*('HOUSE DASHBOARD'!$B$18-53.5))/100</f>
        <v>0</v>
      </c>
      <c r="E194" s="10">
        <f>2*('HOUSE DATA'!I167*('HOUSE DASHBOARD'!$B$21-55.6)+(100-'HOUSE DATA'!I167)*('HOUSE DASHBOARD'!$B$22-44.9))/100</f>
        <v>0</v>
      </c>
      <c r="F194" s="10">
        <f>0</f>
        <v>0</v>
      </c>
      <c r="G194" s="10">
        <f t="shared" si="19"/>
        <v>0</v>
      </c>
      <c r="H194" s="2">
        <f>'HOUSE DATA'!C167+C194+G194</f>
        <v>-27.32</v>
      </c>
      <c r="I194" s="3" t="str">
        <f t="shared" si="20"/>
        <v>R</v>
      </c>
      <c r="J194" s="1" t="str">
        <f>'HOUSE DATA'!K167</f>
        <v>R</v>
      </c>
      <c r="K194" s="1" t="str">
        <f t="shared" si="21"/>
        <v>—</v>
      </c>
      <c r="L194" t="str">
        <f t="shared" si="22"/>
        <v>R+27.32</v>
      </c>
      <c r="M194">
        <f>COUNTIF($H$31:$H$465,"&gt;"&amp;H194)+COUNTIF($H$31:H194,H194)</f>
        <v>389</v>
      </c>
      <c r="N194" s="7">
        <f t="shared" si="23"/>
        <v>27.32</v>
      </c>
      <c r="O194">
        <f>COUNTIF($N$31:$N$465,"&lt;"&amp;N194)+COUNTIF($N$31:N194,N194)</f>
        <v>255</v>
      </c>
      <c r="P194" s="10">
        <f>'HOUSE DATA'!M167</f>
        <v>-38.28</v>
      </c>
      <c r="Q194" t="str">
        <f>'HOUSE DATA'!N167</f>
        <v>2024 HOUSE / prior substitute</v>
      </c>
      <c r="R194" s="10">
        <f t="shared" si="24"/>
        <v>10.96</v>
      </c>
      <c r="S194" s="10">
        <f t="shared" si="25"/>
        <v>10.767106302033838</v>
      </c>
      <c r="T194" s="10">
        <f t="shared" si="26"/>
        <v>0.19289369796616285</v>
      </c>
      <c r="U194" t="s">
        <v>73</v>
      </c>
      <c r="W194" t="s">
        <v>74</v>
      </c>
      <c r="X194" t="s">
        <v>75</v>
      </c>
    </row>
    <row r="195" spans="1:24" x14ac:dyDescent="0.2">
      <c r="A195" t="str">
        <f>'HOUSE DATA'!A168</f>
        <v>KS-02</v>
      </c>
      <c r="B195" s="10">
        <f>'HOUSE DATA'!B168</f>
        <v>-8.9002105542302541</v>
      </c>
      <c r="C195" s="10">
        <f t="shared" si="18"/>
        <v>-0.29999999999999893</v>
      </c>
      <c r="D195" s="10">
        <f>2*('HOUSE DATA'!D168*('HOUSE DASHBOARD'!$B$14-42.4)+'HOUSE DATA'!E168*('HOUSE DASHBOARD'!$B$15-54.2)+'HOUSE DATA'!F168*('HOUSE DASHBOARD'!$B$16-85.4)+'HOUSE DATA'!G168*('HOUSE DASHBOARD'!$B$17-60.7)+'HOUSE DATA'!H168*('HOUSE DASHBOARD'!$B$18-53.5))/100</f>
        <v>0</v>
      </c>
      <c r="E195" s="10">
        <f>2*('HOUSE DATA'!I168*('HOUSE DASHBOARD'!$B$21-55.6)+(100-'HOUSE DATA'!I168)*('HOUSE DASHBOARD'!$B$22-44.9))/100</f>
        <v>0</v>
      </c>
      <c r="F195" s="10">
        <f>0</f>
        <v>0</v>
      </c>
      <c r="G195" s="10">
        <f t="shared" si="19"/>
        <v>0</v>
      </c>
      <c r="H195" s="2">
        <f>'HOUSE DATA'!C168+C195+G195</f>
        <v>-8.86</v>
      </c>
      <c r="I195" s="3" t="str">
        <f t="shared" si="20"/>
        <v>R</v>
      </c>
      <c r="J195" s="1" t="str">
        <f>'HOUSE DATA'!K168</f>
        <v>R</v>
      </c>
      <c r="K195" s="1" t="str">
        <f t="shared" si="21"/>
        <v>—</v>
      </c>
      <c r="L195" t="str">
        <f t="shared" si="22"/>
        <v>R+8.86</v>
      </c>
      <c r="M195">
        <f>COUNTIF($H$31:$H$465,"&gt;"&amp;H195)+COUNTIF($H$31:H195,H195)</f>
        <v>290</v>
      </c>
      <c r="N195" s="7">
        <f t="shared" si="23"/>
        <v>8.86</v>
      </c>
      <c r="O195">
        <f>COUNTIF($N$31:$N$465,"&lt;"&amp;N195)+COUNTIF($N$31:N195,N195)</f>
        <v>73</v>
      </c>
      <c r="P195" s="10">
        <f>'HOUSE DATA'!M168</f>
        <v>-19.82</v>
      </c>
      <c r="Q195" t="str">
        <f>'HOUSE DATA'!N168</f>
        <v>2024 HOUSE / prior substitute</v>
      </c>
      <c r="R195" s="10">
        <f t="shared" si="24"/>
        <v>10.96</v>
      </c>
      <c r="S195" s="10">
        <f t="shared" si="25"/>
        <v>10.919789445769746</v>
      </c>
      <c r="T195" s="10">
        <f t="shared" si="26"/>
        <v>4.0210554230254658E-2</v>
      </c>
      <c r="U195" t="s">
        <v>73</v>
      </c>
      <c r="W195" t="s">
        <v>74</v>
      </c>
      <c r="X195" t="s">
        <v>75</v>
      </c>
    </row>
    <row r="196" spans="1:24" x14ac:dyDescent="0.2">
      <c r="A196" t="str">
        <f>'HOUSE DATA'!A169</f>
        <v>KS-03</v>
      </c>
      <c r="B196" s="10">
        <f>'HOUSE DATA'!B169</f>
        <v>19.25950715352311</v>
      </c>
      <c r="C196" s="10">
        <f t="shared" si="18"/>
        <v>-0.29999999999999893</v>
      </c>
      <c r="D196" s="10">
        <f>2*('HOUSE DATA'!D169*('HOUSE DASHBOARD'!$B$14-42.4)+'HOUSE DATA'!E169*('HOUSE DASHBOARD'!$B$15-54.2)+'HOUSE DATA'!F169*('HOUSE DASHBOARD'!$B$16-85.4)+'HOUSE DATA'!G169*('HOUSE DASHBOARD'!$B$17-60.7)+'HOUSE DATA'!H169*('HOUSE DASHBOARD'!$B$18-53.5))/100</f>
        <v>0</v>
      </c>
      <c r="E196" s="10">
        <f>2*('HOUSE DATA'!I169*('HOUSE DASHBOARD'!$B$21-55.6)+(100-'HOUSE DATA'!I169)*('HOUSE DASHBOARD'!$B$22-44.9))/100</f>
        <v>0</v>
      </c>
      <c r="F196" s="10">
        <f>0</f>
        <v>0</v>
      </c>
      <c r="G196" s="10">
        <f t="shared" si="19"/>
        <v>0</v>
      </c>
      <c r="H196" s="2">
        <f>'HOUSE DATA'!C169+C196+G196</f>
        <v>22.160000000000011</v>
      </c>
      <c r="I196" s="3" t="str">
        <f t="shared" si="20"/>
        <v>D</v>
      </c>
      <c r="J196" s="1" t="str">
        <f>'HOUSE DATA'!K169</f>
        <v>D</v>
      </c>
      <c r="K196" s="1" t="str">
        <f t="shared" si="21"/>
        <v>—</v>
      </c>
      <c r="L196" t="str">
        <f t="shared" si="22"/>
        <v>D+22.16</v>
      </c>
      <c r="M196">
        <f>COUNTIF($H$31:$H$465,"&gt;"&amp;H196)+COUNTIF($H$31:H196,H196)</f>
        <v>160</v>
      </c>
      <c r="N196" s="7">
        <f t="shared" si="23"/>
        <v>22.160000000000011</v>
      </c>
      <c r="O196">
        <f>COUNTIF($N$31:$N$465,"&lt;"&amp;N196)+COUNTIF($N$31:N196,N196)</f>
        <v>210</v>
      </c>
      <c r="P196" s="10">
        <f>'HOUSE DATA'!M169</f>
        <v>11.20000000000001</v>
      </c>
      <c r="Q196" t="str">
        <f>'HOUSE DATA'!N169</f>
        <v>2024 HOUSE / prior substitute</v>
      </c>
      <c r="R196" s="10">
        <f t="shared" si="24"/>
        <v>10.96</v>
      </c>
      <c r="S196" s="10">
        <f t="shared" si="25"/>
        <v>8.0595071535231</v>
      </c>
      <c r="T196" s="10">
        <f t="shared" si="26"/>
        <v>2.9004928464769009</v>
      </c>
      <c r="U196" t="s">
        <v>73</v>
      </c>
      <c r="W196" t="s">
        <v>74</v>
      </c>
      <c r="X196" t="s">
        <v>75</v>
      </c>
    </row>
    <row r="197" spans="1:24" x14ac:dyDescent="0.2">
      <c r="A197" t="str">
        <f>'HOUSE DATA'!A170</f>
        <v>KS-04</v>
      </c>
      <c r="B197" s="10">
        <f>'HOUSE DATA'!B170</f>
        <v>-19.451068304529905</v>
      </c>
      <c r="C197" s="10">
        <f t="shared" si="18"/>
        <v>-0.29999999999999893</v>
      </c>
      <c r="D197" s="10">
        <f>2*('HOUSE DATA'!D170*('HOUSE DASHBOARD'!$B$14-42.4)+'HOUSE DATA'!E170*('HOUSE DASHBOARD'!$B$15-54.2)+'HOUSE DATA'!F170*('HOUSE DASHBOARD'!$B$16-85.4)+'HOUSE DATA'!G170*('HOUSE DASHBOARD'!$B$17-60.7)+'HOUSE DATA'!H170*('HOUSE DASHBOARD'!$B$18-53.5))/100</f>
        <v>0</v>
      </c>
      <c r="E197" s="10">
        <f>2*('HOUSE DATA'!I170*('HOUSE DASHBOARD'!$B$21-55.6)+(100-'HOUSE DATA'!I170)*('HOUSE DASHBOARD'!$B$22-44.9))/100</f>
        <v>0</v>
      </c>
      <c r="F197" s="10">
        <f>0</f>
        <v>0</v>
      </c>
      <c r="G197" s="10">
        <f t="shared" si="19"/>
        <v>0</v>
      </c>
      <c r="H197" s="2">
        <f>'HOUSE DATA'!C170+C197+G197</f>
        <v>-19.14</v>
      </c>
      <c r="I197" s="3" t="str">
        <f t="shared" si="20"/>
        <v>R</v>
      </c>
      <c r="J197" s="1" t="str">
        <f>'HOUSE DATA'!K170</f>
        <v>R</v>
      </c>
      <c r="K197" s="1" t="str">
        <f t="shared" si="21"/>
        <v>—</v>
      </c>
      <c r="L197" t="str">
        <f t="shared" si="22"/>
        <v>R+19.14</v>
      </c>
      <c r="M197">
        <f>COUNTIF($H$31:$H$465,"&gt;"&amp;H197)+COUNTIF($H$31:H197,H197)</f>
        <v>354</v>
      </c>
      <c r="N197" s="7">
        <f t="shared" si="23"/>
        <v>19.14</v>
      </c>
      <c r="O197">
        <f>COUNTIF($N$31:$N$465,"&lt;"&amp;N197)+COUNTIF($N$31:N197,N197)</f>
        <v>177</v>
      </c>
      <c r="P197" s="10">
        <f>'HOUSE DATA'!M170</f>
        <v>-30.1</v>
      </c>
      <c r="Q197" t="str">
        <f>'HOUSE DATA'!N170</f>
        <v>2024 HOUSE / prior substitute</v>
      </c>
      <c r="R197" s="10">
        <f t="shared" si="24"/>
        <v>10.96</v>
      </c>
      <c r="S197" s="10">
        <f t="shared" si="25"/>
        <v>10.648931695470097</v>
      </c>
      <c r="T197" s="10">
        <f t="shared" si="26"/>
        <v>0.31106830452990408</v>
      </c>
      <c r="U197" t="s">
        <v>73</v>
      </c>
      <c r="W197" t="s">
        <v>74</v>
      </c>
      <c r="X197" t="s">
        <v>75</v>
      </c>
    </row>
    <row r="198" spans="1:24" x14ac:dyDescent="0.2">
      <c r="A198" t="str">
        <f>'HOUSE DATA'!A171</f>
        <v>KY-01</v>
      </c>
      <c r="B198" s="10">
        <f>'HOUSE DATA'!B171</f>
        <v>-38.632420521270561</v>
      </c>
      <c r="C198" s="10">
        <f t="shared" si="18"/>
        <v>-0.29999999999999893</v>
      </c>
      <c r="D198" s="10">
        <f>2*('HOUSE DATA'!D171*('HOUSE DASHBOARD'!$B$14-42.4)+'HOUSE DATA'!E171*('HOUSE DASHBOARD'!$B$15-54.2)+'HOUSE DATA'!F171*('HOUSE DASHBOARD'!$B$16-85.4)+'HOUSE DATA'!G171*('HOUSE DASHBOARD'!$B$17-60.7)+'HOUSE DATA'!H171*('HOUSE DASHBOARD'!$B$18-53.5))/100</f>
        <v>0</v>
      </c>
      <c r="E198" s="10">
        <f>2*('HOUSE DATA'!I171*('HOUSE DASHBOARD'!$B$21-55.6)+(100-'HOUSE DATA'!I171)*('HOUSE DASHBOARD'!$B$22-44.9))/100</f>
        <v>0</v>
      </c>
      <c r="F198" s="10">
        <f>0</f>
        <v>0</v>
      </c>
      <c r="G198" s="10">
        <f t="shared" si="19"/>
        <v>0</v>
      </c>
      <c r="H198" s="2">
        <f>'HOUSE DATA'!C171+C198+G198</f>
        <v>-38.479999999999997</v>
      </c>
      <c r="I198" s="3" t="str">
        <f t="shared" si="20"/>
        <v>R</v>
      </c>
      <c r="J198" s="1" t="str">
        <f>'HOUSE DATA'!K171</f>
        <v>R</v>
      </c>
      <c r="K198" s="1" t="str">
        <f t="shared" si="21"/>
        <v>—</v>
      </c>
      <c r="L198" t="str">
        <f t="shared" si="22"/>
        <v>R+38.48</v>
      </c>
      <c r="M198">
        <f>COUNTIF($H$31:$H$465,"&gt;"&amp;H198)+COUNTIF($H$31:H198,H198)</f>
        <v>423</v>
      </c>
      <c r="N198" s="7">
        <f t="shared" si="23"/>
        <v>38.479999999999997</v>
      </c>
      <c r="O198">
        <f>COUNTIF($N$31:$N$465,"&lt;"&amp;N198)+COUNTIF($N$31:N198,N198)</f>
        <v>329</v>
      </c>
      <c r="P198" s="10">
        <f>'HOUSE DATA'!M171</f>
        <v>-49.44</v>
      </c>
      <c r="Q198" t="str">
        <f>'HOUSE DATA'!N171</f>
        <v>2024 HOUSE / prior substitute</v>
      </c>
      <c r="R198" s="10">
        <f t="shared" si="24"/>
        <v>10.96</v>
      </c>
      <c r="S198" s="10">
        <f t="shared" si="25"/>
        <v>10.807579478729437</v>
      </c>
      <c r="T198" s="10">
        <f t="shared" si="26"/>
        <v>0.15242052127056382</v>
      </c>
      <c r="U198" t="s">
        <v>73</v>
      </c>
      <c r="W198" t="s">
        <v>74</v>
      </c>
      <c r="X198" t="s">
        <v>75</v>
      </c>
    </row>
    <row r="199" spans="1:24" x14ac:dyDescent="0.2">
      <c r="A199" t="str">
        <f>'HOUSE DATA'!A172</f>
        <v>KY-02</v>
      </c>
      <c r="B199" s="10">
        <f>'HOUSE DATA'!B172</f>
        <v>-35.990637663153493</v>
      </c>
      <c r="C199" s="10">
        <f t="shared" si="18"/>
        <v>-0.29999999999999893</v>
      </c>
      <c r="D199" s="10">
        <f>2*('HOUSE DATA'!D172*('HOUSE DASHBOARD'!$B$14-42.4)+'HOUSE DATA'!E172*('HOUSE DASHBOARD'!$B$15-54.2)+'HOUSE DATA'!F172*('HOUSE DASHBOARD'!$B$16-85.4)+'HOUSE DATA'!G172*('HOUSE DASHBOARD'!$B$17-60.7)+'HOUSE DATA'!H172*('HOUSE DASHBOARD'!$B$18-53.5))/100</f>
        <v>0</v>
      </c>
      <c r="E199" s="10">
        <f>2*('HOUSE DATA'!I172*('HOUSE DASHBOARD'!$B$21-55.6)+(100-'HOUSE DATA'!I172)*('HOUSE DASHBOARD'!$B$22-44.9))/100</f>
        <v>0</v>
      </c>
      <c r="F199" s="10">
        <f>0</f>
        <v>0</v>
      </c>
      <c r="G199" s="10">
        <f t="shared" si="19"/>
        <v>0</v>
      </c>
      <c r="H199" s="2">
        <f>'HOUSE DATA'!C172+C199+G199</f>
        <v>-35.239999999999988</v>
      </c>
      <c r="I199" s="3" t="str">
        <f t="shared" si="20"/>
        <v>R</v>
      </c>
      <c r="J199" s="1" t="str">
        <f>'HOUSE DATA'!K172</f>
        <v>R</v>
      </c>
      <c r="K199" s="1" t="str">
        <f t="shared" si="21"/>
        <v>—</v>
      </c>
      <c r="L199" t="str">
        <f t="shared" si="22"/>
        <v>R+35.24</v>
      </c>
      <c r="M199">
        <f>COUNTIF($H$31:$H$465,"&gt;"&amp;H199)+COUNTIF($H$31:H199,H199)</f>
        <v>414</v>
      </c>
      <c r="N199" s="7">
        <f t="shared" si="23"/>
        <v>35.239999999999988</v>
      </c>
      <c r="O199">
        <f>COUNTIF($N$31:$N$465,"&lt;"&amp;N199)+COUNTIF($N$31:N199,N199)</f>
        <v>311</v>
      </c>
      <c r="P199" s="10">
        <f>'HOUSE DATA'!M172</f>
        <v>-46.199999999999989</v>
      </c>
      <c r="Q199" t="str">
        <f>'HOUSE DATA'!N172</f>
        <v>2024 HOUSE / prior substitute</v>
      </c>
      <c r="R199" s="10">
        <f t="shared" si="24"/>
        <v>10.96</v>
      </c>
      <c r="S199" s="10">
        <f t="shared" si="25"/>
        <v>10.209362336846496</v>
      </c>
      <c r="T199" s="10">
        <f t="shared" si="26"/>
        <v>0.75063766315350477</v>
      </c>
      <c r="U199" t="s">
        <v>73</v>
      </c>
      <c r="W199" t="s">
        <v>74</v>
      </c>
      <c r="X199" t="s">
        <v>75</v>
      </c>
    </row>
    <row r="200" spans="1:24" x14ac:dyDescent="0.2">
      <c r="A200" t="str">
        <f>'HOUSE DATA'!A173</f>
        <v>KY-03</v>
      </c>
      <c r="B200" s="10">
        <f>'HOUSE DATA'!B173</f>
        <v>34.749712070972933</v>
      </c>
      <c r="C200" s="10">
        <f t="shared" si="18"/>
        <v>-0.29999999999999893</v>
      </c>
      <c r="D200" s="10">
        <f>2*('HOUSE DATA'!D173*('HOUSE DASHBOARD'!$B$14-42.4)+'HOUSE DATA'!E173*('HOUSE DASHBOARD'!$B$15-54.2)+'HOUSE DATA'!F173*('HOUSE DASHBOARD'!$B$16-85.4)+'HOUSE DATA'!G173*('HOUSE DASHBOARD'!$B$17-60.7)+'HOUSE DATA'!H173*('HOUSE DASHBOARD'!$B$18-53.5))/100</f>
        <v>0</v>
      </c>
      <c r="E200" s="10">
        <f>2*('HOUSE DATA'!I173*('HOUSE DASHBOARD'!$B$21-55.6)+(100-'HOUSE DATA'!I173)*('HOUSE DASHBOARD'!$B$22-44.9))/100</f>
        <v>0</v>
      </c>
      <c r="F200" s="10">
        <f>0</f>
        <v>0</v>
      </c>
      <c r="G200" s="10">
        <f t="shared" si="19"/>
        <v>0</v>
      </c>
      <c r="H200" s="2">
        <f>'HOUSE DATA'!C173+C200+G200</f>
        <v>34.880000000000003</v>
      </c>
      <c r="I200" s="3" t="str">
        <f t="shared" si="20"/>
        <v>D</v>
      </c>
      <c r="J200" s="1" t="str">
        <f>'HOUSE DATA'!K173</f>
        <v>D</v>
      </c>
      <c r="K200" s="1" t="str">
        <f t="shared" si="21"/>
        <v>—</v>
      </c>
      <c r="L200" t="str">
        <f t="shared" si="22"/>
        <v>D+34.88</v>
      </c>
      <c r="M200">
        <f>COUNTIF($H$31:$H$465,"&gt;"&amp;H200)+COUNTIF($H$31:H200,H200)</f>
        <v>103</v>
      </c>
      <c r="N200" s="7">
        <f t="shared" si="23"/>
        <v>34.880000000000003</v>
      </c>
      <c r="O200">
        <f>COUNTIF($N$31:$N$465,"&lt;"&amp;N200)+COUNTIF($N$31:N200,N200)</f>
        <v>308</v>
      </c>
      <c r="P200" s="10">
        <f>'HOUSE DATA'!M173</f>
        <v>23.92</v>
      </c>
      <c r="Q200" t="str">
        <f>'HOUSE DATA'!N173</f>
        <v>2024 HOUSE / prior substitute</v>
      </c>
      <c r="R200" s="10">
        <f t="shared" si="24"/>
        <v>10.96</v>
      </c>
      <c r="S200" s="10">
        <f t="shared" si="25"/>
        <v>10.829712070972931</v>
      </c>
      <c r="T200" s="10">
        <f t="shared" si="26"/>
        <v>0.13028792902706954</v>
      </c>
      <c r="U200" t="s">
        <v>73</v>
      </c>
      <c r="W200" t="s">
        <v>74</v>
      </c>
      <c r="X200" t="s">
        <v>75</v>
      </c>
    </row>
    <row r="201" spans="1:24" x14ac:dyDescent="0.2">
      <c r="A201" t="str">
        <f>'HOUSE DATA'!A174</f>
        <v>KY-04</v>
      </c>
      <c r="B201" s="10">
        <f>'HOUSE DATA'!B174</f>
        <v>-26.691835940761646</v>
      </c>
      <c r="C201" s="10">
        <f t="shared" si="18"/>
        <v>-0.29999999999999893</v>
      </c>
      <c r="D201" s="10">
        <f>2*('HOUSE DATA'!D174*('HOUSE DASHBOARD'!$B$14-42.4)+'HOUSE DATA'!E174*('HOUSE DASHBOARD'!$B$15-54.2)+'HOUSE DATA'!F174*('HOUSE DASHBOARD'!$B$16-85.4)+'HOUSE DATA'!G174*('HOUSE DASHBOARD'!$B$17-60.7)+'HOUSE DATA'!H174*('HOUSE DASHBOARD'!$B$18-53.5))/100</f>
        <v>0</v>
      </c>
      <c r="E201" s="10">
        <f>2*('HOUSE DATA'!I174*('HOUSE DASHBOARD'!$B$21-55.6)+(100-'HOUSE DATA'!I174)*('HOUSE DASHBOARD'!$B$22-44.9))/100</f>
        <v>0</v>
      </c>
      <c r="F201" s="10">
        <f>0</f>
        <v>0</v>
      </c>
      <c r="G201" s="10">
        <f t="shared" si="19"/>
        <v>0</v>
      </c>
      <c r="H201" s="2">
        <f>'HOUSE DATA'!C174+C201+G201</f>
        <v>-25.009999999999998</v>
      </c>
      <c r="I201" s="3" t="str">
        <f t="shared" si="20"/>
        <v>R</v>
      </c>
      <c r="J201" s="1" t="str">
        <f>'HOUSE DATA'!K174</f>
        <v>R</v>
      </c>
      <c r="K201" s="1" t="str">
        <f t="shared" si="21"/>
        <v>—</v>
      </c>
      <c r="L201" t="str">
        <f t="shared" si="22"/>
        <v>R+25.01</v>
      </c>
      <c r="M201">
        <f>COUNTIF($H$31:$H$465,"&gt;"&amp;H201)+COUNTIF($H$31:H201,H201)</f>
        <v>383</v>
      </c>
      <c r="N201" s="7">
        <f t="shared" si="23"/>
        <v>25.009999999999998</v>
      </c>
      <c r="O201">
        <f>COUNTIF($N$31:$N$465,"&lt;"&amp;N201)+COUNTIF($N$31:N201,N201)</f>
        <v>238</v>
      </c>
      <c r="P201" s="10">
        <f>'HOUSE DATA'!M174</f>
        <v>-35.56</v>
      </c>
      <c r="Q201" t="str">
        <f>'HOUSE DATA'!N174</f>
        <v>2024 PRESIDENT (open seat)</v>
      </c>
      <c r="R201" s="10">
        <f t="shared" si="24"/>
        <v>10.550000000000004</v>
      </c>
      <c r="S201" s="10">
        <f t="shared" si="25"/>
        <v>8.8681640592383566</v>
      </c>
      <c r="T201" s="10">
        <f t="shared" si="26"/>
        <v>1.6818359407616477</v>
      </c>
      <c r="U201" t="s">
        <v>73</v>
      </c>
      <c r="W201" t="s">
        <v>74</v>
      </c>
      <c r="X201" t="s">
        <v>75</v>
      </c>
    </row>
    <row r="202" spans="1:24" x14ac:dyDescent="0.2">
      <c r="A202" t="str">
        <f>'HOUSE DATA'!A175</f>
        <v>KY-05</v>
      </c>
      <c r="B202" s="10">
        <f>'HOUSE DATA'!B175</f>
        <v>-54.657140378934834</v>
      </c>
      <c r="C202" s="10">
        <f t="shared" si="18"/>
        <v>-0.29999999999999893</v>
      </c>
      <c r="D202" s="10">
        <f>2*('HOUSE DATA'!D175*('HOUSE DASHBOARD'!$B$14-42.4)+'HOUSE DATA'!E175*('HOUSE DASHBOARD'!$B$15-54.2)+'HOUSE DATA'!F175*('HOUSE DASHBOARD'!$B$16-85.4)+'HOUSE DATA'!G175*('HOUSE DASHBOARD'!$B$17-60.7)+'HOUSE DATA'!H175*('HOUSE DASHBOARD'!$B$18-53.5))/100</f>
        <v>0</v>
      </c>
      <c r="E202" s="10">
        <f>2*('HOUSE DATA'!I175*('HOUSE DASHBOARD'!$B$21-55.6)+(100-'HOUSE DATA'!I175)*('HOUSE DASHBOARD'!$B$22-44.9))/100</f>
        <v>0</v>
      </c>
      <c r="F202" s="10">
        <f>0</f>
        <v>0</v>
      </c>
      <c r="G202" s="10">
        <f t="shared" si="19"/>
        <v>0</v>
      </c>
      <c r="H202" s="2">
        <f>'HOUSE DATA'!C175+C202+G202</f>
        <v>-54.340000000000011</v>
      </c>
      <c r="I202" s="3" t="str">
        <f t="shared" si="20"/>
        <v>R</v>
      </c>
      <c r="J202" s="1" t="str">
        <f>'HOUSE DATA'!K175</f>
        <v>R</v>
      </c>
      <c r="K202" s="1" t="str">
        <f t="shared" si="21"/>
        <v>—</v>
      </c>
      <c r="L202" t="str">
        <f t="shared" si="22"/>
        <v>R+54.34</v>
      </c>
      <c r="M202">
        <f>COUNTIF($H$31:$H$465,"&gt;"&amp;H202)+COUNTIF($H$31:H202,H202)</f>
        <v>434</v>
      </c>
      <c r="N202" s="7">
        <f t="shared" si="23"/>
        <v>54.340000000000011</v>
      </c>
      <c r="O202">
        <f>COUNTIF($N$31:$N$465,"&lt;"&amp;N202)+COUNTIF($N$31:N202,N202)</f>
        <v>381</v>
      </c>
      <c r="P202" s="10">
        <f>'HOUSE DATA'!M175</f>
        <v>-65.300000000000011</v>
      </c>
      <c r="Q202" t="str">
        <f>'HOUSE DATA'!N175</f>
        <v>2024 HOUSE / prior substitute</v>
      </c>
      <c r="R202" s="10">
        <f t="shared" si="24"/>
        <v>10.96</v>
      </c>
      <c r="S202" s="10">
        <f t="shared" si="25"/>
        <v>10.642859621065178</v>
      </c>
      <c r="T202" s="10">
        <f t="shared" si="26"/>
        <v>0.31714037893482327</v>
      </c>
      <c r="U202" t="s">
        <v>73</v>
      </c>
      <c r="W202" t="s">
        <v>74</v>
      </c>
      <c r="X202" t="s">
        <v>75</v>
      </c>
    </row>
    <row r="203" spans="1:24" x14ac:dyDescent="0.2">
      <c r="A203" t="str">
        <f>'HOUSE DATA'!A176</f>
        <v>KY-06</v>
      </c>
      <c r="B203" s="10">
        <f>'HOUSE DATA'!B176</f>
        <v>-4.8371076356307467</v>
      </c>
      <c r="C203" s="10">
        <f t="shared" si="18"/>
        <v>-0.29999999999999893</v>
      </c>
      <c r="D203" s="10">
        <f>2*('HOUSE DATA'!D176*('HOUSE DASHBOARD'!$B$14-42.4)+'HOUSE DATA'!E176*('HOUSE DASHBOARD'!$B$15-54.2)+'HOUSE DATA'!F176*('HOUSE DASHBOARD'!$B$16-85.4)+'HOUSE DATA'!G176*('HOUSE DASHBOARD'!$B$17-60.7)+'HOUSE DATA'!H176*('HOUSE DASHBOARD'!$B$18-53.5))/100</f>
        <v>0</v>
      </c>
      <c r="E203" s="10">
        <f>2*('HOUSE DATA'!I176*('HOUSE DASHBOARD'!$B$21-55.6)+(100-'HOUSE DATA'!I176)*('HOUSE DASHBOARD'!$B$22-44.9))/100</f>
        <v>0</v>
      </c>
      <c r="F203" s="10">
        <f>0</f>
        <v>0</v>
      </c>
      <c r="G203" s="10">
        <f t="shared" si="19"/>
        <v>0</v>
      </c>
      <c r="H203" s="2">
        <f>'HOUSE DATA'!C176+C203+G203</f>
        <v>-4.4799999999999986</v>
      </c>
      <c r="I203" s="3" t="str">
        <f t="shared" si="20"/>
        <v>R</v>
      </c>
      <c r="J203" s="1" t="str">
        <f>'HOUSE DATA'!K176</f>
        <v>R</v>
      </c>
      <c r="K203" s="1" t="str">
        <f t="shared" si="21"/>
        <v>—</v>
      </c>
      <c r="L203" t="str">
        <f t="shared" si="22"/>
        <v>R+4.48</v>
      </c>
      <c r="M203">
        <f>COUNTIF($H$31:$H$465,"&gt;"&amp;H203)+COUNTIF($H$31:H203,H203)</f>
        <v>265</v>
      </c>
      <c r="N203" s="7">
        <f t="shared" si="23"/>
        <v>4.4799999999999986</v>
      </c>
      <c r="O203">
        <f>COUNTIF($N$31:$N$465,"&lt;"&amp;N203)+COUNTIF($N$31:N203,N203)</f>
        <v>38</v>
      </c>
      <c r="P203" s="10">
        <f>'HOUSE DATA'!M176</f>
        <v>-15.03</v>
      </c>
      <c r="Q203" t="str">
        <f>'HOUSE DATA'!N176</f>
        <v>2024 PRESIDENT (open seat)</v>
      </c>
      <c r="R203" s="10">
        <f t="shared" si="24"/>
        <v>10.55</v>
      </c>
      <c r="S203" s="10">
        <f t="shared" si="25"/>
        <v>10.192892364369253</v>
      </c>
      <c r="T203" s="10">
        <f t="shared" si="26"/>
        <v>0.3571076356307481</v>
      </c>
      <c r="U203" t="s">
        <v>73</v>
      </c>
      <c r="W203" t="s">
        <v>74</v>
      </c>
      <c r="X203" t="s">
        <v>75</v>
      </c>
    </row>
    <row r="204" spans="1:24" x14ac:dyDescent="0.2">
      <c r="A204" t="str">
        <f>'HOUSE DATA'!A177</f>
        <v>LA-01</v>
      </c>
      <c r="B204" s="10">
        <f>'HOUSE DATA'!B177</f>
        <v>-39.713856153647775</v>
      </c>
      <c r="C204" s="10">
        <f t="shared" si="18"/>
        <v>-0.29999999999999893</v>
      </c>
      <c r="D204" s="10">
        <f>2*('HOUSE DATA'!D177*('HOUSE DASHBOARD'!$B$14-42.4)+'HOUSE DATA'!E177*('HOUSE DASHBOARD'!$B$15-54.2)+'HOUSE DATA'!F177*('HOUSE DASHBOARD'!$B$16-85.4)+'HOUSE DATA'!G177*('HOUSE DASHBOARD'!$B$17-60.7)+'HOUSE DATA'!H177*('HOUSE DASHBOARD'!$B$18-53.5))/100</f>
        <v>0</v>
      </c>
      <c r="E204" s="10">
        <f>2*('HOUSE DATA'!I177*('HOUSE DASHBOARD'!$B$21-55.6)+(100-'HOUSE DATA'!I177)*('HOUSE DASHBOARD'!$B$22-44.9))/100</f>
        <v>0</v>
      </c>
      <c r="F204" s="10">
        <f>0</f>
        <v>0</v>
      </c>
      <c r="G204" s="10">
        <f t="shared" si="19"/>
        <v>0</v>
      </c>
      <c r="H204" s="2">
        <f>'HOUSE DATA'!C177+C204+G204</f>
        <v>-38.989135300101722</v>
      </c>
      <c r="I204" s="3" t="str">
        <f t="shared" si="20"/>
        <v>R</v>
      </c>
      <c r="J204" s="1" t="str">
        <f>'HOUSE DATA'!K177</f>
        <v>R</v>
      </c>
      <c r="K204" s="1" t="str">
        <f t="shared" si="21"/>
        <v>—</v>
      </c>
      <c r="L204" t="str">
        <f t="shared" si="22"/>
        <v>R+38.99</v>
      </c>
      <c r="M204">
        <f>COUNTIF($H$31:$H$465,"&gt;"&amp;H204)+COUNTIF($H$31:H204,H204)</f>
        <v>424</v>
      </c>
      <c r="N204" s="7">
        <f t="shared" si="23"/>
        <v>38.989135300101722</v>
      </c>
      <c r="O204">
        <f>COUNTIF($N$31:$N$465,"&lt;"&amp;N204)+COUNTIF($N$31:N204,N204)</f>
        <v>332</v>
      </c>
      <c r="P204" s="10">
        <f>'HOUSE DATA'!M177</f>
        <v>-49.949135300101723</v>
      </c>
      <c r="Q204" t="str">
        <f>'HOUSE DATA'!N177</f>
        <v>2024 HOUSE / prior substitute</v>
      </c>
      <c r="R204" s="10">
        <f t="shared" si="24"/>
        <v>10.96</v>
      </c>
      <c r="S204" s="10">
        <f t="shared" si="25"/>
        <v>10.235279146453948</v>
      </c>
      <c r="T204" s="10">
        <f t="shared" si="26"/>
        <v>0.72472085354605298</v>
      </c>
      <c r="U204" t="s">
        <v>73</v>
      </c>
      <c r="W204" t="s">
        <v>74</v>
      </c>
      <c r="X204" t="s">
        <v>75</v>
      </c>
    </row>
    <row r="205" spans="1:24" x14ac:dyDescent="0.2">
      <c r="A205" t="str">
        <f>'HOUSE DATA'!A178</f>
        <v>LA-02</v>
      </c>
      <c r="B205" s="10">
        <f>'HOUSE DATA'!B178</f>
        <v>70.606695698950745</v>
      </c>
      <c r="C205" s="10">
        <f t="shared" si="18"/>
        <v>-0.29999999999999893</v>
      </c>
      <c r="D205" s="10">
        <f>2*('HOUSE DATA'!D178*('HOUSE DASHBOARD'!$B$14-42.4)+'HOUSE DATA'!E178*('HOUSE DASHBOARD'!$B$15-54.2)+'HOUSE DATA'!F178*('HOUSE DASHBOARD'!$B$16-85.4)+'HOUSE DATA'!G178*('HOUSE DASHBOARD'!$B$17-60.7)+'HOUSE DATA'!H178*('HOUSE DASHBOARD'!$B$18-53.5))/100</f>
        <v>0</v>
      </c>
      <c r="E205" s="10">
        <f>2*('HOUSE DATA'!I178*('HOUSE DASHBOARD'!$B$21-55.6)+(100-'HOUSE DATA'!I178)*('HOUSE DASHBOARD'!$B$22-44.9))/100</f>
        <v>0</v>
      </c>
      <c r="F205" s="10">
        <f>0</f>
        <v>0</v>
      </c>
      <c r="G205" s="10">
        <f t="shared" si="19"/>
        <v>0</v>
      </c>
      <c r="H205" s="2">
        <f>'HOUSE DATA'!C178+C205+G205</f>
        <v>68.117157157157166</v>
      </c>
      <c r="I205" s="3" t="str">
        <f t="shared" si="20"/>
        <v>D</v>
      </c>
      <c r="J205" s="1" t="str">
        <f>'HOUSE DATA'!K178</f>
        <v>D</v>
      </c>
      <c r="K205" s="1" t="str">
        <f t="shared" si="21"/>
        <v>—</v>
      </c>
      <c r="L205" t="str">
        <f t="shared" si="22"/>
        <v>D+68.12</v>
      </c>
      <c r="M205">
        <f>COUNTIF($H$31:$H$465,"&gt;"&amp;H205)+COUNTIF($H$31:H205,H205)</f>
        <v>19</v>
      </c>
      <c r="N205" s="7">
        <f t="shared" si="23"/>
        <v>68.117157157157166</v>
      </c>
      <c r="O205">
        <f>COUNTIF($N$31:$N$465,"&lt;"&amp;N205)+COUNTIF($N$31:N205,N205)</f>
        <v>407</v>
      </c>
      <c r="P205" s="10">
        <f>'HOUSE DATA'!M178</f>
        <v>57.157157157157165</v>
      </c>
      <c r="Q205" t="str">
        <f>'HOUSE DATA'!N178</f>
        <v>2024 HOUSE / prior substitute</v>
      </c>
      <c r="R205" s="10">
        <f t="shared" si="24"/>
        <v>10.96</v>
      </c>
      <c r="S205" s="10">
        <f t="shared" si="25"/>
        <v>13.449538541793579</v>
      </c>
      <c r="T205" s="10">
        <f t="shared" si="26"/>
        <v>-2.4895385417935785</v>
      </c>
      <c r="U205" t="s">
        <v>87</v>
      </c>
      <c r="W205" t="s">
        <v>88</v>
      </c>
      <c r="X205" t="s">
        <v>89</v>
      </c>
    </row>
    <row r="206" spans="1:24" x14ac:dyDescent="0.2">
      <c r="A206" t="str">
        <f>'HOUSE DATA'!A179</f>
        <v>LA-03</v>
      </c>
      <c r="B206" s="10">
        <f>'HOUSE DATA'!B179</f>
        <v>-28.132047547931467</v>
      </c>
      <c r="C206" s="10">
        <f t="shared" si="18"/>
        <v>-0.29999999999999893</v>
      </c>
      <c r="D206" s="10">
        <f>2*('HOUSE DATA'!D179*('HOUSE DASHBOARD'!$B$14-42.4)+'HOUSE DATA'!E179*('HOUSE DASHBOARD'!$B$15-54.2)+'HOUSE DATA'!F179*('HOUSE DASHBOARD'!$B$16-85.4)+'HOUSE DATA'!G179*('HOUSE DASHBOARD'!$B$17-60.7)+'HOUSE DATA'!H179*('HOUSE DASHBOARD'!$B$18-53.5))/100</f>
        <v>0</v>
      </c>
      <c r="E206" s="10">
        <f>2*('HOUSE DATA'!I179*('HOUSE DASHBOARD'!$B$21-55.6)+(100-'HOUSE DATA'!I179)*('HOUSE DASHBOARD'!$B$22-44.9))/100</f>
        <v>0</v>
      </c>
      <c r="F206" s="10">
        <f>0</f>
        <v>0</v>
      </c>
      <c r="G206" s="10">
        <f t="shared" si="19"/>
        <v>0</v>
      </c>
      <c r="H206" s="2">
        <f>'HOUSE DATA'!C179+C206+G206</f>
        <v>-28.839999999999996</v>
      </c>
      <c r="I206" s="3" t="str">
        <f t="shared" si="20"/>
        <v>R</v>
      </c>
      <c r="J206" s="1" t="str">
        <f>'HOUSE DATA'!K179</f>
        <v>R</v>
      </c>
      <c r="K206" s="1" t="str">
        <f t="shared" si="21"/>
        <v>—</v>
      </c>
      <c r="L206" t="str">
        <f t="shared" si="22"/>
        <v>R+28.84</v>
      </c>
      <c r="M206">
        <f>COUNTIF($H$31:$H$465,"&gt;"&amp;H206)+COUNTIF($H$31:H206,H206)</f>
        <v>398</v>
      </c>
      <c r="N206" s="7">
        <f t="shared" si="23"/>
        <v>28.839999999999996</v>
      </c>
      <c r="O206">
        <f>COUNTIF($N$31:$N$465,"&lt;"&amp;N206)+COUNTIF($N$31:N206,N206)</f>
        <v>270</v>
      </c>
      <c r="P206" s="10">
        <f>'HOUSE DATA'!M179</f>
        <v>-39.799999999999997</v>
      </c>
      <c r="Q206" t="str">
        <f>'HOUSE DATA'!N179</f>
        <v>2024 HOUSE / prior substitute</v>
      </c>
      <c r="R206" s="10">
        <f t="shared" si="24"/>
        <v>10.96</v>
      </c>
      <c r="S206" s="10">
        <f t="shared" si="25"/>
        <v>11.66795245206853</v>
      </c>
      <c r="T206" s="10">
        <f t="shared" si="26"/>
        <v>-0.70795245206852897</v>
      </c>
      <c r="U206" t="s">
        <v>73</v>
      </c>
      <c r="W206" t="s">
        <v>74</v>
      </c>
      <c r="X206" t="s">
        <v>75</v>
      </c>
    </row>
    <row r="207" spans="1:24" x14ac:dyDescent="0.2">
      <c r="A207" t="str">
        <f>'HOUSE DATA'!A180</f>
        <v>LA-04</v>
      </c>
      <c r="B207" s="10">
        <f>'HOUSE DATA'!B180</f>
        <v>-22.459891046462804</v>
      </c>
      <c r="C207" s="10">
        <f t="shared" si="18"/>
        <v>-0.29999999999999893</v>
      </c>
      <c r="D207" s="10">
        <f>2*('HOUSE DATA'!D180*('HOUSE DASHBOARD'!$B$14-42.4)+'HOUSE DATA'!E180*('HOUSE DASHBOARD'!$B$15-54.2)+'HOUSE DATA'!F180*('HOUSE DASHBOARD'!$B$16-85.4)+'HOUSE DATA'!G180*('HOUSE DASHBOARD'!$B$17-60.7)+'HOUSE DATA'!H180*('HOUSE DASHBOARD'!$B$18-53.5))/100</f>
        <v>0</v>
      </c>
      <c r="E207" s="10">
        <f>2*('HOUSE DATA'!I180*('HOUSE DASHBOARD'!$B$21-55.6)+(100-'HOUSE DATA'!I180)*('HOUSE DASHBOARD'!$B$22-44.9))/100</f>
        <v>0</v>
      </c>
      <c r="F207" s="10">
        <f>0</f>
        <v>0</v>
      </c>
      <c r="G207" s="10">
        <f t="shared" si="19"/>
        <v>0</v>
      </c>
      <c r="H207" s="2">
        <f>'HOUSE DATA'!C180+C207+G207</f>
        <v>-23.655384615384612</v>
      </c>
      <c r="I207" s="3" t="str">
        <f t="shared" si="20"/>
        <v>R</v>
      </c>
      <c r="J207" s="1" t="str">
        <f>'HOUSE DATA'!K180</f>
        <v>R</v>
      </c>
      <c r="K207" s="1" t="str">
        <f t="shared" si="21"/>
        <v>—</v>
      </c>
      <c r="L207" t="str">
        <f t="shared" si="22"/>
        <v>R+23.66</v>
      </c>
      <c r="M207">
        <f>COUNTIF($H$31:$H$465,"&gt;"&amp;H207)+COUNTIF($H$31:H207,H207)</f>
        <v>379</v>
      </c>
      <c r="N207" s="7">
        <f t="shared" si="23"/>
        <v>23.655384615384612</v>
      </c>
      <c r="O207">
        <f>COUNTIF($N$31:$N$465,"&lt;"&amp;N207)+COUNTIF($N$31:N207,N207)</f>
        <v>225</v>
      </c>
      <c r="P207" s="10">
        <f>'HOUSE DATA'!M180</f>
        <v>-34.615384615384613</v>
      </c>
      <c r="Q207" t="str">
        <f>'HOUSE DATA'!N180</f>
        <v>2024 HOUSE / prior substitute</v>
      </c>
      <c r="R207" s="10">
        <f t="shared" si="24"/>
        <v>10.96</v>
      </c>
      <c r="S207" s="10">
        <f t="shared" si="25"/>
        <v>12.155493568921809</v>
      </c>
      <c r="T207" s="10">
        <f t="shared" si="26"/>
        <v>-1.1954935689218082</v>
      </c>
      <c r="U207" t="s">
        <v>73</v>
      </c>
      <c r="W207" t="s">
        <v>74</v>
      </c>
      <c r="X207" t="s">
        <v>75</v>
      </c>
    </row>
    <row r="208" spans="1:24" x14ac:dyDescent="0.2">
      <c r="A208" t="str">
        <f>'HOUSE DATA'!A181</f>
        <v>LA-05</v>
      </c>
      <c r="B208" s="10">
        <f>'HOUSE DATA'!B181</f>
        <v>-21.991069151289334</v>
      </c>
      <c r="C208" s="10">
        <f t="shared" si="18"/>
        <v>-0.29999999999999893</v>
      </c>
      <c r="D208" s="10">
        <f>2*('HOUSE DATA'!D181*('HOUSE DASHBOARD'!$B$14-42.4)+'HOUSE DATA'!E181*('HOUSE DASHBOARD'!$B$15-54.2)+'HOUSE DATA'!F181*('HOUSE DASHBOARD'!$B$16-85.4)+'HOUSE DATA'!G181*('HOUSE DASHBOARD'!$B$17-60.7)+'HOUSE DATA'!H181*('HOUSE DASHBOARD'!$B$18-53.5))/100</f>
        <v>0</v>
      </c>
      <c r="E208" s="10">
        <f>2*('HOUSE DATA'!I181*('HOUSE DASHBOARD'!$B$21-55.6)+(100-'HOUSE DATA'!I181)*('HOUSE DASHBOARD'!$B$22-44.9))/100</f>
        <v>0</v>
      </c>
      <c r="F208" s="10">
        <f>0</f>
        <v>0</v>
      </c>
      <c r="G208" s="10">
        <f t="shared" si="19"/>
        <v>0</v>
      </c>
      <c r="H208" s="2">
        <f>'HOUSE DATA'!C181+C208+G208</f>
        <v>-23.489999999999995</v>
      </c>
      <c r="I208" s="3" t="str">
        <f t="shared" si="20"/>
        <v>R</v>
      </c>
      <c r="J208" s="1" t="str">
        <f>'HOUSE DATA'!K181</f>
        <v>R</v>
      </c>
      <c r="K208" s="1" t="str">
        <f t="shared" si="21"/>
        <v>—</v>
      </c>
      <c r="L208" t="str">
        <f t="shared" si="22"/>
        <v>R+23.49</v>
      </c>
      <c r="M208">
        <f>COUNTIF($H$31:$H$465,"&gt;"&amp;H208)+COUNTIF($H$31:H208,H208)</f>
        <v>377</v>
      </c>
      <c r="N208" s="7">
        <f t="shared" si="23"/>
        <v>23.489999999999995</v>
      </c>
      <c r="O208">
        <f>COUNTIF($N$31:$N$465,"&lt;"&amp;N208)+COUNTIF($N$31:N208,N208)</f>
        <v>221</v>
      </c>
      <c r="P208" s="10">
        <f>'HOUSE DATA'!M181</f>
        <v>-34.04</v>
      </c>
      <c r="Q208" t="str">
        <f>'HOUSE DATA'!N181</f>
        <v>2024 PRESIDENT (open seat)</v>
      </c>
      <c r="R208" s="10">
        <f t="shared" si="24"/>
        <v>10.550000000000004</v>
      </c>
      <c r="S208" s="10">
        <f t="shared" si="25"/>
        <v>12.048930848710665</v>
      </c>
      <c r="T208" s="10">
        <f t="shared" si="26"/>
        <v>-1.4989308487106605</v>
      </c>
      <c r="U208" t="s">
        <v>73</v>
      </c>
      <c r="W208" t="s">
        <v>74</v>
      </c>
      <c r="X208" t="s">
        <v>75</v>
      </c>
    </row>
    <row r="209" spans="1:24" x14ac:dyDescent="0.2">
      <c r="A209" t="str">
        <f>'HOUSE DATA'!A182</f>
        <v>LA-06</v>
      </c>
      <c r="B209" s="10">
        <f>'HOUSE DATA'!B182</f>
        <v>-19.764081324366234</v>
      </c>
      <c r="C209" s="10">
        <f t="shared" si="18"/>
        <v>-0.29999999999999893</v>
      </c>
      <c r="D209" s="10">
        <f>2*('HOUSE DATA'!D182*('HOUSE DASHBOARD'!$B$14-42.4)+'HOUSE DATA'!E182*('HOUSE DASHBOARD'!$B$15-54.2)+'HOUSE DATA'!F182*('HOUSE DASHBOARD'!$B$16-85.4)+'HOUSE DATA'!G182*('HOUSE DASHBOARD'!$B$17-60.7)+'HOUSE DATA'!H182*('HOUSE DASHBOARD'!$B$18-53.5))/100</f>
        <v>0</v>
      </c>
      <c r="E209" s="10">
        <f>2*('HOUSE DATA'!I182*('HOUSE DASHBOARD'!$B$21-55.6)+(100-'HOUSE DATA'!I182)*('HOUSE DASHBOARD'!$B$22-44.9))/100</f>
        <v>0</v>
      </c>
      <c r="F209" s="10">
        <f>0</f>
        <v>0</v>
      </c>
      <c r="G209" s="10">
        <f t="shared" si="19"/>
        <v>0</v>
      </c>
      <c r="H209" s="2">
        <f>'HOUSE DATA'!C182+C209+G209</f>
        <v>-19.54</v>
      </c>
      <c r="I209" s="3" t="str">
        <f t="shared" si="20"/>
        <v>R</v>
      </c>
      <c r="J209" s="1" t="str">
        <f>'HOUSE DATA'!K182</f>
        <v>D</v>
      </c>
      <c r="K209" s="1" t="str">
        <f t="shared" si="21"/>
        <v>D → R</v>
      </c>
      <c r="L209" t="str">
        <f t="shared" si="22"/>
        <v>R+19.54</v>
      </c>
      <c r="M209">
        <f>COUNTIF($H$31:$H$465,"&gt;"&amp;H209)+COUNTIF($H$31:H209,H209)</f>
        <v>355</v>
      </c>
      <c r="N209" s="7">
        <f t="shared" si="23"/>
        <v>19.54</v>
      </c>
      <c r="O209">
        <f>COUNTIF($N$31:$N$465,"&lt;"&amp;N209)+COUNTIF($N$31:N209,N209)</f>
        <v>181</v>
      </c>
      <c r="P209" s="10">
        <f>'HOUSE DATA'!M182</f>
        <v>-30.09</v>
      </c>
      <c r="Q209" t="str">
        <f>'HOUSE DATA'!N182</f>
        <v>2024 PRESIDENT (open seat)</v>
      </c>
      <c r="R209" s="10">
        <f t="shared" si="24"/>
        <v>10.55</v>
      </c>
      <c r="S209" s="10">
        <f t="shared" si="25"/>
        <v>10.325918675633766</v>
      </c>
      <c r="T209" s="10">
        <f t="shared" si="26"/>
        <v>0.22408132436623518</v>
      </c>
      <c r="U209" t="s">
        <v>73</v>
      </c>
      <c r="W209" t="s">
        <v>74</v>
      </c>
      <c r="X209" t="s">
        <v>75</v>
      </c>
    </row>
    <row r="210" spans="1:24" x14ac:dyDescent="0.2">
      <c r="A210" t="str">
        <f>'HOUSE DATA'!A183</f>
        <v>MA-01</v>
      </c>
      <c r="B210" s="10">
        <f>'HOUSE DATA'!B183</f>
        <v>24.951739464452125</v>
      </c>
      <c r="C210" s="10">
        <f t="shared" si="18"/>
        <v>-0.29999999999999893</v>
      </c>
      <c r="D210" s="10">
        <f>2*('HOUSE DATA'!D183*('HOUSE DASHBOARD'!$B$14-42.4)+'HOUSE DATA'!E183*('HOUSE DASHBOARD'!$B$15-54.2)+'HOUSE DATA'!F183*('HOUSE DASHBOARD'!$B$16-85.4)+'HOUSE DATA'!G183*('HOUSE DASHBOARD'!$B$17-60.7)+'HOUSE DATA'!H183*('HOUSE DASHBOARD'!$B$18-53.5))/100</f>
        <v>0</v>
      </c>
      <c r="E210" s="10">
        <f>2*('HOUSE DATA'!I183*('HOUSE DASHBOARD'!$B$21-55.6)+(100-'HOUSE DATA'!I183)*('HOUSE DASHBOARD'!$B$22-44.9))/100</f>
        <v>0</v>
      </c>
      <c r="F210" s="10">
        <f>0</f>
        <v>0</v>
      </c>
      <c r="G210" s="10">
        <f t="shared" si="19"/>
        <v>0</v>
      </c>
      <c r="H210" s="2">
        <f>'HOUSE DATA'!C183+C210+G210</f>
        <v>25.240000000000002</v>
      </c>
      <c r="I210" s="3" t="str">
        <f t="shared" si="20"/>
        <v>D</v>
      </c>
      <c r="J210" s="1" t="str">
        <f>'HOUSE DATA'!K183</f>
        <v>D</v>
      </c>
      <c r="K210" s="1" t="str">
        <f t="shared" si="21"/>
        <v>—</v>
      </c>
      <c r="L210" t="str">
        <f t="shared" si="22"/>
        <v>D+25.24</v>
      </c>
      <c r="M210">
        <f>COUNTIF($H$31:$H$465,"&gt;"&amp;H210)+COUNTIF($H$31:H210,H210)</f>
        <v>143</v>
      </c>
      <c r="N210" s="7">
        <f t="shared" si="23"/>
        <v>25.240000000000002</v>
      </c>
      <c r="O210">
        <f>COUNTIF($N$31:$N$465,"&lt;"&amp;N210)+COUNTIF($N$31:N210,N210)</f>
        <v>240</v>
      </c>
      <c r="P210" s="10">
        <f>'HOUSE DATA'!M183</f>
        <v>14.280000000000001</v>
      </c>
      <c r="Q210" t="str">
        <f>'HOUSE DATA'!N183</f>
        <v>2024 HOUSE / prior substitute</v>
      </c>
      <c r="R210" s="10">
        <f t="shared" si="24"/>
        <v>10.96</v>
      </c>
      <c r="S210" s="10">
        <f t="shared" si="25"/>
        <v>10.671739464452124</v>
      </c>
      <c r="T210" s="10">
        <f t="shared" si="26"/>
        <v>0.28826053554787734</v>
      </c>
      <c r="U210" t="s">
        <v>87</v>
      </c>
      <c r="W210" t="s">
        <v>88</v>
      </c>
      <c r="X210" t="s">
        <v>89</v>
      </c>
    </row>
    <row r="211" spans="1:24" x14ac:dyDescent="0.2">
      <c r="A211" t="str">
        <f>'HOUSE DATA'!A184</f>
        <v>MA-02</v>
      </c>
      <c r="B211" s="10">
        <f>'HOUSE DATA'!B184</f>
        <v>33.234778681850486</v>
      </c>
      <c r="C211" s="10">
        <f t="shared" si="18"/>
        <v>-0.29999999999999893</v>
      </c>
      <c r="D211" s="10">
        <f>2*('HOUSE DATA'!D184*('HOUSE DASHBOARD'!$B$14-42.4)+'HOUSE DATA'!E184*('HOUSE DASHBOARD'!$B$15-54.2)+'HOUSE DATA'!F184*('HOUSE DASHBOARD'!$B$16-85.4)+'HOUSE DATA'!G184*('HOUSE DASHBOARD'!$B$17-60.7)+'HOUSE DATA'!H184*('HOUSE DASHBOARD'!$B$18-53.5))/100</f>
        <v>0</v>
      </c>
      <c r="E211" s="10">
        <f>2*('HOUSE DATA'!I184*('HOUSE DASHBOARD'!$B$21-55.6)+(100-'HOUSE DATA'!I184)*('HOUSE DASHBOARD'!$B$22-44.9))/100</f>
        <v>0</v>
      </c>
      <c r="F211" s="10">
        <f>0</f>
        <v>0</v>
      </c>
      <c r="G211" s="10">
        <f t="shared" si="19"/>
        <v>0</v>
      </c>
      <c r="H211" s="2">
        <f>'HOUSE DATA'!C184+C211+G211</f>
        <v>35.44</v>
      </c>
      <c r="I211" s="3" t="str">
        <f t="shared" si="20"/>
        <v>D</v>
      </c>
      <c r="J211" s="1" t="str">
        <f>'HOUSE DATA'!K184</f>
        <v>D</v>
      </c>
      <c r="K211" s="1" t="str">
        <f t="shared" si="21"/>
        <v>—</v>
      </c>
      <c r="L211" t="str">
        <f t="shared" si="22"/>
        <v>D — BALLOT LOCK</v>
      </c>
      <c r="M211">
        <f>COUNTIF($H$31:$H$465,"&gt;"&amp;H211)+COUNTIF($H$31:H211,H211)</f>
        <v>100</v>
      </c>
      <c r="N211" s="7">
        <f t="shared" si="23"/>
        <v>100</v>
      </c>
      <c r="O211">
        <f>COUNTIF($N$31:$N$465,"&lt;"&amp;N211)+COUNTIF($N$31:N211,N211)</f>
        <v>432</v>
      </c>
      <c r="P211" s="10">
        <f>'HOUSE DATA'!M184</f>
        <v>24.479999999999997</v>
      </c>
      <c r="Q211" t="str">
        <f>'HOUSE DATA'!N184</f>
        <v>2024 HOUSE / prior substitute</v>
      </c>
      <c r="R211" s="10">
        <f t="shared" si="24"/>
        <v>10.96</v>
      </c>
      <c r="S211" s="10">
        <f t="shared" si="25"/>
        <v>8.7547786818504889</v>
      </c>
      <c r="T211" s="10">
        <f t="shared" si="26"/>
        <v>2.2052213181495119</v>
      </c>
      <c r="U211" t="s">
        <v>84</v>
      </c>
      <c r="V211" t="s">
        <v>77</v>
      </c>
      <c r="W211" t="s">
        <v>85</v>
      </c>
      <c r="X211" t="s">
        <v>86</v>
      </c>
    </row>
    <row r="212" spans="1:24" x14ac:dyDescent="0.2">
      <c r="A212" t="str">
        <f>'HOUSE DATA'!A185</f>
        <v>MA-03</v>
      </c>
      <c r="B212" s="10">
        <f>'HOUSE DATA'!B185</f>
        <v>29.049031690663679</v>
      </c>
      <c r="C212" s="10">
        <f t="shared" si="18"/>
        <v>-0.29999999999999893</v>
      </c>
      <c r="D212" s="10">
        <f>2*('HOUSE DATA'!D185*('HOUSE DASHBOARD'!$B$14-42.4)+'HOUSE DATA'!E185*('HOUSE DASHBOARD'!$B$15-54.2)+'HOUSE DATA'!F185*('HOUSE DASHBOARD'!$B$16-85.4)+'HOUSE DATA'!G185*('HOUSE DASHBOARD'!$B$17-60.7)+'HOUSE DATA'!H185*('HOUSE DASHBOARD'!$B$18-53.5))/100</f>
        <v>0</v>
      </c>
      <c r="E212" s="10">
        <f>2*('HOUSE DATA'!I185*('HOUSE DASHBOARD'!$B$21-55.6)+(100-'HOUSE DATA'!I185)*('HOUSE DASHBOARD'!$B$22-44.9))/100</f>
        <v>0</v>
      </c>
      <c r="F212" s="10">
        <f>0</f>
        <v>0</v>
      </c>
      <c r="G212" s="10">
        <f t="shared" si="19"/>
        <v>0</v>
      </c>
      <c r="H212" s="2">
        <f>'HOUSE DATA'!C185+C212+G212</f>
        <v>30.54</v>
      </c>
      <c r="I212" s="3" t="str">
        <f t="shared" si="20"/>
        <v>D</v>
      </c>
      <c r="J212" s="1" t="str">
        <f>'HOUSE DATA'!K185</f>
        <v>D</v>
      </c>
      <c r="K212" s="1" t="str">
        <f t="shared" si="21"/>
        <v>—</v>
      </c>
      <c r="L212" t="str">
        <f t="shared" si="22"/>
        <v>D+30.54</v>
      </c>
      <c r="M212">
        <f>COUNTIF($H$31:$H$465,"&gt;"&amp;H212)+COUNTIF($H$31:H212,H212)</f>
        <v>120</v>
      </c>
      <c r="N212" s="7">
        <f t="shared" si="23"/>
        <v>30.54</v>
      </c>
      <c r="O212">
        <f>COUNTIF($N$31:$N$465,"&lt;"&amp;N212)+COUNTIF($N$31:N212,N212)</f>
        <v>281</v>
      </c>
      <c r="P212" s="10">
        <f>'HOUSE DATA'!M185</f>
        <v>19.579999999999998</v>
      </c>
      <c r="Q212" t="str">
        <f>'HOUSE DATA'!N185</f>
        <v>2024 HOUSE / prior substitute</v>
      </c>
      <c r="R212" s="10">
        <f t="shared" si="24"/>
        <v>10.96</v>
      </c>
      <c r="S212" s="10">
        <f t="shared" si="25"/>
        <v>9.4690316906636802</v>
      </c>
      <c r="T212" s="10">
        <f t="shared" si="26"/>
        <v>1.4909683093363206</v>
      </c>
      <c r="U212" t="s">
        <v>73</v>
      </c>
      <c r="W212" t="s">
        <v>74</v>
      </c>
      <c r="X212" t="s">
        <v>75</v>
      </c>
    </row>
    <row r="213" spans="1:24" x14ac:dyDescent="0.2">
      <c r="A213" t="str">
        <f>'HOUSE DATA'!A186</f>
        <v>MA-04</v>
      </c>
      <c r="B213" s="10">
        <f>'HOUSE DATA'!B186</f>
        <v>28.090281959116886</v>
      </c>
      <c r="C213" s="10">
        <f t="shared" si="18"/>
        <v>-0.29999999999999893</v>
      </c>
      <c r="D213" s="10">
        <f>2*('HOUSE DATA'!D186*('HOUSE DASHBOARD'!$B$14-42.4)+'HOUSE DATA'!E186*('HOUSE DASHBOARD'!$B$15-54.2)+'HOUSE DATA'!F186*('HOUSE DASHBOARD'!$B$16-85.4)+'HOUSE DATA'!G186*('HOUSE DASHBOARD'!$B$17-60.7)+'HOUSE DATA'!H186*('HOUSE DASHBOARD'!$B$18-53.5))/100</f>
        <v>0</v>
      </c>
      <c r="E213" s="10">
        <f>2*('HOUSE DATA'!I186*('HOUSE DASHBOARD'!$B$21-55.6)+(100-'HOUSE DATA'!I186)*('HOUSE DASHBOARD'!$B$22-44.9))/100</f>
        <v>0</v>
      </c>
      <c r="F213" s="10">
        <f>0</f>
        <v>0</v>
      </c>
      <c r="G213" s="10">
        <f t="shared" si="19"/>
        <v>0</v>
      </c>
      <c r="H213" s="2">
        <f>'HOUSE DATA'!C186+C213+G213</f>
        <v>31.359999999999992</v>
      </c>
      <c r="I213" s="3" t="str">
        <f t="shared" si="20"/>
        <v>D</v>
      </c>
      <c r="J213" s="1" t="str">
        <f>'HOUSE DATA'!K186</f>
        <v>D</v>
      </c>
      <c r="K213" s="1" t="str">
        <f t="shared" si="21"/>
        <v>—</v>
      </c>
      <c r="L213" t="str">
        <f t="shared" si="22"/>
        <v>D+31.36</v>
      </c>
      <c r="M213">
        <f>COUNTIF($H$31:$H$465,"&gt;"&amp;H213)+COUNTIF($H$31:H213,H213)</f>
        <v>112</v>
      </c>
      <c r="N213" s="7">
        <f t="shared" si="23"/>
        <v>31.359999999999992</v>
      </c>
      <c r="O213">
        <f>COUNTIF($N$31:$N$465,"&lt;"&amp;N213)+COUNTIF($N$31:N213,N213)</f>
        <v>290</v>
      </c>
      <c r="P213" s="10">
        <f>'HOUSE DATA'!M186</f>
        <v>20.399999999999991</v>
      </c>
      <c r="Q213" t="str">
        <f>'HOUSE DATA'!N186</f>
        <v>2024 HOUSE / prior substitute</v>
      </c>
      <c r="R213" s="10">
        <f t="shared" si="24"/>
        <v>10.96</v>
      </c>
      <c r="S213" s="10">
        <f t="shared" si="25"/>
        <v>7.6902819591168949</v>
      </c>
      <c r="T213" s="10">
        <f t="shared" si="26"/>
        <v>3.2697180408831059</v>
      </c>
      <c r="U213" t="s">
        <v>73</v>
      </c>
      <c r="W213" t="s">
        <v>74</v>
      </c>
      <c r="X213" t="s">
        <v>75</v>
      </c>
    </row>
    <row r="214" spans="1:24" x14ac:dyDescent="0.2">
      <c r="A214" t="str">
        <f>'HOUSE DATA'!A187</f>
        <v>MA-05</v>
      </c>
      <c r="B214" s="10">
        <f>'HOUSE DATA'!B187</f>
        <v>54.903355923233818</v>
      </c>
      <c r="C214" s="10">
        <f t="shared" si="18"/>
        <v>-0.29999999999999893</v>
      </c>
      <c r="D214" s="10">
        <f>2*('HOUSE DATA'!D187*('HOUSE DASHBOARD'!$B$14-42.4)+'HOUSE DATA'!E187*('HOUSE DASHBOARD'!$B$15-54.2)+'HOUSE DATA'!F187*('HOUSE DASHBOARD'!$B$16-85.4)+'HOUSE DATA'!G187*('HOUSE DASHBOARD'!$B$17-60.7)+'HOUSE DATA'!H187*('HOUSE DASHBOARD'!$B$18-53.5))/100</f>
        <v>0</v>
      </c>
      <c r="E214" s="10">
        <f>2*('HOUSE DATA'!I187*('HOUSE DASHBOARD'!$B$21-55.6)+(100-'HOUSE DATA'!I187)*('HOUSE DASHBOARD'!$B$22-44.9))/100</f>
        <v>0</v>
      </c>
      <c r="F214" s="10">
        <f>0</f>
        <v>0</v>
      </c>
      <c r="G214" s="10">
        <f t="shared" si="19"/>
        <v>0</v>
      </c>
      <c r="H214" s="2">
        <f>'HOUSE DATA'!C187+C214+G214</f>
        <v>57.360000000000007</v>
      </c>
      <c r="I214" s="3" t="str">
        <f t="shared" si="20"/>
        <v>D</v>
      </c>
      <c r="J214" s="1" t="str">
        <f>'HOUSE DATA'!K187</f>
        <v>D</v>
      </c>
      <c r="K214" s="1" t="str">
        <f t="shared" si="21"/>
        <v>—</v>
      </c>
      <c r="L214" t="str">
        <f t="shared" si="22"/>
        <v>D — BALLOT LOCK</v>
      </c>
      <c r="M214">
        <f>COUNTIF($H$31:$H$465,"&gt;"&amp;H214)+COUNTIF($H$31:H214,H214)</f>
        <v>39</v>
      </c>
      <c r="N214" s="7">
        <f t="shared" si="23"/>
        <v>100</v>
      </c>
      <c r="O214">
        <f>COUNTIF($N$31:$N$465,"&lt;"&amp;N214)+COUNTIF($N$31:N214,N214)</f>
        <v>433</v>
      </c>
      <c r="P214" s="10">
        <f>'HOUSE DATA'!M187</f>
        <v>46.400000000000006</v>
      </c>
      <c r="Q214" t="str">
        <f>'HOUSE DATA'!N187</f>
        <v>2024 HOUSE / prior substitute</v>
      </c>
      <c r="R214" s="10">
        <f t="shared" si="24"/>
        <v>10.96</v>
      </c>
      <c r="S214" s="10">
        <f t="shared" si="25"/>
        <v>8.5033559232338121</v>
      </c>
      <c r="T214" s="10">
        <f t="shared" si="26"/>
        <v>2.4566440767661888</v>
      </c>
      <c r="U214" t="s">
        <v>84</v>
      </c>
      <c r="V214" t="s">
        <v>77</v>
      </c>
      <c r="W214" t="s">
        <v>85</v>
      </c>
      <c r="X214" t="s">
        <v>86</v>
      </c>
    </row>
    <row r="215" spans="1:24" x14ac:dyDescent="0.2">
      <c r="A215" t="str">
        <f>'HOUSE DATA'!A188</f>
        <v>MA-06</v>
      </c>
      <c r="B215" s="10">
        <f>'HOUSE DATA'!B188</f>
        <v>28.447822065658631</v>
      </c>
      <c r="C215" s="10">
        <f t="shared" si="18"/>
        <v>-0.29999999999999893</v>
      </c>
      <c r="D215" s="10">
        <f>2*('HOUSE DATA'!D188*('HOUSE DASHBOARD'!$B$14-42.4)+'HOUSE DATA'!E188*('HOUSE DASHBOARD'!$B$15-54.2)+'HOUSE DATA'!F188*('HOUSE DASHBOARD'!$B$16-85.4)+'HOUSE DATA'!G188*('HOUSE DASHBOARD'!$B$17-60.7)+'HOUSE DATA'!H188*('HOUSE DASHBOARD'!$B$18-53.5))/100</f>
        <v>0</v>
      </c>
      <c r="E215" s="10">
        <f>2*('HOUSE DATA'!I188*('HOUSE DASHBOARD'!$B$21-55.6)+(100-'HOUSE DATA'!I188)*('HOUSE DASHBOARD'!$B$22-44.9))/100</f>
        <v>0</v>
      </c>
      <c r="F215" s="10">
        <f>0</f>
        <v>0</v>
      </c>
      <c r="G215" s="10">
        <f t="shared" si="19"/>
        <v>0</v>
      </c>
      <c r="H215" s="2">
        <f>'HOUSE DATA'!C188+C215+G215</f>
        <v>31.230000000000004</v>
      </c>
      <c r="I215" s="3" t="str">
        <f t="shared" si="20"/>
        <v>D</v>
      </c>
      <c r="J215" s="1" t="str">
        <f>'HOUSE DATA'!K188</f>
        <v>D</v>
      </c>
      <c r="K215" s="1" t="str">
        <f t="shared" si="21"/>
        <v>—</v>
      </c>
      <c r="L215" t="str">
        <f t="shared" si="22"/>
        <v>D+31.23</v>
      </c>
      <c r="M215">
        <f>COUNTIF($H$31:$H$465,"&gt;"&amp;H215)+COUNTIF($H$31:H215,H215)</f>
        <v>113</v>
      </c>
      <c r="N215" s="7">
        <f t="shared" si="23"/>
        <v>31.230000000000004</v>
      </c>
      <c r="O215">
        <f>COUNTIF($N$31:$N$465,"&lt;"&amp;N215)+COUNTIF($N$31:N215,N215)</f>
        <v>289</v>
      </c>
      <c r="P215" s="10">
        <f>'HOUSE DATA'!M188</f>
        <v>20.68</v>
      </c>
      <c r="Q215" t="str">
        <f>'HOUSE DATA'!N188</f>
        <v>2024 PRESIDENT (open seat)</v>
      </c>
      <c r="R215" s="10">
        <f t="shared" si="24"/>
        <v>10.550000000000004</v>
      </c>
      <c r="S215" s="10">
        <f t="shared" si="25"/>
        <v>7.7678220656586312</v>
      </c>
      <c r="T215" s="10">
        <f t="shared" si="26"/>
        <v>2.7821779343413731</v>
      </c>
      <c r="U215" t="s">
        <v>73</v>
      </c>
      <c r="W215" t="s">
        <v>74</v>
      </c>
      <c r="X215" t="s">
        <v>75</v>
      </c>
    </row>
    <row r="216" spans="1:24" x14ac:dyDescent="0.2">
      <c r="A216" t="str">
        <f>'HOUSE DATA'!A189</f>
        <v>MA-07</v>
      </c>
      <c r="B216" s="10">
        <f>'HOUSE DATA'!B189</f>
        <v>76.191832352844372</v>
      </c>
      <c r="C216" s="10">
        <f t="shared" si="18"/>
        <v>-0.29999999999999893</v>
      </c>
      <c r="D216" s="10">
        <f>2*('HOUSE DATA'!D189*('HOUSE DASHBOARD'!$B$14-42.4)+'HOUSE DATA'!E189*('HOUSE DASHBOARD'!$B$15-54.2)+'HOUSE DATA'!F189*('HOUSE DASHBOARD'!$B$16-85.4)+'HOUSE DATA'!G189*('HOUSE DASHBOARD'!$B$17-60.7)+'HOUSE DATA'!H189*('HOUSE DASHBOARD'!$B$18-53.5))/100</f>
        <v>0</v>
      </c>
      <c r="E216" s="10">
        <f>2*('HOUSE DATA'!I189*('HOUSE DASHBOARD'!$B$21-55.6)+(100-'HOUSE DATA'!I189)*('HOUSE DASHBOARD'!$B$22-44.9))/100</f>
        <v>0</v>
      </c>
      <c r="F216" s="10">
        <f>0</f>
        <v>0</v>
      </c>
      <c r="G216" s="10">
        <f t="shared" si="19"/>
        <v>0</v>
      </c>
      <c r="H216" s="2">
        <f>'HOUSE DATA'!C189+C216+G216</f>
        <v>75.899999999999991</v>
      </c>
      <c r="I216" s="3" t="str">
        <f t="shared" si="20"/>
        <v>D</v>
      </c>
      <c r="J216" s="1" t="str">
        <f>'HOUSE DATA'!K189</f>
        <v>D</v>
      </c>
      <c r="K216" s="1" t="str">
        <f t="shared" si="21"/>
        <v>—</v>
      </c>
      <c r="L216" t="str">
        <f t="shared" si="22"/>
        <v>D — BALLOT LOCK</v>
      </c>
      <c r="M216">
        <f>COUNTIF($H$31:$H$465,"&gt;"&amp;H216)+COUNTIF($H$31:H216,H216)</f>
        <v>8</v>
      </c>
      <c r="N216" s="7">
        <f t="shared" si="23"/>
        <v>100</v>
      </c>
      <c r="O216">
        <f>COUNTIF($N$31:$N$465,"&lt;"&amp;N216)+COUNTIF($N$31:N216,N216)</f>
        <v>434</v>
      </c>
      <c r="P216" s="10">
        <f>'HOUSE DATA'!M189</f>
        <v>64.94</v>
      </c>
      <c r="Q216" t="str">
        <f>'HOUSE DATA'!N189</f>
        <v>2024 HOUSE / prior substitute</v>
      </c>
      <c r="R216" s="10">
        <f t="shared" si="24"/>
        <v>10.959999999999994</v>
      </c>
      <c r="S216" s="10">
        <f t="shared" si="25"/>
        <v>11.251832352844374</v>
      </c>
      <c r="T216" s="10">
        <f t="shared" si="26"/>
        <v>-0.29183235284438069</v>
      </c>
      <c r="U216" t="s">
        <v>84</v>
      </c>
      <c r="V216" t="s">
        <v>77</v>
      </c>
      <c r="W216" t="s">
        <v>85</v>
      </c>
      <c r="X216" t="s">
        <v>86</v>
      </c>
    </row>
    <row r="217" spans="1:24" x14ac:dyDescent="0.2">
      <c r="A217" t="str">
        <f>'HOUSE DATA'!A190</f>
        <v>MA-08</v>
      </c>
      <c r="B217" s="10">
        <f>'HOUSE DATA'!B190</f>
        <v>49.492704811808665</v>
      </c>
      <c r="C217" s="10">
        <f t="shared" si="18"/>
        <v>-0.29999999999999893</v>
      </c>
      <c r="D217" s="10">
        <f>2*('HOUSE DATA'!D190*('HOUSE DASHBOARD'!$B$14-42.4)+'HOUSE DATA'!E190*('HOUSE DASHBOARD'!$B$15-54.2)+'HOUSE DATA'!F190*('HOUSE DASHBOARD'!$B$16-85.4)+'HOUSE DATA'!G190*('HOUSE DASHBOARD'!$B$17-60.7)+'HOUSE DATA'!H190*('HOUSE DASHBOARD'!$B$18-53.5))/100</f>
        <v>0</v>
      </c>
      <c r="E217" s="10">
        <f>2*('HOUSE DATA'!I190*('HOUSE DASHBOARD'!$B$21-55.6)+(100-'HOUSE DATA'!I190)*('HOUSE DASHBOARD'!$B$22-44.9))/100</f>
        <v>0</v>
      </c>
      <c r="F217" s="10">
        <f>0</f>
        <v>0</v>
      </c>
      <c r="G217" s="10">
        <f t="shared" si="19"/>
        <v>0</v>
      </c>
      <c r="H217" s="2">
        <f>'HOUSE DATA'!C190+C217+G217</f>
        <v>52.12</v>
      </c>
      <c r="I217" s="3" t="str">
        <f t="shared" si="20"/>
        <v>D</v>
      </c>
      <c r="J217" s="1" t="str">
        <f>'HOUSE DATA'!K190</f>
        <v>D</v>
      </c>
      <c r="K217" s="1" t="str">
        <f t="shared" si="21"/>
        <v>—</v>
      </c>
      <c r="L217" t="str">
        <f t="shared" si="22"/>
        <v>D+52.12</v>
      </c>
      <c r="M217">
        <f>COUNTIF($H$31:$H$465,"&gt;"&amp;H217)+COUNTIF($H$31:H217,H217)</f>
        <v>52</v>
      </c>
      <c r="N217" s="7">
        <f t="shared" si="23"/>
        <v>52.12</v>
      </c>
      <c r="O217">
        <f>COUNTIF($N$31:$N$465,"&lt;"&amp;N217)+COUNTIF($N$31:N217,N217)</f>
        <v>374</v>
      </c>
      <c r="P217" s="10">
        <f>'HOUSE DATA'!M190</f>
        <v>41.16</v>
      </c>
      <c r="Q217" t="str">
        <f>'HOUSE DATA'!N190</f>
        <v>2024 HOUSE / prior substitute</v>
      </c>
      <c r="R217" s="10">
        <f t="shared" si="24"/>
        <v>10.96</v>
      </c>
      <c r="S217" s="10">
        <f t="shared" si="25"/>
        <v>8.332704811808668</v>
      </c>
      <c r="T217" s="10">
        <f t="shared" si="26"/>
        <v>2.6272951881913329</v>
      </c>
      <c r="U217" t="s">
        <v>73</v>
      </c>
      <c r="W217" t="s">
        <v>74</v>
      </c>
      <c r="X217" t="s">
        <v>75</v>
      </c>
    </row>
    <row r="218" spans="1:24" x14ac:dyDescent="0.2">
      <c r="A218" t="str">
        <f>'HOUSE DATA'!A191</f>
        <v>MA-09</v>
      </c>
      <c r="B218" s="10">
        <f>'HOUSE DATA'!B191</f>
        <v>20.538536485672935</v>
      </c>
      <c r="C218" s="10">
        <f t="shared" si="18"/>
        <v>-0.29999999999999893</v>
      </c>
      <c r="D218" s="10">
        <f>2*('HOUSE DATA'!D191*('HOUSE DASHBOARD'!$B$14-42.4)+'HOUSE DATA'!E191*('HOUSE DASHBOARD'!$B$15-54.2)+'HOUSE DATA'!F191*('HOUSE DASHBOARD'!$B$16-85.4)+'HOUSE DATA'!G191*('HOUSE DASHBOARD'!$B$17-60.7)+'HOUSE DATA'!H191*('HOUSE DASHBOARD'!$B$18-53.5))/100</f>
        <v>0</v>
      </c>
      <c r="E218" s="10">
        <f>2*('HOUSE DATA'!I191*('HOUSE DASHBOARD'!$B$21-55.6)+(100-'HOUSE DATA'!I191)*('HOUSE DASHBOARD'!$B$22-44.9))/100</f>
        <v>0</v>
      </c>
      <c r="F218" s="10">
        <f>0</f>
        <v>0</v>
      </c>
      <c r="G218" s="10">
        <f t="shared" si="19"/>
        <v>0</v>
      </c>
      <c r="H218" s="2">
        <f>'HOUSE DATA'!C191+C218+G218</f>
        <v>24</v>
      </c>
      <c r="I218" s="3" t="str">
        <f t="shared" si="20"/>
        <v>D</v>
      </c>
      <c r="J218" s="1" t="str">
        <f>'HOUSE DATA'!K191</f>
        <v>D</v>
      </c>
      <c r="K218" s="1" t="str">
        <f t="shared" si="21"/>
        <v>—</v>
      </c>
      <c r="L218" t="str">
        <f t="shared" si="22"/>
        <v>D+24.00</v>
      </c>
      <c r="M218">
        <f>COUNTIF($H$31:$H$465,"&gt;"&amp;H218)+COUNTIF($H$31:H218,H218)</f>
        <v>151</v>
      </c>
      <c r="N218" s="7">
        <f t="shared" si="23"/>
        <v>24</v>
      </c>
      <c r="O218">
        <f>COUNTIF($N$31:$N$465,"&lt;"&amp;N218)+COUNTIF($N$31:N218,N218)</f>
        <v>230</v>
      </c>
      <c r="P218" s="10">
        <f>'HOUSE DATA'!M191</f>
        <v>13.04</v>
      </c>
      <c r="Q218" t="str">
        <f>'HOUSE DATA'!N191</f>
        <v>2024 HOUSE / prior substitute</v>
      </c>
      <c r="R218" s="10">
        <f t="shared" si="24"/>
        <v>10.96</v>
      </c>
      <c r="S218" s="10">
        <f t="shared" si="25"/>
        <v>7.4985364856729362</v>
      </c>
      <c r="T218" s="10">
        <f t="shared" si="26"/>
        <v>3.4614635143270647</v>
      </c>
      <c r="U218" t="s">
        <v>73</v>
      </c>
      <c r="W218" t="s">
        <v>74</v>
      </c>
      <c r="X218" t="s">
        <v>75</v>
      </c>
    </row>
    <row r="219" spans="1:24" x14ac:dyDescent="0.2">
      <c r="A219" t="str">
        <f>'HOUSE DATA'!A192</f>
        <v>MD-01</v>
      </c>
      <c r="B219" s="10">
        <f>'HOUSE DATA'!B192</f>
        <v>-14.109180909376596</v>
      </c>
      <c r="C219" s="10">
        <f t="shared" si="18"/>
        <v>-0.29999999999999893</v>
      </c>
      <c r="D219" s="10">
        <f>2*('HOUSE DATA'!D192*('HOUSE DASHBOARD'!$B$14-42.4)+'HOUSE DATA'!E192*('HOUSE DASHBOARD'!$B$15-54.2)+'HOUSE DATA'!F192*('HOUSE DASHBOARD'!$B$16-85.4)+'HOUSE DATA'!G192*('HOUSE DASHBOARD'!$B$17-60.7)+'HOUSE DATA'!H192*('HOUSE DASHBOARD'!$B$18-53.5))/100</f>
        <v>0</v>
      </c>
      <c r="E219" s="10">
        <f>2*('HOUSE DATA'!I192*('HOUSE DASHBOARD'!$B$21-55.6)+(100-'HOUSE DATA'!I192)*('HOUSE DASHBOARD'!$B$22-44.9))/100</f>
        <v>0</v>
      </c>
      <c r="F219" s="10">
        <f>0</f>
        <v>0</v>
      </c>
      <c r="G219" s="10">
        <f t="shared" si="19"/>
        <v>0</v>
      </c>
      <c r="H219" s="2">
        <f>'HOUSE DATA'!C192+C219+G219</f>
        <v>-11.800000000000004</v>
      </c>
      <c r="I219" s="3" t="str">
        <f t="shared" si="20"/>
        <v>R</v>
      </c>
      <c r="J219" s="1" t="str">
        <f>'HOUSE DATA'!K192</f>
        <v>R</v>
      </c>
      <c r="K219" s="1" t="str">
        <f t="shared" si="21"/>
        <v>—</v>
      </c>
      <c r="L219" t="str">
        <f t="shared" si="22"/>
        <v>R+11.80</v>
      </c>
      <c r="M219">
        <f>COUNTIF($H$31:$H$465,"&gt;"&amp;H219)+COUNTIF($H$31:H219,H219)</f>
        <v>316</v>
      </c>
      <c r="N219" s="7">
        <f t="shared" si="23"/>
        <v>11.800000000000004</v>
      </c>
      <c r="O219">
        <f>COUNTIF($N$31:$N$465,"&lt;"&amp;N219)+COUNTIF($N$31:N219,N219)</f>
        <v>107</v>
      </c>
      <c r="P219" s="10">
        <f>'HOUSE DATA'!M192</f>
        <v>-22.760000000000005</v>
      </c>
      <c r="Q219" t="str">
        <f>'HOUSE DATA'!N192</f>
        <v>2024 HOUSE / prior substitute</v>
      </c>
      <c r="R219" s="10">
        <f t="shared" si="24"/>
        <v>10.96</v>
      </c>
      <c r="S219" s="10">
        <f t="shared" si="25"/>
        <v>8.6508190906234095</v>
      </c>
      <c r="T219" s="10">
        <f t="shared" si="26"/>
        <v>2.3091809093765914</v>
      </c>
      <c r="U219" t="s">
        <v>73</v>
      </c>
      <c r="W219" t="s">
        <v>74</v>
      </c>
      <c r="X219" t="s">
        <v>75</v>
      </c>
    </row>
    <row r="220" spans="1:24" x14ac:dyDescent="0.2">
      <c r="A220" t="str">
        <f>'HOUSE DATA'!A193</f>
        <v>MD-02</v>
      </c>
      <c r="B220" s="10">
        <f>'HOUSE DATA'!B193</f>
        <v>27.86905303149469</v>
      </c>
      <c r="C220" s="10">
        <f t="shared" si="18"/>
        <v>-0.29999999999999893</v>
      </c>
      <c r="D220" s="10">
        <f>2*('HOUSE DATA'!D193*('HOUSE DASHBOARD'!$B$14-42.4)+'HOUSE DATA'!E193*('HOUSE DASHBOARD'!$B$15-54.2)+'HOUSE DATA'!F193*('HOUSE DASHBOARD'!$B$16-85.4)+'HOUSE DATA'!G193*('HOUSE DASHBOARD'!$B$17-60.7)+'HOUSE DATA'!H193*('HOUSE DASHBOARD'!$B$18-53.5))/100</f>
        <v>0</v>
      </c>
      <c r="E220" s="10">
        <f>2*('HOUSE DATA'!I193*('HOUSE DASHBOARD'!$B$21-55.6)+(100-'HOUSE DATA'!I193)*('HOUSE DASHBOARD'!$B$22-44.9))/100</f>
        <v>0</v>
      </c>
      <c r="F220" s="10">
        <f>0</f>
        <v>0</v>
      </c>
      <c r="G220" s="10">
        <f t="shared" si="19"/>
        <v>0</v>
      </c>
      <c r="H220" s="2">
        <f>'HOUSE DATA'!C193+C220+G220</f>
        <v>30.040000000000006</v>
      </c>
      <c r="I220" s="3" t="str">
        <f t="shared" si="20"/>
        <v>D</v>
      </c>
      <c r="J220" s="1" t="str">
        <f>'HOUSE DATA'!K193</f>
        <v>D</v>
      </c>
      <c r="K220" s="1" t="str">
        <f t="shared" si="21"/>
        <v>—</v>
      </c>
      <c r="L220" t="str">
        <f t="shared" si="22"/>
        <v>D+30.04</v>
      </c>
      <c r="M220">
        <f>COUNTIF($H$31:$H$465,"&gt;"&amp;H220)+COUNTIF($H$31:H220,H220)</f>
        <v>121</v>
      </c>
      <c r="N220" s="7">
        <f t="shared" si="23"/>
        <v>30.040000000000006</v>
      </c>
      <c r="O220">
        <f>COUNTIF($N$31:$N$465,"&lt;"&amp;N220)+COUNTIF($N$31:N220,N220)</f>
        <v>277</v>
      </c>
      <c r="P220" s="10">
        <f>'HOUSE DATA'!M193</f>
        <v>19.080000000000005</v>
      </c>
      <c r="Q220" t="str">
        <f>'HOUSE DATA'!N193</f>
        <v>2024 HOUSE / prior substitute</v>
      </c>
      <c r="R220" s="10">
        <f t="shared" si="24"/>
        <v>10.96</v>
      </c>
      <c r="S220" s="10">
        <f t="shared" si="25"/>
        <v>8.7890530314946851</v>
      </c>
      <c r="T220" s="10">
        <f t="shared" si="26"/>
        <v>2.1709469685053158</v>
      </c>
      <c r="U220" t="s">
        <v>73</v>
      </c>
      <c r="W220" t="s">
        <v>74</v>
      </c>
      <c r="X220" t="s">
        <v>75</v>
      </c>
    </row>
    <row r="221" spans="1:24" x14ac:dyDescent="0.2">
      <c r="A221" t="str">
        <f>'HOUSE DATA'!A194</f>
        <v>MD-03</v>
      </c>
      <c r="B221" s="10">
        <f>'HOUSE DATA'!B194</f>
        <v>30.865834812541809</v>
      </c>
      <c r="C221" s="10">
        <f t="shared" si="18"/>
        <v>-0.29999999999999893</v>
      </c>
      <c r="D221" s="10">
        <f>2*('HOUSE DATA'!D194*('HOUSE DASHBOARD'!$B$14-42.4)+'HOUSE DATA'!E194*('HOUSE DASHBOARD'!$B$15-54.2)+'HOUSE DATA'!F194*('HOUSE DASHBOARD'!$B$16-85.4)+'HOUSE DATA'!G194*('HOUSE DASHBOARD'!$B$17-60.7)+'HOUSE DATA'!H194*('HOUSE DASHBOARD'!$B$18-53.5))/100</f>
        <v>0</v>
      </c>
      <c r="E221" s="10">
        <f>2*('HOUSE DATA'!I194*('HOUSE DASHBOARD'!$B$21-55.6)+(100-'HOUSE DATA'!I194)*('HOUSE DASHBOARD'!$B$22-44.9))/100</f>
        <v>0</v>
      </c>
      <c r="F221" s="10">
        <f>0</f>
        <v>0</v>
      </c>
      <c r="G221" s="10">
        <f t="shared" si="19"/>
        <v>0</v>
      </c>
      <c r="H221" s="2">
        <f>'HOUSE DATA'!C194+C221+G221</f>
        <v>33</v>
      </c>
      <c r="I221" s="3" t="str">
        <f t="shared" si="20"/>
        <v>D</v>
      </c>
      <c r="J221" s="1" t="str">
        <f>'HOUSE DATA'!K194</f>
        <v>D</v>
      </c>
      <c r="K221" s="1" t="str">
        <f t="shared" si="21"/>
        <v>—</v>
      </c>
      <c r="L221" t="str">
        <f t="shared" si="22"/>
        <v>D+33.00</v>
      </c>
      <c r="M221">
        <f>COUNTIF($H$31:$H$465,"&gt;"&amp;H221)+COUNTIF($H$31:H221,H221)</f>
        <v>109</v>
      </c>
      <c r="N221" s="7">
        <f t="shared" si="23"/>
        <v>33</v>
      </c>
      <c r="O221">
        <f>COUNTIF($N$31:$N$465,"&lt;"&amp;N221)+COUNTIF($N$31:N221,N221)</f>
        <v>298</v>
      </c>
      <c r="P221" s="10">
        <f>'HOUSE DATA'!M194</f>
        <v>22.04</v>
      </c>
      <c r="Q221" t="str">
        <f>'HOUSE DATA'!N194</f>
        <v>2024 HOUSE / prior substitute</v>
      </c>
      <c r="R221" s="10">
        <f t="shared" si="24"/>
        <v>10.96</v>
      </c>
      <c r="S221" s="10">
        <f t="shared" si="25"/>
        <v>8.8258348125418102</v>
      </c>
      <c r="T221" s="10">
        <f t="shared" si="26"/>
        <v>2.1341651874581906</v>
      </c>
      <c r="U221" t="s">
        <v>73</v>
      </c>
      <c r="W221" t="s">
        <v>74</v>
      </c>
      <c r="X221" t="s">
        <v>75</v>
      </c>
    </row>
    <row r="222" spans="1:24" x14ac:dyDescent="0.2">
      <c r="A222" t="str">
        <f>'HOUSE DATA'!A195</f>
        <v>MD-04</v>
      </c>
      <c r="B222" s="10">
        <f>'HOUSE DATA'!B195</f>
        <v>89.365044892514035</v>
      </c>
      <c r="C222" s="10">
        <f t="shared" si="18"/>
        <v>-0.29999999999999893</v>
      </c>
      <c r="D222" s="10">
        <f>2*('HOUSE DATA'!D195*('HOUSE DASHBOARD'!$B$14-42.4)+'HOUSE DATA'!E195*('HOUSE DASHBOARD'!$B$15-54.2)+'HOUSE DATA'!F195*('HOUSE DASHBOARD'!$B$16-85.4)+'HOUSE DATA'!G195*('HOUSE DASHBOARD'!$B$17-60.7)+'HOUSE DATA'!H195*('HOUSE DASHBOARD'!$B$18-53.5))/100</f>
        <v>0</v>
      </c>
      <c r="E222" s="10">
        <f>2*('HOUSE DATA'!I195*('HOUSE DASHBOARD'!$B$21-55.6)+(100-'HOUSE DATA'!I195)*('HOUSE DASHBOARD'!$B$22-44.9))/100</f>
        <v>0</v>
      </c>
      <c r="F222" s="10">
        <f>0</f>
        <v>0</v>
      </c>
      <c r="G222" s="10">
        <f t="shared" si="19"/>
        <v>0</v>
      </c>
      <c r="H222" s="2">
        <f>'HOUSE DATA'!C195+C222+G222</f>
        <v>88.399999999999991</v>
      </c>
      <c r="I222" s="3" t="str">
        <f t="shared" si="20"/>
        <v>D</v>
      </c>
      <c r="J222" s="1" t="str">
        <f>'HOUSE DATA'!K195</f>
        <v>D</v>
      </c>
      <c r="K222" s="1" t="str">
        <f t="shared" si="21"/>
        <v>—</v>
      </c>
      <c r="L222" t="str">
        <f t="shared" si="22"/>
        <v>D+88.40</v>
      </c>
      <c r="M222">
        <f>COUNTIF($H$31:$H$465,"&gt;"&amp;H222)+COUNTIF($H$31:H222,H222)</f>
        <v>1</v>
      </c>
      <c r="N222" s="7">
        <f t="shared" si="23"/>
        <v>88.399999999999991</v>
      </c>
      <c r="O222">
        <f>COUNTIF($N$31:$N$465,"&lt;"&amp;N222)+COUNTIF($N$31:N222,N222)</f>
        <v>421</v>
      </c>
      <c r="P222" s="10">
        <f>'HOUSE DATA'!M195</f>
        <v>77.44</v>
      </c>
      <c r="Q222" t="str">
        <f>'HOUSE DATA'!N195</f>
        <v>2024 HOUSE / prior substitute</v>
      </c>
      <c r="R222" s="10">
        <f t="shared" si="24"/>
        <v>10.959999999999994</v>
      </c>
      <c r="S222" s="10">
        <f t="shared" si="25"/>
        <v>11.925044892514038</v>
      </c>
      <c r="T222" s="10">
        <f t="shared" si="26"/>
        <v>-0.9650448925140438</v>
      </c>
      <c r="U222" t="s">
        <v>73</v>
      </c>
      <c r="W222" t="s">
        <v>74</v>
      </c>
      <c r="X222" t="s">
        <v>75</v>
      </c>
    </row>
    <row r="223" spans="1:24" x14ac:dyDescent="0.2">
      <c r="A223" t="str">
        <f>'HOUSE DATA'!A196</f>
        <v>MD-05</v>
      </c>
      <c r="B223" s="10">
        <f>'HOUSE DATA'!B196</f>
        <v>42.529598013864529</v>
      </c>
      <c r="C223" s="10">
        <f t="shared" ref="C223:C286" si="27">$D$5</f>
        <v>-0.29999999999999893</v>
      </c>
      <c r="D223" s="10">
        <f>2*('HOUSE DATA'!D196*('HOUSE DASHBOARD'!$B$14-42.4)+'HOUSE DATA'!E196*('HOUSE DASHBOARD'!$B$15-54.2)+'HOUSE DATA'!F196*('HOUSE DASHBOARD'!$B$16-85.4)+'HOUSE DATA'!G196*('HOUSE DASHBOARD'!$B$17-60.7)+'HOUSE DATA'!H196*('HOUSE DASHBOARD'!$B$18-53.5))/100</f>
        <v>0</v>
      </c>
      <c r="E223" s="10">
        <f>2*('HOUSE DATA'!I196*('HOUSE DASHBOARD'!$B$21-55.6)+(100-'HOUSE DATA'!I196)*('HOUSE DASHBOARD'!$B$22-44.9))/100</f>
        <v>0</v>
      </c>
      <c r="F223" s="10">
        <f>0</f>
        <v>0</v>
      </c>
      <c r="G223" s="10">
        <f t="shared" ref="G223:G286" si="28">(D223+E223)/2</f>
        <v>0</v>
      </c>
      <c r="H223" s="2">
        <f>'HOUSE DATA'!C196+C223+G223</f>
        <v>43.84</v>
      </c>
      <c r="I223" s="3" t="str">
        <f t="shared" ref="I223:I286" si="29">IF(V223="D","D",IF(V223="R","R",IF(H223&gt;=0,"D","R")))</f>
        <v>D</v>
      </c>
      <c r="J223" s="1" t="str">
        <f>'HOUSE DATA'!K196</f>
        <v>D</v>
      </c>
      <c r="K223" s="1" t="str">
        <f t="shared" ref="K223:K286" si="30">IF(I223=J223,"—",J223&amp;" → "&amp;I223)</f>
        <v>—</v>
      </c>
      <c r="L223" t="str">
        <f t="shared" ref="L223:L286" si="31">IF(V223="D","D — BALLOT LOCK",IF(V223="R","R — BALLOT LOCK",IF(H223&gt;=0,"D+"&amp;TEXT(H223,"0.00"),"R+"&amp;TEXT(-H223,"0.00"))))</f>
        <v>D+43.84</v>
      </c>
      <c r="M223">
        <f>COUNTIF($H$31:$H$465,"&gt;"&amp;H223)+COUNTIF($H$31:H223,H223)</f>
        <v>80</v>
      </c>
      <c r="N223" s="7">
        <f t="shared" ref="N223:N286" si="32">IF(V223&lt;&gt;"",100,ABS(H223))</f>
        <v>43.84</v>
      </c>
      <c r="O223">
        <f>COUNTIF($N$31:$N$465,"&lt;"&amp;N223)+COUNTIF($N$31:N223,N223)</f>
        <v>345</v>
      </c>
      <c r="P223" s="10">
        <f>'HOUSE DATA'!M196</f>
        <v>33.29</v>
      </c>
      <c r="Q223" t="str">
        <f>'HOUSE DATA'!N196</f>
        <v>2024 PRESIDENT (open seat)</v>
      </c>
      <c r="R223" s="10">
        <f t="shared" ref="R223:R286" si="33">H223-P223</f>
        <v>10.550000000000004</v>
      </c>
      <c r="S223" s="10">
        <f t="shared" ref="S223:S286" si="34">B223-P223</f>
        <v>9.2395980138645299</v>
      </c>
      <c r="T223" s="10">
        <f t="shared" ref="T223:T286" si="35">H223-B223</f>
        <v>1.3104019861354743</v>
      </c>
      <c r="U223" t="s">
        <v>73</v>
      </c>
      <c r="W223" t="s">
        <v>74</v>
      </c>
      <c r="X223" t="s">
        <v>75</v>
      </c>
    </row>
    <row r="224" spans="1:24" x14ac:dyDescent="0.2">
      <c r="A224" t="str">
        <f>'HOUSE DATA'!A197</f>
        <v>MD-06</v>
      </c>
      <c r="B224" s="10">
        <f>'HOUSE DATA'!B197</f>
        <v>15.226623037076884</v>
      </c>
      <c r="C224" s="10">
        <f t="shared" si="27"/>
        <v>-0.29999999999999893</v>
      </c>
      <c r="D224" s="10">
        <f>2*('HOUSE DATA'!D197*('HOUSE DASHBOARD'!$B$14-42.4)+'HOUSE DATA'!E197*('HOUSE DASHBOARD'!$B$15-54.2)+'HOUSE DATA'!F197*('HOUSE DASHBOARD'!$B$16-85.4)+'HOUSE DATA'!G197*('HOUSE DASHBOARD'!$B$17-60.7)+'HOUSE DATA'!H197*('HOUSE DASHBOARD'!$B$18-53.5))/100</f>
        <v>0</v>
      </c>
      <c r="E224" s="10">
        <f>2*('HOUSE DATA'!I197*('HOUSE DASHBOARD'!$B$21-55.6)+(100-'HOUSE DATA'!I197)*('HOUSE DASHBOARD'!$B$22-44.9))/100</f>
        <v>0</v>
      </c>
      <c r="F224" s="10">
        <f>0</f>
        <v>0</v>
      </c>
      <c r="G224" s="10">
        <f t="shared" si="28"/>
        <v>0</v>
      </c>
      <c r="H224" s="2">
        <f>'HOUSE DATA'!C197+C224+G224</f>
        <v>17.299999999999997</v>
      </c>
      <c r="I224" s="3" t="str">
        <f t="shared" si="29"/>
        <v>D</v>
      </c>
      <c r="J224" s="1" t="str">
        <f>'HOUSE DATA'!K197</f>
        <v>D</v>
      </c>
      <c r="K224" s="1" t="str">
        <f t="shared" si="30"/>
        <v>—</v>
      </c>
      <c r="L224" t="str">
        <f t="shared" si="31"/>
        <v>D+17.30</v>
      </c>
      <c r="M224">
        <f>COUNTIF($H$31:$H$465,"&gt;"&amp;H224)+COUNTIF($H$31:H224,H224)</f>
        <v>187</v>
      </c>
      <c r="N224" s="7">
        <f t="shared" si="32"/>
        <v>17.299999999999997</v>
      </c>
      <c r="O224">
        <f>COUNTIF($N$31:$N$465,"&lt;"&amp;N224)+COUNTIF($N$31:N224,N224)</f>
        <v>155</v>
      </c>
      <c r="P224" s="10">
        <f>'HOUSE DATA'!M197</f>
        <v>6.3399999999999963</v>
      </c>
      <c r="Q224" t="str">
        <f>'HOUSE DATA'!N197</f>
        <v>2024 HOUSE / prior substitute</v>
      </c>
      <c r="R224" s="10">
        <f t="shared" si="33"/>
        <v>10.96</v>
      </c>
      <c r="S224" s="10">
        <f t="shared" si="34"/>
        <v>8.8866230370768875</v>
      </c>
      <c r="T224" s="10">
        <f t="shared" si="35"/>
        <v>2.0733769629231134</v>
      </c>
      <c r="U224" t="s">
        <v>73</v>
      </c>
      <c r="W224" t="s">
        <v>74</v>
      </c>
      <c r="X224" t="s">
        <v>75</v>
      </c>
    </row>
    <row r="225" spans="1:24" x14ac:dyDescent="0.2">
      <c r="A225" t="str">
        <f>'HOUSE DATA'!A198</f>
        <v>MD-07</v>
      </c>
      <c r="B225" s="10">
        <f>'HOUSE DATA'!B198</f>
        <v>77.683427092480983</v>
      </c>
      <c r="C225" s="10">
        <f t="shared" si="27"/>
        <v>-0.29999999999999893</v>
      </c>
      <c r="D225" s="10">
        <f>2*('HOUSE DATA'!D198*('HOUSE DASHBOARD'!$B$14-42.4)+'HOUSE DATA'!E198*('HOUSE DASHBOARD'!$B$15-54.2)+'HOUSE DATA'!F198*('HOUSE DASHBOARD'!$B$16-85.4)+'HOUSE DATA'!G198*('HOUSE DASHBOARD'!$B$17-60.7)+'HOUSE DATA'!H198*('HOUSE DASHBOARD'!$B$18-53.5))/100</f>
        <v>0</v>
      </c>
      <c r="E225" s="10">
        <f>2*('HOUSE DATA'!I198*('HOUSE DASHBOARD'!$B$21-55.6)+(100-'HOUSE DATA'!I198)*('HOUSE DASHBOARD'!$B$22-44.9))/100</f>
        <v>0</v>
      </c>
      <c r="F225" s="10">
        <f>0</f>
        <v>0</v>
      </c>
      <c r="G225" s="10">
        <f t="shared" si="28"/>
        <v>0</v>
      </c>
      <c r="H225" s="2">
        <f>'HOUSE DATA'!C198+C225+G225</f>
        <v>75.719999999999985</v>
      </c>
      <c r="I225" s="3" t="str">
        <f t="shared" si="29"/>
        <v>D</v>
      </c>
      <c r="J225" s="1" t="str">
        <f>'HOUSE DATA'!K198</f>
        <v>D</v>
      </c>
      <c r="K225" s="1" t="str">
        <f t="shared" si="30"/>
        <v>—</v>
      </c>
      <c r="L225" t="str">
        <f t="shared" si="31"/>
        <v>D+75.72</v>
      </c>
      <c r="M225">
        <f>COUNTIF($H$31:$H$465,"&gt;"&amp;H225)+COUNTIF($H$31:H225,H225)</f>
        <v>9</v>
      </c>
      <c r="N225" s="7">
        <f t="shared" si="32"/>
        <v>75.719999999999985</v>
      </c>
      <c r="O225">
        <f>COUNTIF($N$31:$N$465,"&lt;"&amp;N225)+COUNTIF($N$31:N225,N225)</f>
        <v>416</v>
      </c>
      <c r="P225" s="10">
        <f>'HOUSE DATA'!M198</f>
        <v>64.759999999999991</v>
      </c>
      <c r="Q225" t="str">
        <f>'HOUSE DATA'!N198</f>
        <v>2024 HOUSE / prior substitute</v>
      </c>
      <c r="R225" s="10">
        <f t="shared" si="33"/>
        <v>10.959999999999994</v>
      </c>
      <c r="S225" s="10">
        <f t="shared" si="34"/>
        <v>12.923427092480992</v>
      </c>
      <c r="T225" s="10">
        <f t="shared" si="35"/>
        <v>-1.9634270924809982</v>
      </c>
      <c r="U225" t="s">
        <v>73</v>
      </c>
      <c r="W225" t="s">
        <v>74</v>
      </c>
      <c r="X225" t="s">
        <v>75</v>
      </c>
    </row>
    <row r="226" spans="1:24" x14ac:dyDescent="0.2">
      <c r="A226" t="str">
        <f>'HOUSE DATA'!A199</f>
        <v>MD-08</v>
      </c>
      <c r="B226" s="10">
        <f>'HOUSE DATA'!B199</f>
        <v>67.839566938475485</v>
      </c>
      <c r="C226" s="10">
        <f t="shared" si="27"/>
        <v>-0.29999999999999893</v>
      </c>
      <c r="D226" s="10">
        <f>2*('HOUSE DATA'!D199*('HOUSE DASHBOARD'!$B$14-42.4)+'HOUSE DATA'!E199*('HOUSE DASHBOARD'!$B$15-54.2)+'HOUSE DATA'!F199*('HOUSE DASHBOARD'!$B$16-85.4)+'HOUSE DATA'!G199*('HOUSE DASHBOARD'!$B$17-60.7)+'HOUSE DATA'!H199*('HOUSE DASHBOARD'!$B$18-53.5))/100</f>
        <v>0</v>
      </c>
      <c r="E226" s="10">
        <f>2*('HOUSE DATA'!I199*('HOUSE DASHBOARD'!$B$21-55.6)+(100-'HOUSE DATA'!I199)*('HOUSE DASHBOARD'!$B$22-44.9))/100</f>
        <v>0</v>
      </c>
      <c r="F226" s="10">
        <f>0</f>
        <v>0</v>
      </c>
      <c r="G226" s="10">
        <f t="shared" si="28"/>
        <v>0</v>
      </c>
      <c r="H226" s="2">
        <f>'HOUSE DATA'!C199+C226+G226</f>
        <v>68.88</v>
      </c>
      <c r="I226" s="3" t="str">
        <f t="shared" si="29"/>
        <v>D</v>
      </c>
      <c r="J226" s="1" t="str">
        <f>'HOUSE DATA'!K199</f>
        <v>D</v>
      </c>
      <c r="K226" s="1" t="str">
        <f t="shared" si="30"/>
        <v>—</v>
      </c>
      <c r="L226" t="str">
        <f t="shared" si="31"/>
        <v>D+68.88</v>
      </c>
      <c r="M226">
        <f>COUNTIF($H$31:$H$465,"&gt;"&amp;H226)+COUNTIF($H$31:H226,H226)</f>
        <v>18</v>
      </c>
      <c r="N226" s="7">
        <f t="shared" si="32"/>
        <v>68.88</v>
      </c>
      <c r="O226">
        <f>COUNTIF($N$31:$N$465,"&lt;"&amp;N226)+COUNTIF($N$31:N226,N226)</f>
        <v>408</v>
      </c>
      <c r="P226" s="10">
        <f>'HOUSE DATA'!M199</f>
        <v>57.919999999999995</v>
      </c>
      <c r="Q226" t="str">
        <f>'HOUSE DATA'!N199</f>
        <v>2024 HOUSE / prior substitute</v>
      </c>
      <c r="R226" s="10">
        <f t="shared" si="33"/>
        <v>10.96</v>
      </c>
      <c r="S226" s="10">
        <f t="shared" si="34"/>
        <v>9.9195669384754908</v>
      </c>
      <c r="T226" s="10">
        <f t="shared" si="35"/>
        <v>1.0404330615245101</v>
      </c>
      <c r="U226" t="s">
        <v>73</v>
      </c>
      <c r="W226" t="s">
        <v>74</v>
      </c>
      <c r="X226" t="s">
        <v>75</v>
      </c>
    </row>
    <row r="227" spans="1:24" x14ac:dyDescent="0.2">
      <c r="A227" t="str">
        <f>'HOUSE DATA'!A200</f>
        <v>ME-01</v>
      </c>
      <c r="B227" s="10">
        <f>'HOUSE DATA'!B200</f>
        <v>31.736428826147019</v>
      </c>
      <c r="C227" s="10">
        <f t="shared" si="27"/>
        <v>-0.29999999999999893</v>
      </c>
      <c r="D227" s="10">
        <f>2*('HOUSE DATA'!D200*('HOUSE DASHBOARD'!$B$14-42.4)+'HOUSE DATA'!E200*('HOUSE DASHBOARD'!$B$15-54.2)+'HOUSE DATA'!F200*('HOUSE DASHBOARD'!$B$16-85.4)+'HOUSE DATA'!G200*('HOUSE DASHBOARD'!$B$17-60.7)+'HOUSE DATA'!H200*('HOUSE DASHBOARD'!$B$18-53.5))/100</f>
        <v>0</v>
      </c>
      <c r="E227" s="10">
        <f>2*('HOUSE DATA'!I200*('HOUSE DASHBOARD'!$B$21-55.6)+(100-'HOUSE DATA'!I200)*('HOUSE DASHBOARD'!$B$22-44.9))/100</f>
        <v>0</v>
      </c>
      <c r="F227" s="10">
        <f>0</f>
        <v>0</v>
      </c>
      <c r="G227" s="10">
        <f t="shared" si="28"/>
        <v>0</v>
      </c>
      <c r="H227" s="2">
        <f>'HOUSE DATA'!C200+C227+G227</f>
        <v>34.42</v>
      </c>
      <c r="I227" s="3" t="str">
        <f t="shared" si="29"/>
        <v>D</v>
      </c>
      <c r="J227" s="1" t="str">
        <f>'HOUSE DATA'!K200</f>
        <v>D</v>
      </c>
      <c r="K227" s="1" t="str">
        <f t="shared" si="30"/>
        <v>—</v>
      </c>
      <c r="L227" t="str">
        <f t="shared" si="31"/>
        <v>D+34.42</v>
      </c>
      <c r="M227">
        <f>COUNTIF($H$31:$H$465,"&gt;"&amp;H227)+COUNTIF($H$31:H227,H227)</f>
        <v>104</v>
      </c>
      <c r="N227" s="7">
        <f t="shared" si="32"/>
        <v>34.42</v>
      </c>
      <c r="O227">
        <f>COUNTIF($N$31:$N$465,"&lt;"&amp;N227)+COUNTIF($N$31:N227,N227)</f>
        <v>303</v>
      </c>
      <c r="P227" s="10">
        <f>'HOUSE DATA'!M200</f>
        <v>23.46</v>
      </c>
      <c r="Q227" t="str">
        <f>'HOUSE DATA'!N200</f>
        <v>2024 HOUSE / prior substitute</v>
      </c>
      <c r="R227" s="10">
        <f t="shared" si="33"/>
        <v>10.96</v>
      </c>
      <c r="S227" s="10">
        <f t="shared" si="34"/>
        <v>8.2764288261470185</v>
      </c>
      <c r="T227" s="10">
        <f t="shared" si="35"/>
        <v>2.6835711738529824</v>
      </c>
      <c r="U227" t="s">
        <v>73</v>
      </c>
      <c r="W227" t="s">
        <v>74</v>
      </c>
      <c r="X227" t="s">
        <v>75</v>
      </c>
    </row>
    <row r="228" spans="1:24" x14ac:dyDescent="0.2">
      <c r="A228" t="str">
        <f>'HOUSE DATA'!A201</f>
        <v>ME-02</v>
      </c>
      <c r="B228" s="10">
        <f>'HOUSE DATA'!B201</f>
        <v>0.93882787081202346</v>
      </c>
      <c r="C228" s="10">
        <f t="shared" si="27"/>
        <v>-0.29999999999999893</v>
      </c>
      <c r="D228" s="10">
        <f>2*('HOUSE DATA'!D201*('HOUSE DASHBOARD'!$B$14-42.4)+'HOUSE DATA'!E201*('HOUSE DASHBOARD'!$B$15-54.2)+'HOUSE DATA'!F201*('HOUSE DASHBOARD'!$B$16-85.4)+'HOUSE DATA'!G201*('HOUSE DASHBOARD'!$B$17-60.7)+'HOUSE DATA'!H201*('HOUSE DASHBOARD'!$B$18-53.5))/100</f>
        <v>0</v>
      </c>
      <c r="E228" s="10">
        <f>2*('HOUSE DATA'!I201*('HOUSE DASHBOARD'!$B$21-55.6)+(100-'HOUSE DATA'!I201)*('HOUSE DASHBOARD'!$B$22-44.9))/100</f>
        <v>0</v>
      </c>
      <c r="F228" s="10">
        <f>0</f>
        <v>0</v>
      </c>
      <c r="G228" s="10">
        <f t="shared" si="28"/>
        <v>0</v>
      </c>
      <c r="H228" s="2">
        <f>'HOUSE DATA'!C201+C228+G228</f>
        <v>1.5</v>
      </c>
      <c r="I228" s="3" t="str">
        <f t="shared" si="29"/>
        <v>D</v>
      </c>
      <c r="J228" s="1" t="str">
        <f>'HOUSE DATA'!K201</f>
        <v>D</v>
      </c>
      <c r="K228" s="1" t="str">
        <f t="shared" si="30"/>
        <v>—</v>
      </c>
      <c r="L228" t="str">
        <f t="shared" si="31"/>
        <v>D+1.50</v>
      </c>
      <c r="M228">
        <f>COUNTIF($H$31:$H$465,"&gt;"&amp;H228)+COUNTIF($H$31:H228,H228)</f>
        <v>231</v>
      </c>
      <c r="N228" s="7">
        <f t="shared" si="32"/>
        <v>1.5</v>
      </c>
      <c r="O228">
        <f>COUNTIF($N$31:$N$465,"&lt;"&amp;N228)+COUNTIF($N$31:N228,N228)</f>
        <v>14</v>
      </c>
      <c r="P228" s="10">
        <f>'HOUSE DATA'!M201</f>
        <v>-9.0500000000000007</v>
      </c>
      <c r="Q228" t="str">
        <f>'HOUSE DATA'!N201</f>
        <v>2024 PRESIDENT (open seat)</v>
      </c>
      <c r="R228" s="10">
        <f t="shared" si="33"/>
        <v>10.55</v>
      </c>
      <c r="S228" s="10">
        <f t="shared" si="34"/>
        <v>9.9888278708120239</v>
      </c>
      <c r="T228" s="10">
        <f t="shared" si="35"/>
        <v>0.56117212918797654</v>
      </c>
      <c r="U228" t="s">
        <v>73</v>
      </c>
      <c r="W228" t="s">
        <v>74</v>
      </c>
      <c r="X228" t="s">
        <v>75</v>
      </c>
    </row>
    <row r="229" spans="1:24" x14ac:dyDescent="0.2">
      <c r="A229" t="str">
        <f>'HOUSE DATA'!A202</f>
        <v>MI-01</v>
      </c>
      <c r="B229" s="10">
        <f>'HOUSE DATA'!B202</f>
        <v>-11.939934587745505</v>
      </c>
      <c r="C229" s="10">
        <f t="shared" si="27"/>
        <v>-0.29999999999999893</v>
      </c>
      <c r="D229" s="10">
        <f>2*('HOUSE DATA'!D202*('HOUSE DASHBOARD'!$B$14-42.4)+'HOUSE DATA'!E202*('HOUSE DASHBOARD'!$B$15-54.2)+'HOUSE DATA'!F202*('HOUSE DASHBOARD'!$B$16-85.4)+'HOUSE DATA'!G202*('HOUSE DASHBOARD'!$B$17-60.7)+'HOUSE DATA'!H202*('HOUSE DASHBOARD'!$B$18-53.5))/100</f>
        <v>0</v>
      </c>
      <c r="E229" s="10">
        <f>2*('HOUSE DATA'!I202*('HOUSE DASHBOARD'!$B$21-55.6)+(100-'HOUSE DATA'!I202)*('HOUSE DASHBOARD'!$B$22-44.9))/100</f>
        <v>0</v>
      </c>
      <c r="F229" s="10">
        <f>0</f>
        <v>0</v>
      </c>
      <c r="G229" s="10">
        <f t="shared" si="28"/>
        <v>0</v>
      </c>
      <c r="H229" s="2">
        <f>'HOUSE DATA'!C202+C229+G229</f>
        <v>-10.920000000000002</v>
      </c>
      <c r="I229" s="3" t="str">
        <f t="shared" si="29"/>
        <v>R</v>
      </c>
      <c r="J229" s="1" t="str">
        <f>'HOUSE DATA'!K202</f>
        <v>R</v>
      </c>
      <c r="K229" s="1" t="str">
        <f t="shared" si="30"/>
        <v>—</v>
      </c>
      <c r="L229" t="str">
        <f t="shared" si="31"/>
        <v>R+10.92</v>
      </c>
      <c r="M229">
        <f>COUNTIF($H$31:$H$465,"&gt;"&amp;H229)+COUNTIF($H$31:H229,H229)</f>
        <v>309</v>
      </c>
      <c r="N229" s="7">
        <f t="shared" si="32"/>
        <v>10.920000000000002</v>
      </c>
      <c r="O229">
        <f>COUNTIF($N$31:$N$465,"&lt;"&amp;N229)+COUNTIF($N$31:N229,N229)</f>
        <v>100</v>
      </c>
      <c r="P229" s="10">
        <f>'HOUSE DATA'!M202</f>
        <v>-21.880000000000003</v>
      </c>
      <c r="Q229" t="str">
        <f>'HOUSE DATA'!N202</f>
        <v>2024 HOUSE / prior substitute</v>
      </c>
      <c r="R229" s="10">
        <f t="shared" si="33"/>
        <v>10.96</v>
      </c>
      <c r="S229" s="10">
        <f t="shared" si="34"/>
        <v>9.9400654122544978</v>
      </c>
      <c r="T229" s="10">
        <f t="shared" si="35"/>
        <v>1.0199345877455031</v>
      </c>
      <c r="U229" t="s">
        <v>73</v>
      </c>
      <c r="W229" t="s">
        <v>74</v>
      </c>
      <c r="X229" t="s">
        <v>75</v>
      </c>
    </row>
    <row r="230" spans="1:24" x14ac:dyDescent="0.2">
      <c r="A230" t="str">
        <f>'HOUSE DATA'!A203</f>
        <v>MI-02</v>
      </c>
      <c r="B230" s="10">
        <f>'HOUSE DATA'!B203</f>
        <v>-24.355633301853189</v>
      </c>
      <c r="C230" s="10">
        <f t="shared" si="27"/>
        <v>-0.29999999999999893</v>
      </c>
      <c r="D230" s="10">
        <f>2*('HOUSE DATA'!D203*('HOUSE DASHBOARD'!$B$14-42.4)+'HOUSE DATA'!E203*('HOUSE DASHBOARD'!$B$15-54.2)+'HOUSE DATA'!F203*('HOUSE DASHBOARD'!$B$16-85.4)+'HOUSE DATA'!G203*('HOUSE DASHBOARD'!$B$17-60.7)+'HOUSE DATA'!H203*('HOUSE DASHBOARD'!$B$18-53.5))/100</f>
        <v>0</v>
      </c>
      <c r="E230" s="10">
        <f>2*('HOUSE DATA'!I203*('HOUSE DASHBOARD'!$B$21-55.6)+(100-'HOUSE DATA'!I203)*('HOUSE DASHBOARD'!$B$22-44.9))/100</f>
        <v>0</v>
      </c>
      <c r="F230" s="10">
        <f>0</f>
        <v>0</v>
      </c>
      <c r="G230" s="10">
        <f t="shared" si="28"/>
        <v>0</v>
      </c>
      <c r="H230" s="2">
        <f>'HOUSE DATA'!C203+C230+G230</f>
        <v>-23.58</v>
      </c>
      <c r="I230" s="3" t="str">
        <f t="shared" si="29"/>
        <v>R</v>
      </c>
      <c r="J230" s="1" t="str">
        <f>'HOUSE DATA'!K203</f>
        <v>R</v>
      </c>
      <c r="K230" s="1" t="str">
        <f t="shared" si="30"/>
        <v>—</v>
      </c>
      <c r="L230" t="str">
        <f t="shared" si="31"/>
        <v>R+23.58</v>
      </c>
      <c r="M230">
        <f>COUNTIF($H$31:$H$465,"&gt;"&amp;H230)+COUNTIF($H$31:H230,H230)</f>
        <v>378</v>
      </c>
      <c r="N230" s="7">
        <f t="shared" si="32"/>
        <v>23.58</v>
      </c>
      <c r="O230">
        <f>COUNTIF($N$31:$N$465,"&lt;"&amp;N230)+COUNTIF($N$31:N230,N230)</f>
        <v>223</v>
      </c>
      <c r="P230" s="10">
        <f>'HOUSE DATA'!M203</f>
        <v>-34.54</v>
      </c>
      <c r="Q230" t="str">
        <f>'HOUSE DATA'!N203</f>
        <v>2024 HOUSE / prior substitute</v>
      </c>
      <c r="R230" s="10">
        <f t="shared" si="33"/>
        <v>10.96</v>
      </c>
      <c r="S230" s="10">
        <f t="shared" si="34"/>
        <v>10.18436669814681</v>
      </c>
      <c r="T230" s="10">
        <f t="shared" si="35"/>
        <v>0.77563330185319046</v>
      </c>
      <c r="U230" t="s">
        <v>73</v>
      </c>
      <c r="W230" t="s">
        <v>74</v>
      </c>
      <c r="X230" t="s">
        <v>75</v>
      </c>
    </row>
    <row r="231" spans="1:24" x14ac:dyDescent="0.2">
      <c r="A231" t="str">
        <f>'HOUSE DATA'!A204</f>
        <v>MI-03</v>
      </c>
      <c r="B231" s="10">
        <f>'HOUSE DATA'!B204</f>
        <v>20.049442187576464</v>
      </c>
      <c r="C231" s="10">
        <f t="shared" si="27"/>
        <v>-0.29999999999999893</v>
      </c>
      <c r="D231" s="10">
        <f>2*('HOUSE DATA'!D204*('HOUSE DASHBOARD'!$B$14-42.4)+'HOUSE DATA'!E204*('HOUSE DASHBOARD'!$B$15-54.2)+'HOUSE DATA'!F204*('HOUSE DASHBOARD'!$B$16-85.4)+'HOUSE DATA'!G204*('HOUSE DASHBOARD'!$B$17-60.7)+'HOUSE DATA'!H204*('HOUSE DASHBOARD'!$B$18-53.5))/100</f>
        <v>0</v>
      </c>
      <c r="E231" s="10">
        <f>2*('HOUSE DATA'!I204*('HOUSE DASHBOARD'!$B$21-55.6)+(100-'HOUSE DATA'!I204)*('HOUSE DASHBOARD'!$B$22-44.9))/100</f>
        <v>0</v>
      </c>
      <c r="F231" s="10">
        <f>0</f>
        <v>0</v>
      </c>
      <c r="G231" s="10">
        <f t="shared" si="28"/>
        <v>0</v>
      </c>
      <c r="H231" s="2">
        <f>'HOUSE DATA'!C204+C231+G231</f>
        <v>21.099999999999994</v>
      </c>
      <c r="I231" s="3" t="str">
        <f t="shared" si="29"/>
        <v>D</v>
      </c>
      <c r="J231" s="1" t="str">
        <f>'HOUSE DATA'!K204</f>
        <v>D</v>
      </c>
      <c r="K231" s="1" t="str">
        <f t="shared" si="30"/>
        <v>—</v>
      </c>
      <c r="L231" t="str">
        <f t="shared" si="31"/>
        <v>D+21.10</v>
      </c>
      <c r="M231">
        <f>COUNTIF($H$31:$H$465,"&gt;"&amp;H231)+COUNTIF($H$31:H231,H231)</f>
        <v>165</v>
      </c>
      <c r="N231" s="7">
        <f t="shared" si="32"/>
        <v>21.099999999999994</v>
      </c>
      <c r="O231">
        <f>COUNTIF($N$31:$N$465,"&lt;"&amp;N231)+COUNTIF($N$31:N231,N231)</f>
        <v>199</v>
      </c>
      <c r="P231" s="10">
        <f>'HOUSE DATA'!M204</f>
        <v>10.139999999999993</v>
      </c>
      <c r="Q231" t="str">
        <f>'HOUSE DATA'!N204</f>
        <v>2024 HOUSE / prior substitute</v>
      </c>
      <c r="R231" s="10">
        <f t="shared" si="33"/>
        <v>10.96</v>
      </c>
      <c r="S231" s="10">
        <f t="shared" si="34"/>
        <v>9.9094421875764702</v>
      </c>
      <c r="T231" s="10">
        <f t="shared" si="35"/>
        <v>1.0505578124235306</v>
      </c>
      <c r="U231" t="s">
        <v>73</v>
      </c>
      <c r="W231" t="s">
        <v>74</v>
      </c>
      <c r="X231" t="s">
        <v>75</v>
      </c>
    </row>
    <row r="232" spans="1:24" x14ac:dyDescent="0.2">
      <c r="A232" t="str">
        <f>'HOUSE DATA'!A205</f>
        <v>MI-04</v>
      </c>
      <c r="B232" s="10">
        <f>'HOUSE DATA'!B205</f>
        <v>-1.9329051402317845</v>
      </c>
      <c r="C232" s="10">
        <f t="shared" si="27"/>
        <v>-0.29999999999999893</v>
      </c>
      <c r="D232" s="10">
        <f>2*('HOUSE DATA'!D205*('HOUSE DASHBOARD'!$B$14-42.4)+'HOUSE DATA'!E205*('HOUSE DASHBOARD'!$B$15-54.2)+'HOUSE DATA'!F205*('HOUSE DASHBOARD'!$B$16-85.4)+'HOUSE DATA'!G205*('HOUSE DASHBOARD'!$B$17-60.7)+'HOUSE DATA'!H205*('HOUSE DASHBOARD'!$B$18-53.5))/100</f>
        <v>0</v>
      </c>
      <c r="E232" s="10">
        <f>2*('HOUSE DATA'!I205*('HOUSE DASHBOARD'!$B$21-55.6)+(100-'HOUSE DATA'!I205)*('HOUSE DASHBOARD'!$B$22-44.9))/100</f>
        <v>0</v>
      </c>
      <c r="F232" s="10">
        <f>0</f>
        <v>0</v>
      </c>
      <c r="G232" s="10">
        <f t="shared" si="28"/>
        <v>0</v>
      </c>
      <c r="H232" s="2">
        <f>'HOUSE DATA'!C205+C232+G232</f>
        <v>-0.94000000000000505</v>
      </c>
      <c r="I232" s="3" t="str">
        <f t="shared" si="29"/>
        <v>R</v>
      </c>
      <c r="J232" s="1" t="str">
        <f>'HOUSE DATA'!K205</f>
        <v>R</v>
      </c>
      <c r="K232" s="1" t="str">
        <f t="shared" si="30"/>
        <v>—</v>
      </c>
      <c r="L232" t="str">
        <f t="shared" si="31"/>
        <v>R+0.94</v>
      </c>
      <c r="M232">
        <f>COUNTIF($H$31:$H$465,"&gt;"&amp;H232)+COUNTIF($H$31:H232,H232)</f>
        <v>241</v>
      </c>
      <c r="N232" s="7">
        <f t="shared" si="32"/>
        <v>0.94000000000000505</v>
      </c>
      <c r="O232">
        <f>COUNTIF($N$31:$N$465,"&lt;"&amp;N232)+COUNTIF($N$31:N232,N232)</f>
        <v>9</v>
      </c>
      <c r="P232" s="10">
        <f>'HOUSE DATA'!M205</f>
        <v>-11.900000000000006</v>
      </c>
      <c r="Q232" t="str">
        <f>'HOUSE DATA'!N205</f>
        <v>2024 HOUSE / prior substitute</v>
      </c>
      <c r="R232" s="10">
        <f t="shared" si="33"/>
        <v>10.96</v>
      </c>
      <c r="S232" s="10">
        <f t="shared" si="34"/>
        <v>9.9670948597682205</v>
      </c>
      <c r="T232" s="10">
        <f t="shared" si="35"/>
        <v>0.99290514023177945</v>
      </c>
      <c r="U232" t="s">
        <v>73</v>
      </c>
      <c r="W232" t="s">
        <v>74</v>
      </c>
      <c r="X232" t="s">
        <v>75</v>
      </c>
    </row>
    <row r="233" spans="1:24" x14ac:dyDescent="0.2">
      <c r="A233" t="str">
        <f>'HOUSE DATA'!A206</f>
        <v>MI-05</v>
      </c>
      <c r="B233" s="10">
        <f>'HOUSE DATA'!B206</f>
        <v>-23.388752732335412</v>
      </c>
      <c r="C233" s="10">
        <f t="shared" si="27"/>
        <v>-0.29999999999999893</v>
      </c>
      <c r="D233" s="10">
        <f>2*('HOUSE DATA'!D206*('HOUSE DASHBOARD'!$B$14-42.4)+'HOUSE DATA'!E206*('HOUSE DASHBOARD'!$B$15-54.2)+'HOUSE DATA'!F206*('HOUSE DASHBOARD'!$B$16-85.4)+'HOUSE DATA'!G206*('HOUSE DASHBOARD'!$B$17-60.7)+'HOUSE DATA'!H206*('HOUSE DASHBOARD'!$B$18-53.5))/100</f>
        <v>0</v>
      </c>
      <c r="E233" s="10">
        <f>2*('HOUSE DATA'!I206*('HOUSE DASHBOARD'!$B$21-55.6)+(100-'HOUSE DATA'!I206)*('HOUSE DASHBOARD'!$B$22-44.9))/100</f>
        <v>0</v>
      </c>
      <c r="F233" s="10">
        <f>0</f>
        <v>0</v>
      </c>
      <c r="G233" s="10">
        <f t="shared" si="28"/>
        <v>0</v>
      </c>
      <c r="H233" s="2">
        <f>'HOUSE DATA'!C206+C233+G233</f>
        <v>-22.479999999999997</v>
      </c>
      <c r="I233" s="3" t="str">
        <f t="shared" si="29"/>
        <v>R</v>
      </c>
      <c r="J233" s="1" t="str">
        <f>'HOUSE DATA'!K206</f>
        <v>R</v>
      </c>
      <c r="K233" s="1" t="str">
        <f t="shared" si="30"/>
        <v>—</v>
      </c>
      <c r="L233" t="str">
        <f t="shared" si="31"/>
        <v>R+22.48</v>
      </c>
      <c r="M233">
        <f>COUNTIF($H$31:$H$465,"&gt;"&amp;H233)+COUNTIF($H$31:H233,H233)</f>
        <v>372</v>
      </c>
      <c r="N233" s="7">
        <f t="shared" si="32"/>
        <v>22.479999999999997</v>
      </c>
      <c r="O233">
        <f>COUNTIF($N$31:$N$465,"&lt;"&amp;N233)+COUNTIF($N$31:N233,N233)</f>
        <v>213</v>
      </c>
      <c r="P233" s="10">
        <f>'HOUSE DATA'!M206</f>
        <v>-33.44</v>
      </c>
      <c r="Q233" t="str">
        <f>'HOUSE DATA'!N206</f>
        <v>2024 HOUSE / prior substitute</v>
      </c>
      <c r="R233" s="10">
        <f t="shared" si="33"/>
        <v>10.96</v>
      </c>
      <c r="S233" s="10">
        <f t="shared" si="34"/>
        <v>10.051247267664586</v>
      </c>
      <c r="T233" s="10">
        <f t="shared" si="35"/>
        <v>0.9087527323354152</v>
      </c>
      <c r="U233" t="s">
        <v>73</v>
      </c>
      <c r="W233" t="s">
        <v>74</v>
      </c>
      <c r="X233" t="s">
        <v>75</v>
      </c>
    </row>
    <row r="234" spans="1:24" x14ac:dyDescent="0.2">
      <c r="A234" t="str">
        <f>'HOUSE DATA'!A207</f>
        <v>MI-06</v>
      </c>
      <c r="B234" s="10">
        <f>'HOUSE DATA'!B207</f>
        <v>36.674171019654636</v>
      </c>
      <c r="C234" s="10">
        <f t="shared" si="27"/>
        <v>-0.29999999999999893</v>
      </c>
      <c r="D234" s="10">
        <f>2*('HOUSE DATA'!D207*('HOUSE DASHBOARD'!$B$14-42.4)+'HOUSE DATA'!E207*('HOUSE DASHBOARD'!$B$15-54.2)+'HOUSE DATA'!F207*('HOUSE DASHBOARD'!$B$16-85.4)+'HOUSE DATA'!G207*('HOUSE DASHBOARD'!$B$17-60.7)+'HOUSE DATA'!H207*('HOUSE DASHBOARD'!$B$18-53.5))/100</f>
        <v>0</v>
      </c>
      <c r="E234" s="10">
        <f>2*('HOUSE DATA'!I207*('HOUSE DASHBOARD'!$B$21-55.6)+(100-'HOUSE DATA'!I207)*('HOUSE DASHBOARD'!$B$22-44.9))/100</f>
        <v>0</v>
      </c>
      <c r="F234" s="10">
        <f>0</f>
        <v>0</v>
      </c>
      <c r="G234" s="10">
        <f t="shared" si="28"/>
        <v>0</v>
      </c>
      <c r="H234" s="2">
        <f>'HOUSE DATA'!C207+C234+G234</f>
        <v>38.82</v>
      </c>
      <c r="I234" s="3" t="str">
        <f t="shared" si="29"/>
        <v>D</v>
      </c>
      <c r="J234" s="1" t="str">
        <f>'HOUSE DATA'!K207</f>
        <v>D</v>
      </c>
      <c r="K234" s="1" t="str">
        <f t="shared" si="30"/>
        <v>—</v>
      </c>
      <c r="L234" t="str">
        <f t="shared" si="31"/>
        <v>D+38.82</v>
      </c>
      <c r="M234">
        <f>COUNTIF($H$31:$H$465,"&gt;"&amp;H234)+COUNTIF($H$31:H234,H234)</f>
        <v>89</v>
      </c>
      <c r="N234" s="7">
        <f t="shared" si="32"/>
        <v>38.82</v>
      </c>
      <c r="O234">
        <f>COUNTIF($N$31:$N$465,"&lt;"&amp;N234)+COUNTIF($N$31:N234,N234)</f>
        <v>330</v>
      </c>
      <c r="P234" s="10">
        <f>'HOUSE DATA'!M207</f>
        <v>27.86</v>
      </c>
      <c r="Q234" t="str">
        <f>'HOUSE DATA'!N207</f>
        <v>2024 HOUSE / prior substitute</v>
      </c>
      <c r="R234" s="10">
        <f t="shared" si="33"/>
        <v>10.96</v>
      </c>
      <c r="S234" s="10">
        <f t="shared" si="34"/>
        <v>8.814171019654637</v>
      </c>
      <c r="T234" s="10">
        <f t="shared" si="35"/>
        <v>2.1458289803453638</v>
      </c>
      <c r="U234" t="s">
        <v>73</v>
      </c>
      <c r="W234" t="s">
        <v>74</v>
      </c>
      <c r="X234" t="s">
        <v>75</v>
      </c>
    </row>
    <row r="235" spans="1:24" x14ac:dyDescent="0.2">
      <c r="A235" t="str">
        <f>'HOUSE DATA'!A208</f>
        <v>MI-07</v>
      </c>
      <c r="B235" s="10">
        <f>'HOUSE DATA'!B208</f>
        <v>5.5113007635391238</v>
      </c>
      <c r="C235" s="10">
        <f t="shared" si="27"/>
        <v>-0.29999999999999893</v>
      </c>
      <c r="D235" s="10">
        <f>2*('HOUSE DATA'!D208*('HOUSE DASHBOARD'!$B$14-42.4)+'HOUSE DATA'!E208*('HOUSE DASHBOARD'!$B$15-54.2)+'HOUSE DATA'!F208*('HOUSE DASHBOARD'!$B$16-85.4)+'HOUSE DATA'!G208*('HOUSE DASHBOARD'!$B$17-60.7)+'HOUSE DATA'!H208*('HOUSE DASHBOARD'!$B$18-53.5))/100</f>
        <v>0</v>
      </c>
      <c r="E235" s="10">
        <f>2*('HOUSE DATA'!I208*('HOUSE DASHBOARD'!$B$21-55.6)+(100-'HOUSE DATA'!I208)*('HOUSE DASHBOARD'!$B$22-44.9))/100</f>
        <v>0</v>
      </c>
      <c r="F235" s="10">
        <f>0</f>
        <v>0</v>
      </c>
      <c r="G235" s="10">
        <f t="shared" si="28"/>
        <v>0</v>
      </c>
      <c r="H235" s="2">
        <f>'HOUSE DATA'!C208+C235+G235</f>
        <v>7.1199999999999974</v>
      </c>
      <c r="I235" s="3" t="str">
        <f t="shared" si="29"/>
        <v>D</v>
      </c>
      <c r="J235" s="1" t="str">
        <f>'HOUSE DATA'!K208</f>
        <v>R</v>
      </c>
      <c r="K235" s="1" t="str">
        <f t="shared" si="30"/>
        <v>R → D</v>
      </c>
      <c r="L235" t="str">
        <f t="shared" si="31"/>
        <v>D+7.12</v>
      </c>
      <c r="M235">
        <f>COUNTIF($H$31:$H$465,"&gt;"&amp;H235)+COUNTIF($H$31:H235,H235)</f>
        <v>221</v>
      </c>
      <c r="N235" s="7">
        <f t="shared" si="32"/>
        <v>7.1199999999999974</v>
      </c>
      <c r="O235">
        <f>COUNTIF($N$31:$N$465,"&lt;"&amp;N235)+COUNTIF($N$31:N235,N235)</f>
        <v>60</v>
      </c>
      <c r="P235" s="10">
        <f>'HOUSE DATA'!M208</f>
        <v>-3.8400000000000034</v>
      </c>
      <c r="Q235" t="str">
        <f>'HOUSE DATA'!N208</f>
        <v>2024 HOUSE / prior substitute</v>
      </c>
      <c r="R235" s="10">
        <f t="shared" si="33"/>
        <v>10.96</v>
      </c>
      <c r="S235" s="10">
        <f t="shared" si="34"/>
        <v>9.3513007635391272</v>
      </c>
      <c r="T235" s="10">
        <f t="shared" si="35"/>
        <v>1.6086992364608736</v>
      </c>
      <c r="U235" t="s">
        <v>73</v>
      </c>
      <c r="W235" t="s">
        <v>74</v>
      </c>
      <c r="X235" t="s">
        <v>75</v>
      </c>
    </row>
    <row r="236" spans="1:24" x14ac:dyDescent="0.2">
      <c r="A236" t="str">
        <f>'HOUSE DATA'!A209</f>
        <v>MI-08</v>
      </c>
      <c r="B236" s="10">
        <f>'HOUSE DATA'!B209</f>
        <v>17.978385331011619</v>
      </c>
      <c r="C236" s="10">
        <f t="shared" si="27"/>
        <v>-0.29999999999999893</v>
      </c>
      <c r="D236" s="10">
        <f>2*('HOUSE DATA'!D209*('HOUSE DASHBOARD'!$B$14-42.4)+'HOUSE DATA'!E209*('HOUSE DASHBOARD'!$B$15-54.2)+'HOUSE DATA'!F209*('HOUSE DASHBOARD'!$B$16-85.4)+'HOUSE DATA'!G209*('HOUSE DASHBOARD'!$B$17-60.7)+'HOUSE DATA'!H209*('HOUSE DASHBOARD'!$B$18-53.5))/100</f>
        <v>0</v>
      </c>
      <c r="E236" s="10">
        <f>2*('HOUSE DATA'!I209*('HOUSE DASHBOARD'!$B$21-55.6)+(100-'HOUSE DATA'!I209)*('HOUSE DASHBOARD'!$B$22-44.9))/100</f>
        <v>0</v>
      </c>
      <c r="F236" s="10">
        <f>0</f>
        <v>0</v>
      </c>
      <c r="G236" s="10">
        <f t="shared" si="28"/>
        <v>0</v>
      </c>
      <c r="H236" s="2">
        <f>'HOUSE DATA'!C209+C236+G236</f>
        <v>17.879999999999995</v>
      </c>
      <c r="I236" s="3" t="str">
        <f t="shared" si="29"/>
        <v>D</v>
      </c>
      <c r="J236" s="1" t="str">
        <f>'HOUSE DATA'!K209</f>
        <v>D</v>
      </c>
      <c r="K236" s="1" t="str">
        <f t="shared" si="30"/>
        <v>—</v>
      </c>
      <c r="L236" t="str">
        <f t="shared" si="31"/>
        <v>D+17.88</v>
      </c>
      <c r="M236">
        <f>COUNTIF($H$31:$H$465,"&gt;"&amp;H236)+COUNTIF($H$31:H236,H236)</f>
        <v>184</v>
      </c>
      <c r="N236" s="7">
        <f t="shared" si="32"/>
        <v>17.879999999999995</v>
      </c>
      <c r="O236">
        <f>COUNTIF($N$31:$N$465,"&lt;"&amp;N236)+COUNTIF($N$31:N236,N236)</f>
        <v>159</v>
      </c>
      <c r="P236" s="10">
        <f>'HOUSE DATA'!M209</f>
        <v>6.9199999999999946</v>
      </c>
      <c r="Q236" t="str">
        <f>'HOUSE DATA'!N209</f>
        <v>2024 HOUSE / prior substitute</v>
      </c>
      <c r="R236" s="10">
        <f t="shared" si="33"/>
        <v>10.96</v>
      </c>
      <c r="S236" s="10">
        <f t="shared" si="34"/>
        <v>11.058385331011625</v>
      </c>
      <c r="T236" s="10">
        <f t="shared" si="35"/>
        <v>-9.8385331011623833E-2</v>
      </c>
      <c r="U236" t="s">
        <v>73</v>
      </c>
      <c r="W236" t="s">
        <v>74</v>
      </c>
      <c r="X236" t="s">
        <v>75</v>
      </c>
    </row>
    <row r="237" spans="1:24" x14ac:dyDescent="0.2">
      <c r="A237" t="str">
        <f>'HOUSE DATA'!A210</f>
        <v>MI-09</v>
      </c>
      <c r="B237" s="10">
        <f>'HOUSE DATA'!B210</f>
        <v>-29.916941660360052</v>
      </c>
      <c r="C237" s="10">
        <f t="shared" si="27"/>
        <v>-0.29999999999999893</v>
      </c>
      <c r="D237" s="10">
        <f>2*('HOUSE DATA'!D210*('HOUSE DASHBOARD'!$B$14-42.4)+'HOUSE DATA'!E210*('HOUSE DASHBOARD'!$B$15-54.2)+'HOUSE DATA'!F210*('HOUSE DASHBOARD'!$B$16-85.4)+'HOUSE DATA'!G210*('HOUSE DASHBOARD'!$B$17-60.7)+'HOUSE DATA'!H210*('HOUSE DASHBOARD'!$B$18-53.5))/100</f>
        <v>0</v>
      </c>
      <c r="E237" s="10">
        <f>2*('HOUSE DATA'!I210*('HOUSE DASHBOARD'!$B$21-55.6)+(100-'HOUSE DATA'!I210)*('HOUSE DASHBOARD'!$B$22-44.9))/100</f>
        <v>0</v>
      </c>
      <c r="F237" s="10">
        <f>0</f>
        <v>0</v>
      </c>
      <c r="G237" s="10">
        <f t="shared" si="28"/>
        <v>0</v>
      </c>
      <c r="H237" s="2">
        <f>'HOUSE DATA'!C210+C237+G237</f>
        <v>-27.739999999999995</v>
      </c>
      <c r="I237" s="3" t="str">
        <f t="shared" si="29"/>
        <v>R</v>
      </c>
      <c r="J237" s="1" t="str">
        <f>'HOUSE DATA'!K210</f>
        <v>R</v>
      </c>
      <c r="K237" s="1" t="str">
        <f t="shared" si="30"/>
        <v>—</v>
      </c>
      <c r="L237" t="str">
        <f t="shared" si="31"/>
        <v>R+27.74</v>
      </c>
      <c r="M237">
        <f>COUNTIF($H$31:$H$465,"&gt;"&amp;H237)+COUNTIF($H$31:H237,H237)</f>
        <v>391</v>
      </c>
      <c r="N237" s="7">
        <f t="shared" si="32"/>
        <v>27.739999999999995</v>
      </c>
      <c r="O237">
        <f>COUNTIF($N$31:$N$465,"&lt;"&amp;N237)+COUNTIF($N$31:N237,N237)</f>
        <v>258</v>
      </c>
      <c r="P237" s="10">
        <f>'HOUSE DATA'!M210</f>
        <v>-38.699999999999996</v>
      </c>
      <c r="Q237" t="str">
        <f>'HOUSE DATA'!N210</f>
        <v>2024 HOUSE / prior substitute</v>
      </c>
      <c r="R237" s="10">
        <f t="shared" si="33"/>
        <v>10.96</v>
      </c>
      <c r="S237" s="10">
        <f t="shared" si="34"/>
        <v>8.7830583396399433</v>
      </c>
      <c r="T237" s="10">
        <f t="shared" si="35"/>
        <v>2.1769416603600575</v>
      </c>
      <c r="U237" t="s">
        <v>73</v>
      </c>
      <c r="W237" t="s">
        <v>74</v>
      </c>
      <c r="X237" t="s">
        <v>75</v>
      </c>
    </row>
    <row r="238" spans="1:24" x14ac:dyDescent="0.2">
      <c r="A238" t="str">
        <f>'HOUSE DATA'!A211</f>
        <v>MI-10</v>
      </c>
      <c r="B238" s="10">
        <f>'HOUSE DATA'!B211</f>
        <v>3.5405109909469772</v>
      </c>
      <c r="C238" s="10">
        <f t="shared" si="27"/>
        <v>-0.29999999999999893</v>
      </c>
      <c r="D238" s="10">
        <f>2*('HOUSE DATA'!D211*('HOUSE DASHBOARD'!$B$14-42.4)+'HOUSE DATA'!E211*('HOUSE DASHBOARD'!$B$15-54.2)+'HOUSE DATA'!F211*('HOUSE DASHBOARD'!$B$16-85.4)+'HOUSE DATA'!G211*('HOUSE DASHBOARD'!$B$17-60.7)+'HOUSE DATA'!H211*('HOUSE DASHBOARD'!$B$18-53.5))/100</f>
        <v>0</v>
      </c>
      <c r="E238" s="10">
        <f>2*('HOUSE DATA'!I211*('HOUSE DASHBOARD'!$B$21-55.6)+(100-'HOUSE DATA'!I211)*('HOUSE DASHBOARD'!$B$22-44.9))/100</f>
        <v>0</v>
      </c>
      <c r="F238" s="10">
        <f>0</f>
        <v>0</v>
      </c>
      <c r="G238" s="10">
        <f t="shared" si="28"/>
        <v>0</v>
      </c>
      <c r="H238" s="2">
        <f>'HOUSE DATA'!C211+C238+G238</f>
        <v>4.0000000000000009</v>
      </c>
      <c r="I238" s="3" t="str">
        <f t="shared" si="29"/>
        <v>D</v>
      </c>
      <c r="J238" s="1" t="str">
        <f>'HOUSE DATA'!K211</f>
        <v>R</v>
      </c>
      <c r="K238" s="1" t="str">
        <f t="shared" si="30"/>
        <v>R → D</v>
      </c>
      <c r="L238" t="str">
        <f t="shared" si="31"/>
        <v>D+4.00</v>
      </c>
      <c r="M238">
        <f>COUNTIF($H$31:$H$465,"&gt;"&amp;H238)+COUNTIF($H$31:H238,H238)</f>
        <v>227</v>
      </c>
      <c r="N238" s="7">
        <f t="shared" si="32"/>
        <v>4.0000000000000009</v>
      </c>
      <c r="O238">
        <f>COUNTIF($N$31:$N$465,"&lt;"&amp;N238)+COUNTIF($N$31:N238,N238)</f>
        <v>33</v>
      </c>
      <c r="P238" s="10">
        <f>'HOUSE DATA'!M211</f>
        <v>-6.55</v>
      </c>
      <c r="Q238" t="str">
        <f>'HOUSE DATA'!N211</f>
        <v>2024 PRESIDENT (open seat)</v>
      </c>
      <c r="R238" s="10">
        <f t="shared" si="33"/>
        <v>10.55</v>
      </c>
      <c r="S238" s="10">
        <f t="shared" si="34"/>
        <v>10.090510990946978</v>
      </c>
      <c r="T238" s="10">
        <f t="shared" si="35"/>
        <v>0.4594890090530237</v>
      </c>
      <c r="U238" t="s">
        <v>73</v>
      </c>
      <c r="W238" t="s">
        <v>74</v>
      </c>
      <c r="X238" t="s">
        <v>75</v>
      </c>
    </row>
    <row r="239" spans="1:24" x14ac:dyDescent="0.2">
      <c r="A239" t="str">
        <f>'HOUSE DATA'!A212</f>
        <v>MI-11</v>
      </c>
      <c r="B239" s="10">
        <f>'HOUSE DATA'!B212</f>
        <v>25.006512274208177</v>
      </c>
      <c r="C239" s="10">
        <f t="shared" si="27"/>
        <v>-0.29999999999999893</v>
      </c>
      <c r="D239" s="10">
        <f>2*('HOUSE DATA'!D212*('HOUSE DASHBOARD'!$B$14-42.4)+'HOUSE DATA'!E212*('HOUSE DASHBOARD'!$B$15-54.2)+'HOUSE DATA'!F212*('HOUSE DASHBOARD'!$B$16-85.4)+'HOUSE DATA'!G212*('HOUSE DASHBOARD'!$B$17-60.7)+'HOUSE DATA'!H212*('HOUSE DASHBOARD'!$B$18-53.5))/100</f>
        <v>0</v>
      </c>
      <c r="E239" s="10">
        <f>2*('HOUSE DATA'!I212*('HOUSE DASHBOARD'!$B$21-55.6)+(100-'HOUSE DATA'!I212)*('HOUSE DASHBOARD'!$B$22-44.9))/100</f>
        <v>0</v>
      </c>
      <c r="F239" s="10">
        <f>0</f>
        <v>0</v>
      </c>
      <c r="G239" s="10">
        <f t="shared" si="28"/>
        <v>0</v>
      </c>
      <c r="H239" s="2">
        <f>'HOUSE DATA'!C212+C239+G239</f>
        <v>26.630000000000003</v>
      </c>
      <c r="I239" s="3" t="str">
        <f t="shared" si="29"/>
        <v>D</v>
      </c>
      <c r="J239" s="1" t="str">
        <f>'HOUSE DATA'!K212</f>
        <v>D</v>
      </c>
      <c r="K239" s="1" t="str">
        <f t="shared" si="30"/>
        <v>—</v>
      </c>
      <c r="L239" t="str">
        <f t="shared" si="31"/>
        <v>D+26.63</v>
      </c>
      <c r="M239">
        <f>COUNTIF($H$31:$H$465,"&gt;"&amp;H239)+COUNTIF($H$31:H239,H239)</f>
        <v>136</v>
      </c>
      <c r="N239" s="7">
        <f t="shared" si="32"/>
        <v>26.630000000000003</v>
      </c>
      <c r="O239">
        <f>COUNTIF($N$31:$N$465,"&lt;"&amp;N239)+COUNTIF($N$31:N239,N239)</f>
        <v>248</v>
      </c>
      <c r="P239" s="10">
        <f>'HOUSE DATA'!M212</f>
        <v>16.079999999999998</v>
      </c>
      <c r="Q239" t="str">
        <f>'HOUSE DATA'!N212</f>
        <v>2024 PRESIDENT (open seat)</v>
      </c>
      <c r="R239" s="10">
        <f t="shared" si="33"/>
        <v>10.550000000000004</v>
      </c>
      <c r="S239" s="10">
        <f t="shared" si="34"/>
        <v>8.9265122742081786</v>
      </c>
      <c r="T239" s="10">
        <f t="shared" si="35"/>
        <v>1.6234877257918257</v>
      </c>
      <c r="U239" t="s">
        <v>73</v>
      </c>
      <c r="W239" t="s">
        <v>74</v>
      </c>
      <c r="X239" t="s">
        <v>75</v>
      </c>
    </row>
    <row r="240" spans="1:24" x14ac:dyDescent="0.2">
      <c r="A240" t="str">
        <f>'HOUSE DATA'!A213</f>
        <v>MI-12</v>
      </c>
      <c r="B240" s="10">
        <f>'HOUSE DATA'!B213</f>
        <v>58.972345750087193</v>
      </c>
      <c r="C240" s="10">
        <f t="shared" si="27"/>
        <v>-0.29999999999999893</v>
      </c>
      <c r="D240" s="10">
        <f>2*('HOUSE DATA'!D213*('HOUSE DASHBOARD'!$B$14-42.4)+'HOUSE DATA'!E213*('HOUSE DASHBOARD'!$B$15-54.2)+'HOUSE DATA'!F213*('HOUSE DASHBOARD'!$B$16-85.4)+'HOUSE DATA'!G213*('HOUSE DASHBOARD'!$B$17-60.7)+'HOUSE DATA'!H213*('HOUSE DASHBOARD'!$B$18-53.5))/100</f>
        <v>0</v>
      </c>
      <c r="E240" s="10">
        <f>2*('HOUSE DATA'!I213*('HOUSE DASHBOARD'!$B$21-55.6)+(100-'HOUSE DATA'!I213)*('HOUSE DASHBOARD'!$B$22-44.9))/100</f>
        <v>0</v>
      </c>
      <c r="F240" s="10">
        <f>0</f>
        <v>0</v>
      </c>
      <c r="G240" s="10">
        <f t="shared" si="28"/>
        <v>0</v>
      </c>
      <c r="H240" s="2">
        <f>'HOUSE DATA'!C213+C240+G240</f>
        <v>57.480000000000004</v>
      </c>
      <c r="I240" s="3" t="str">
        <f t="shared" si="29"/>
        <v>D</v>
      </c>
      <c r="J240" s="1" t="str">
        <f>'HOUSE DATA'!K213</f>
        <v>D</v>
      </c>
      <c r="K240" s="1" t="str">
        <f t="shared" si="30"/>
        <v>—</v>
      </c>
      <c r="L240" t="str">
        <f t="shared" si="31"/>
        <v>D+57.48</v>
      </c>
      <c r="M240">
        <f>COUNTIF($H$31:$H$465,"&gt;"&amp;H240)+COUNTIF($H$31:H240,H240)</f>
        <v>38</v>
      </c>
      <c r="N240" s="7">
        <f t="shared" si="32"/>
        <v>57.480000000000004</v>
      </c>
      <c r="O240">
        <f>COUNTIF($N$31:$N$465,"&lt;"&amp;N240)+COUNTIF($N$31:N240,N240)</f>
        <v>389</v>
      </c>
      <c r="P240" s="10">
        <f>'HOUSE DATA'!M213</f>
        <v>46.52</v>
      </c>
      <c r="Q240" t="str">
        <f>'HOUSE DATA'!N213</f>
        <v>2024 HOUSE / prior substitute</v>
      </c>
      <c r="R240" s="10">
        <f t="shared" si="33"/>
        <v>10.96</v>
      </c>
      <c r="S240" s="10">
        <f t="shared" si="34"/>
        <v>12.45234575008719</v>
      </c>
      <c r="T240" s="10">
        <f t="shared" si="35"/>
        <v>-1.4923457500871891</v>
      </c>
      <c r="U240" t="s">
        <v>73</v>
      </c>
      <c r="W240" t="s">
        <v>74</v>
      </c>
      <c r="X240" t="s">
        <v>75</v>
      </c>
    </row>
    <row r="241" spans="1:24" x14ac:dyDescent="0.2">
      <c r="A241" t="str">
        <f>'HOUSE DATA'!A214</f>
        <v>MI-13</v>
      </c>
      <c r="B241" s="10">
        <f>'HOUSE DATA'!B214</f>
        <v>54.232604782393977</v>
      </c>
      <c r="C241" s="10">
        <f t="shared" si="27"/>
        <v>-0.29999999999999893</v>
      </c>
      <c r="D241" s="10">
        <f>2*('HOUSE DATA'!D214*('HOUSE DASHBOARD'!$B$14-42.4)+'HOUSE DATA'!E214*('HOUSE DASHBOARD'!$B$15-54.2)+'HOUSE DATA'!F214*('HOUSE DASHBOARD'!$B$16-85.4)+'HOUSE DATA'!G214*('HOUSE DASHBOARD'!$B$17-60.7)+'HOUSE DATA'!H214*('HOUSE DASHBOARD'!$B$18-53.5))/100</f>
        <v>0</v>
      </c>
      <c r="E241" s="10">
        <f>2*('HOUSE DATA'!I214*('HOUSE DASHBOARD'!$B$21-55.6)+(100-'HOUSE DATA'!I214)*('HOUSE DASHBOARD'!$B$22-44.9))/100</f>
        <v>0</v>
      </c>
      <c r="F241" s="10">
        <f>0</f>
        <v>0</v>
      </c>
      <c r="G241" s="10">
        <f t="shared" si="28"/>
        <v>0</v>
      </c>
      <c r="H241" s="2">
        <f>'HOUSE DATA'!C214+C241+G241</f>
        <v>51.610000000000007</v>
      </c>
      <c r="I241" s="3" t="str">
        <f t="shared" si="29"/>
        <v>D</v>
      </c>
      <c r="J241" s="1" t="str">
        <f>'HOUSE DATA'!K214</f>
        <v>D</v>
      </c>
      <c r="K241" s="1" t="str">
        <f t="shared" si="30"/>
        <v>—</v>
      </c>
      <c r="L241" t="str">
        <f t="shared" si="31"/>
        <v>D+51.61</v>
      </c>
      <c r="M241">
        <f>COUNTIF($H$31:$H$465,"&gt;"&amp;H241)+COUNTIF($H$31:H241,H241)</f>
        <v>54</v>
      </c>
      <c r="N241" s="7">
        <f t="shared" si="32"/>
        <v>51.610000000000007</v>
      </c>
      <c r="O241">
        <f>COUNTIF($N$31:$N$465,"&lt;"&amp;N241)+COUNTIF($N$31:N241,N241)</f>
        <v>372</v>
      </c>
      <c r="P241" s="10">
        <f>'HOUSE DATA'!M214</f>
        <v>41.06</v>
      </c>
      <c r="Q241" t="str">
        <f>'HOUSE DATA'!N214</f>
        <v>2024 PRESIDENT (open seat)</v>
      </c>
      <c r="R241" s="10">
        <f t="shared" si="33"/>
        <v>10.550000000000004</v>
      </c>
      <c r="S241" s="10">
        <f t="shared" si="34"/>
        <v>13.172604782393975</v>
      </c>
      <c r="T241" s="10">
        <f t="shared" si="35"/>
        <v>-2.6226047823939709</v>
      </c>
      <c r="U241" t="s">
        <v>73</v>
      </c>
      <c r="W241" t="s">
        <v>74</v>
      </c>
      <c r="X241" t="s">
        <v>75</v>
      </c>
    </row>
    <row r="242" spans="1:24" x14ac:dyDescent="0.2">
      <c r="A242" t="str">
        <f>'HOUSE DATA'!A215</f>
        <v>MN-01</v>
      </c>
      <c r="B242" s="10">
        <f>'HOUSE DATA'!B215</f>
        <v>-7.7924848344865074</v>
      </c>
      <c r="C242" s="10">
        <f t="shared" si="27"/>
        <v>-0.29999999999999893</v>
      </c>
      <c r="D242" s="10">
        <f>2*('HOUSE DATA'!D215*('HOUSE DASHBOARD'!$B$14-42.4)+'HOUSE DATA'!E215*('HOUSE DASHBOARD'!$B$15-54.2)+'HOUSE DATA'!F215*('HOUSE DASHBOARD'!$B$16-85.4)+'HOUSE DATA'!G215*('HOUSE DASHBOARD'!$B$17-60.7)+'HOUSE DATA'!H215*('HOUSE DASHBOARD'!$B$18-53.5))/100</f>
        <v>0</v>
      </c>
      <c r="E242" s="10">
        <f>2*('HOUSE DATA'!I215*('HOUSE DASHBOARD'!$B$21-55.6)+(100-'HOUSE DATA'!I215)*('HOUSE DASHBOARD'!$B$22-44.9))/100</f>
        <v>0</v>
      </c>
      <c r="F242" s="10">
        <f>0</f>
        <v>0</v>
      </c>
      <c r="G242" s="10">
        <f t="shared" si="28"/>
        <v>0</v>
      </c>
      <c r="H242" s="2">
        <f>'HOUSE DATA'!C215+C242+G242</f>
        <v>-6.1400000000000077</v>
      </c>
      <c r="I242" s="3" t="str">
        <f t="shared" si="29"/>
        <v>R</v>
      </c>
      <c r="J242" s="1" t="str">
        <f>'HOUSE DATA'!K215</f>
        <v>R</v>
      </c>
      <c r="K242" s="1" t="str">
        <f t="shared" si="30"/>
        <v>—</v>
      </c>
      <c r="L242" t="str">
        <f t="shared" si="31"/>
        <v>R+6.14</v>
      </c>
      <c r="M242">
        <f>COUNTIF($H$31:$H$465,"&gt;"&amp;H242)+COUNTIF($H$31:H242,H242)</f>
        <v>273</v>
      </c>
      <c r="N242" s="7">
        <f t="shared" si="32"/>
        <v>6.1400000000000077</v>
      </c>
      <c r="O242">
        <f>COUNTIF($N$31:$N$465,"&lt;"&amp;N242)+COUNTIF($N$31:N242,N242)</f>
        <v>50</v>
      </c>
      <c r="P242" s="10">
        <f>'HOUSE DATA'!M215</f>
        <v>-17.100000000000009</v>
      </c>
      <c r="Q242" t="str">
        <f>'HOUSE DATA'!N215</f>
        <v>2024 HOUSE / prior substitute</v>
      </c>
      <c r="R242" s="10">
        <f t="shared" si="33"/>
        <v>10.96</v>
      </c>
      <c r="S242" s="10">
        <f t="shared" si="34"/>
        <v>9.3075151655135002</v>
      </c>
      <c r="T242" s="10">
        <f t="shared" si="35"/>
        <v>1.6524848344864997</v>
      </c>
      <c r="U242" t="s">
        <v>73</v>
      </c>
      <c r="W242" t="s">
        <v>74</v>
      </c>
      <c r="X242" t="s">
        <v>75</v>
      </c>
    </row>
    <row r="243" spans="1:24" x14ac:dyDescent="0.2">
      <c r="A243" t="str">
        <f>'HOUSE DATA'!A216</f>
        <v>MN-02</v>
      </c>
      <c r="B243" s="10">
        <f>'HOUSE DATA'!B216</f>
        <v>13.660561802208491</v>
      </c>
      <c r="C243" s="10">
        <f t="shared" si="27"/>
        <v>-0.29999999999999893</v>
      </c>
      <c r="D243" s="10">
        <f>2*('HOUSE DATA'!D216*('HOUSE DASHBOARD'!$B$14-42.4)+'HOUSE DATA'!E216*('HOUSE DASHBOARD'!$B$15-54.2)+'HOUSE DATA'!F216*('HOUSE DASHBOARD'!$B$16-85.4)+'HOUSE DATA'!G216*('HOUSE DASHBOARD'!$B$17-60.7)+'HOUSE DATA'!H216*('HOUSE DASHBOARD'!$B$18-53.5))/100</f>
        <v>0</v>
      </c>
      <c r="E243" s="10">
        <f>2*('HOUSE DATA'!I216*('HOUSE DASHBOARD'!$B$21-55.6)+(100-'HOUSE DATA'!I216)*('HOUSE DASHBOARD'!$B$22-44.9))/100</f>
        <v>0</v>
      </c>
      <c r="F243" s="10">
        <f>0</f>
        <v>0</v>
      </c>
      <c r="G243" s="10">
        <f t="shared" si="28"/>
        <v>0</v>
      </c>
      <c r="H243" s="2">
        <f>'HOUSE DATA'!C216+C243+G243</f>
        <v>16.380000000000003</v>
      </c>
      <c r="I243" s="3" t="str">
        <f t="shared" si="29"/>
        <v>D</v>
      </c>
      <c r="J243" s="1" t="str">
        <f>'HOUSE DATA'!K216</f>
        <v>D</v>
      </c>
      <c r="K243" s="1" t="str">
        <f t="shared" si="30"/>
        <v>—</v>
      </c>
      <c r="L243" t="str">
        <f t="shared" si="31"/>
        <v>D+16.38</v>
      </c>
      <c r="M243">
        <f>COUNTIF($H$31:$H$465,"&gt;"&amp;H243)+COUNTIF($H$31:H243,H243)</f>
        <v>191</v>
      </c>
      <c r="N243" s="7">
        <f t="shared" si="32"/>
        <v>16.380000000000003</v>
      </c>
      <c r="O243">
        <f>COUNTIF($N$31:$N$465,"&lt;"&amp;N243)+COUNTIF($N$31:N243,N243)</f>
        <v>147</v>
      </c>
      <c r="P243" s="10">
        <f>'HOUSE DATA'!M216</f>
        <v>5.83</v>
      </c>
      <c r="Q243" t="str">
        <f>'HOUSE DATA'!N216</f>
        <v>2024 PRESIDENT (open seat)</v>
      </c>
      <c r="R243" s="10">
        <f t="shared" si="33"/>
        <v>10.550000000000002</v>
      </c>
      <c r="S243" s="10">
        <f t="shared" si="34"/>
        <v>7.8305618022084911</v>
      </c>
      <c r="T243" s="10">
        <f t="shared" si="35"/>
        <v>2.7194381977915114</v>
      </c>
      <c r="U243" t="s">
        <v>73</v>
      </c>
      <c r="W243" t="s">
        <v>74</v>
      </c>
      <c r="X243" t="s">
        <v>75</v>
      </c>
    </row>
    <row r="244" spans="1:24" x14ac:dyDescent="0.2">
      <c r="A244" t="str">
        <f>'HOUSE DATA'!A217</f>
        <v>MN-03</v>
      </c>
      <c r="B244" s="10">
        <f>'HOUSE DATA'!B217</f>
        <v>24.923363820776682</v>
      </c>
      <c r="C244" s="10">
        <f t="shared" si="27"/>
        <v>-0.29999999999999893</v>
      </c>
      <c r="D244" s="10">
        <f>2*('HOUSE DATA'!D217*('HOUSE DASHBOARD'!$B$14-42.4)+'HOUSE DATA'!E217*('HOUSE DASHBOARD'!$B$15-54.2)+'HOUSE DATA'!F217*('HOUSE DASHBOARD'!$B$16-85.4)+'HOUSE DATA'!G217*('HOUSE DASHBOARD'!$B$17-60.7)+'HOUSE DATA'!H217*('HOUSE DASHBOARD'!$B$18-53.5))/100</f>
        <v>0</v>
      </c>
      <c r="E244" s="10">
        <f>2*('HOUSE DATA'!I217*('HOUSE DASHBOARD'!$B$21-55.6)+(100-'HOUSE DATA'!I217)*('HOUSE DASHBOARD'!$B$22-44.9))/100</f>
        <v>0</v>
      </c>
      <c r="F244" s="10">
        <f>0</f>
        <v>0</v>
      </c>
      <c r="G244" s="10">
        <f t="shared" si="28"/>
        <v>0</v>
      </c>
      <c r="H244" s="2">
        <f>'HOUSE DATA'!C217+C244+G244</f>
        <v>27.96</v>
      </c>
      <c r="I244" s="3" t="str">
        <f t="shared" si="29"/>
        <v>D</v>
      </c>
      <c r="J244" s="1" t="str">
        <f>'HOUSE DATA'!K217</f>
        <v>D</v>
      </c>
      <c r="K244" s="1" t="str">
        <f t="shared" si="30"/>
        <v>—</v>
      </c>
      <c r="L244" t="str">
        <f t="shared" si="31"/>
        <v>D+27.96</v>
      </c>
      <c r="M244">
        <f>COUNTIF($H$31:$H$465,"&gt;"&amp;H244)+COUNTIF($H$31:H244,H244)</f>
        <v>130</v>
      </c>
      <c r="N244" s="7">
        <f t="shared" si="32"/>
        <v>27.96</v>
      </c>
      <c r="O244">
        <f>COUNTIF($N$31:$N$465,"&lt;"&amp;N244)+COUNTIF($N$31:N244,N244)</f>
        <v>259</v>
      </c>
      <c r="P244" s="10">
        <f>'HOUSE DATA'!M217</f>
        <v>17</v>
      </c>
      <c r="Q244" t="str">
        <f>'HOUSE DATA'!N217</f>
        <v>2024 HOUSE / prior substitute</v>
      </c>
      <c r="R244" s="10">
        <f t="shared" si="33"/>
        <v>10.96</v>
      </c>
      <c r="S244" s="10">
        <f t="shared" si="34"/>
        <v>7.9233638207766823</v>
      </c>
      <c r="T244" s="10">
        <f t="shared" si="35"/>
        <v>3.0366361792233185</v>
      </c>
      <c r="U244" t="s">
        <v>73</v>
      </c>
      <c r="W244" t="s">
        <v>74</v>
      </c>
      <c r="X244" t="s">
        <v>75</v>
      </c>
    </row>
    <row r="245" spans="1:24" x14ac:dyDescent="0.2">
      <c r="A245" t="str">
        <f>'HOUSE DATA'!A218</f>
        <v>MN-04</v>
      </c>
      <c r="B245" s="10">
        <f>'HOUSE DATA'!B218</f>
        <v>44.505301464667674</v>
      </c>
      <c r="C245" s="10">
        <f t="shared" si="27"/>
        <v>-0.29999999999999893</v>
      </c>
      <c r="D245" s="10">
        <f>2*('HOUSE DATA'!D218*('HOUSE DASHBOARD'!$B$14-42.4)+'HOUSE DATA'!E218*('HOUSE DASHBOARD'!$B$15-54.2)+'HOUSE DATA'!F218*('HOUSE DASHBOARD'!$B$16-85.4)+'HOUSE DATA'!G218*('HOUSE DASHBOARD'!$B$17-60.7)+'HOUSE DATA'!H218*('HOUSE DASHBOARD'!$B$18-53.5))/100</f>
        <v>0</v>
      </c>
      <c r="E245" s="10">
        <f>2*('HOUSE DATA'!I218*('HOUSE DASHBOARD'!$B$21-55.6)+(100-'HOUSE DATA'!I218)*('HOUSE DASHBOARD'!$B$22-44.9))/100</f>
        <v>0</v>
      </c>
      <c r="F245" s="10">
        <f>0</f>
        <v>0</v>
      </c>
      <c r="G245" s="10">
        <f t="shared" si="28"/>
        <v>0</v>
      </c>
      <c r="H245" s="2">
        <f>'HOUSE DATA'!C218+C245+G245</f>
        <v>45.699999999999996</v>
      </c>
      <c r="I245" s="3" t="str">
        <f t="shared" si="29"/>
        <v>D</v>
      </c>
      <c r="J245" s="1" t="str">
        <f>'HOUSE DATA'!K218</f>
        <v>D</v>
      </c>
      <c r="K245" s="1" t="str">
        <f t="shared" si="30"/>
        <v>—</v>
      </c>
      <c r="L245" t="str">
        <f t="shared" si="31"/>
        <v>D+45.70</v>
      </c>
      <c r="M245">
        <f>COUNTIF($H$31:$H$465,"&gt;"&amp;H245)+COUNTIF($H$31:H245,H245)</f>
        <v>74</v>
      </c>
      <c r="N245" s="7">
        <f t="shared" si="32"/>
        <v>45.699999999999996</v>
      </c>
      <c r="O245">
        <f>COUNTIF($N$31:$N$465,"&lt;"&amp;N245)+COUNTIF($N$31:N245,N245)</f>
        <v>352</v>
      </c>
      <c r="P245" s="10">
        <f>'HOUSE DATA'!M218</f>
        <v>34.739999999999995</v>
      </c>
      <c r="Q245" t="str">
        <f>'HOUSE DATA'!N218</f>
        <v>2024 HOUSE / prior substitute</v>
      </c>
      <c r="R245" s="10">
        <f t="shared" si="33"/>
        <v>10.96</v>
      </c>
      <c r="S245" s="10">
        <f t="shared" si="34"/>
        <v>9.7653014646676795</v>
      </c>
      <c r="T245" s="10">
        <f t="shared" si="35"/>
        <v>1.1946985353323214</v>
      </c>
      <c r="U245" t="s">
        <v>73</v>
      </c>
      <c r="W245" t="s">
        <v>74</v>
      </c>
      <c r="X245" t="s">
        <v>75</v>
      </c>
    </row>
    <row r="246" spans="1:24" x14ac:dyDescent="0.2">
      <c r="A246" t="str">
        <f>'HOUSE DATA'!A219</f>
        <v>MN-05</v>
      </c>
      <c r="B246" s="10">
        <f>'HOUSE DATA'!B219</f>
        <v>60.120347248569722</v>
      </c>
      <c r="C246" s="10">
        <f t="shared" si="27"/>
        <v>-0.29999999999999893</v>
      </c>
      <c r="D246" s="10">
        <f>2*('HOUSE DATA'!D219*('HOUSE DASHBOARD'!$B$14-42.4)+'HOUSE DATA'!E219*('HOUSE DASHBOARD'!$B$15-54.2)+'HOUSE DATA'!F219*('HOUSE DASHBOARD'!$B$16-85.4)+'HOUSE DATA'!G219*('HOUSE DASHBOARD'!$B$17-60.7)+'HOUSE DATA'!H219*('HOUSE DASHBOARD'!$B$18-53.5))/100</f>
        <v>0</v>
      </c>
      <c r="E246" s="10">
        <f>2*('HOUSE DATA'!I219*('HOUSE DASHBOARD'!$B$21-55.6)+(100-'HOUSE DATA'!I219)*('HOUSE DASHBOARD'!$B$22-44.9))/100</f>
        <v>0</v>
      </c>
      <c r="F246" s="10">
        <f>0</f>
        <v>0</v>
      </c>
      <c r="G246" s="10">
        <f t="shared" si="28"/>
        <v>0</v>
      </c>
      <c r="H246" s="2">
        <f>'HOUSE DATA'!C219+C246+G246</f>
        <v>61.300000000000004</v>
      </c>
      <c r="I246" s="3" t="str">
        <f t="shared" si="29"/>
        <v>D</v>
      </c>
      <c r="J246" s="1" t="str">
        <f>'HOUSE DATA'!K219</f>
        <v>D</v>
      </c>
      <c r="K246" s="1" t="str">
        <f t="shared" si="30"/>
        <v>—</v>
      </c>
      <c r="L246" t="str">
        <f t="shared" si="31"/>
        <v>D+61.30</v>
      </c>
      <c r="M246">
        <f>COUNTIF($H$31:$H$465,"&gt;"&amp;H246)+COUNTIF($H$31:H246,H246)</f>
        <v>29</v>
      </c>
      <c r="N246" s="7">
        <f t="shared" si="32"/>
        <v>61.300000000000004</v>
      </c>
      <c r="O246">
        <f>COUNTIF($N$31:$N$465,"&lt;"&amp;N246)+COUNTIF($N$31:N246,N246)</f>
        <v>398</v>
      </c>
      <c r="P246" s="10">
        <f>'HOUSE DATA'!M219</f>
        <v>50.34</v>
      </c>
      <c r="Q246" t="str">
        <f>'HOUSE DATA'!N219</f>
        <v>2024 HOUSE / prior substitute</v>
      </c>
      <c r="R246" s="10">
        <f t="shared" si="33"/>
        <v>10.96</v>
      </c>
      <c r="S246" s="10">
        <f t="shared" si="34"/>
        <v>9.7803472485697185</v>
      </c>
      <c r="T246" s="10">
        <f t="shared" si="35"/>
        <v>1.1796527514302824</v>
      </c>
      <c r="U246" t="s">
        <v>73</v>
      </c>
      <c r="W246" t="s">
        <v>74</v>
      </c>
      <c r="X246" t="s">
        <v>75</v>
      </c>
    </row>
    <row r="247" spans="1:24" x14ac:dyDescent="0.2">
      <c r="A247" t="str">
        <f>'HOUSE DATA'!A220</f>
        <v>MN-06</v>
      </c>
      <c r="B247" s="10">
        <f>'HOUSE DATA'!B220</f>
        <v>-17.551375244728714</v>
      </c>
      <c r="C247" s="10">
        <f t="shared" si="27"/>
        <v>-0.29999999999999893</v>
      </c>
      <c r="D247" s="10">
        <f>2*('HOUSE DATA'!D220*('HOUSE DASHBOARD'!$B$14-42.4)+'HOUSE DATA'!E220*('HOUSE DASHBOARD'!$B$15-54.2)+'HOUSE DATA'!F220*('HOUSE DASHBOARD'!$B$16-85.4)+'HOUSE DATA'!G220*('HOUSE DASHBOARD'!$B$17-60.7)+'HOUSE DATA'!H220*('HOUSE DASHBOARD'!$B$18-53.5))/100</f>
        <v>0</v>
      </c>
      <c r="E247" s="10">
        <f>2*('HOUSE DATA'!I220*('HOUSE DASHBOARD'!$B$21-55.6)+(100-'HOUSE DATA'!I220)*('HOUSE DASHBOARD'!$B$22-44.9))/100</f>
        <v>0</v>
      </c>
      <c r="F247" s="10">
        <f>0</f>
        <v>0</v>
      </c>
      <c r="G247" s="10">
        <f t="shared" si="28"/>
        <v>0</v>
      </c>
      <c r="H247" s="2">
        <f>'HOUSE DATA'!C220+C247+G247</f>
        <v>-14.099999999999994</v>
      </c>
      <c r="I247" s="3" t="str">
        <f t="shared" si="29"/>
        <v>R</v>
      </c>
      <c r="J247" s="1" t="str">
        <f>'HOUSE DATA'!K220</f>
        <v>R</v>
      </c>
      <c r="K247" s="1" t="str">
        <f t="shared" si="30"/>
        <v>—</v>
      </c>
      <c r="L247" t="str">
        <f t="shared" si="31"/>
        <v>R+14.10</v>
      </c>
      <c r="M247">
        <f>COUNTIF($H$31:$H$465,"&gt;"&amp;H247)+COUNTIF($H$31:H247,H247)</f>
        <v>328</v>
      </c>
      <c r="N247" s="7">
        <f t="shared" si="32"/>
        <v>14.099999999999994</v>
      </c>
      <c r="O247">
        <f>COUNTIF($N$31:$N$465,"&lt;"&amp;N247)+COUNTIF($N$31:N247,N247)</f>
        <v>127</v>
      </c>
      <c r="P247" s="10">
        <f>'HOUSE DATA'!M220</f>
        <v>-25.059999999999995</v>
      </c>
      <c r="Q247" t="str">
        <f>'HOUSE DATA'!N220</f>
        <v>2024 HOUSE / prior substitute</v>
      </c>
      <c r="R247" s="10">
        <f t="shared" si="33"/>
        <v>10.96</v>
      </c>
      <c r="S247" s="10">
        <f t="shared" si="34"/>
        <v>7.5086247552712813</v>
      </c>
      <c r="T247" s="10">
        <f t="shared" si="35"/>
        <v>3.4513752447287196</v>
      </c>
      <c r="U247" t="s">
        <v>73</v>
      </c>
      <c r="W247" t="s">
        <v>74</v>
      </c>
      <c r="X247" t="s">
        <v>75</v>
      </c>
    </row>
    <row r="248" spans="1:24" x14ac:dyDescent="0.2">
      <c r="A248" t="str">
        <f>'HOUSE DATA'!A221</f>
        <v>MN-07</v>
      </c>
      <c r="B248" s="10">
        <f>'HOUSE DATA'!B221</f>
        <v>-31.690023945201247</v>
      </c>
      <c r="C248" s="10">
        <f t="shared" si="27"/>
        <v>-0.29999999999999893</v>
      </c>
      <c r="D248" s="10">
        <f>2*('HOUSE DATA'!D221*('HOUSE DASHBOARD'!$B$14-42.4)+'HOUSE DATA'!E221*('HOUSE DASHBOARD'!$B$15-54.2)+'HOUSE DATA'!F221*('HOUSE DASHBOARD'!$B$16-85.4)+'HOUSE DATA'!G221*('HOUSE DASHBOARD'!$B$17-60.7)+'HOUSE DATA'!H221*('HOUSE DASHBOARD'!$B$18-53.5))/100</f>
        <v>0</v>
      </c>
      <c r="E248" s="10">
        <f>2*('HOUSE DATA'!I221*('HOUSE DASHBOARD'!$B$21-55.6)+(100-'HOUSE DATA'!I221)*('HOUSE DASHBOARD'!$B$22-44.9))/100</f>
        <v>0</v>
      </c>
      <c r="F248" s="10">
        <f>0</f>
        <v>0</v>
      </c>
      <c r="G248" s="10">
        <f t="shared" si="28"/>
        <v>0</v>
      </c>
      <c r="H248" s="2">
        <f>'HOUSE DATA'!C221+C248+G248</f>
        <v>-30.080000000000005</v>
      </c>
      <c r="I248" s="3" t="str">
        <f t="shared" si="29"/>
        <v>R</v>
      </c>
      <c r="J248" s="1" t="str">
        <f>'HOUSE DATA'!K221</f>
        <v>R</v>
      </c>
      <c r="K248" s="1" t="str">
        <f t="shared" si="30"/>
        <v>—</v>
      </c>
      <c r="L248" t="str">
        <f t="shared" si="31"/>
        <v>R+30.08</v>
      </c>
      <c r="M248">
        <f>COUNTIF($H$31:$H$465,"&gt;"&amp;H248)+COUNTIF($H$31:H248,H248)</f>
        <v>402</v>
      </c>
      <c r="N248" s="7">
        <f t="shared" si="32"/>
        <v>30.080000000000005</v>
      </c>
      <c r="O248">
        <f>COUNTIF($N$31:$N$465,"&lt;"&amp;N248)+COUNTIF($N$31:N248,N248)</f>
        <v>279</v>
      </c>
      <c r="P248" s="10">
        <f>'HOUSE DATA'!M221</f>
        <v>-41.040000000000006</v>
      </c>
      <c r="Q248" t="str">
        <f>'HOUSE DATA'!N221</f>
        <v>2024 HOUSE / prior substitute</v>
      </c>
      <c r="R248" s="10">
        <f t="shared" si="33"/>
        <v>10.96</v>
      </c>
      <c r="S248" s="10">
        <f t="shared" si="34"/>
        <v>9.3499760547987592</v>
      </c>
      <c r="T248" s="10">
        <f t="shared" si="35"/>
        <v>1.6100239452012417</v>
      </c>
      <c r="U248" t="s">
        <v>73</v>
      </c>
      <c r="W248" t="s">
        <v>74</v>
      </c>
      <c r="X248" t="s">
        <v>75</v>
      </c>
    </row>
    <row r="249" spans="1:24" x14ac:dyDescent="0.2">
      <c r="A249" t="str">
        <f>'HOUSE DATA'!A222</f>
        <v>MN-08</v>
      </c>
      <c r="B249" s="10">
        <f>'HOUSE DATA'!B222</f>
        <v>-6.8124823300985575</v>
      </c>
      <c r="C249" s="10">
        <f t="shared" si="27"/>
        <v>-0.29999999999999893</v>
      </c>
      <c r="D249" s="10">
        <f>2*('HOUSE DATA'!D222*('HOUSE DASHBOARD'!$B$14-42.4)+'HOUSE DATA'!E222*('HOUSE DASHBOARD'!$B$15-54.2)+'HOUSE DATA'!F222*('HOUSE DASHBOARD'!$B$16-85.4)+'HOUSE DATA'!G222*('HOUSE DASHBOARD'!$B$17-60.7)+'HOUSE DATA'!H222*('HOUSE DASHBOARD'!$B$18-53.5))/100</f>
        <v>0</v>
      </c>
      <c r="E249" s="10">
        <f>2*('HOUSE DATA'!I222*('HOUSE DASHBOARD'!$B$21-55.6)+(100-'HOUSE DATA'!I222)*('HOUSE DASHBOARD'!$B$22-44.9))/100</f>
        <v>0</v>
      </c>
      <c r="F249" s="10">
        <f>0</f>
        <v>0</v>
      </c>
      <c r="G249" s="10">
        <f t="shared" si="28"/>
        <v>0</v>
      </c>
      <c r="H249" s="2">
        <f>'HOUSE DATA'!C222+C249+G249</f>
        <v>-5.1200000000000117</v>
      </c>
      <c r="I249" s="3" t="str">
        <f t="shared" si="29"/>
        <v>R</v>
      </c>
      <c r="J249" s="1" t="str">
        <f>'HOUSE DATA'!K222</f>
        <v>R</v>
      </c>
      <c r="K249" s="1" t="str">
        <f t="shared" si="30"/>
        <v>—</v>
      </c>
      <c r="L249" t="str">
        <f t="shared" si="31"/>
        <v>R+5.12</v>
      </c>
      <c r="M249">
        <f>COUNTIF($H$31:$H$465,"&gt;"&amp;H249)+COUNTIF($H$31:H249,H249)</f>
        <v>267</v>
      </c>
      <c r="N249" s="7">
        <f t="shared" si="32"/>
        <v>5.1200000000000117</v>
      </c>
      <c r="O249">
        <f>COUNTIF($N$31:$N$465,"&lt;"&amp;N249)+COUNTIF($N$31:N249,N249)</f>
        <v>41</v>
      </c>
      <c r="P249" s="10">
        <f>'HOUSE DATA'!M222</f>
        <v>-16.080000000000013</v>
      </c>
      <c r="Q249" t="str">
        <f>'HOUSE DATA'!N222</f>
        <v>2024 HOUSE / prior substitute</v>
      </c>
      <c r="R249" s="10">
        <f t="shared" si="33"/>
        <v>10.96</v>
      </c>
      <c r="S249" s="10">
        <f t="shared" si="34"/>
        <v>9.267517669901455</v>
      </c>
      <c r="T249" s="10">
        <f t="shared" si="35"/>
        <v>1.6924823300985459</v>
      </c>
      <c r="U249" t="s">
        <v>73</v>
      </c>
      <c r="W249" t="s">
        <v>74</v>
      </c>
      <c r="X249" t="s">
        <v>75</v>
      </c>
    </row>
    <row r="250" spans="1:24" x14ac:dyDescent="0.2">
      <c r="A250" t="str">
        <f>'HOUSE DATA'!A223</f>
        <v>MO-01</v>
      </c>
      <c r="B250" s="10">
        <f>'HOUSE DATA'!B223</f>
        <v>73.258037112057565</v>
      </c>
      <c r="C250" s="10">
        <f t="shared" si="27"/>
        <v>-0.29999999999999893</v>
      </c>
      <c r="D250" s="10">
        <f>2*('HOUSE DATA'!D223*('HOUSE DASHBOARD'!$B$14-42.4)+'HOUSE DATA'!E223*('HOUSE DASHBOARD'!$B$15-54.2)+'HOUSE DATA'!F223*('HOUSE DASHBOARD'!$B$16-85.4)+'HOUSE DATA'!G223*('HOUSE DASHBOARD'!$B$17-60.7)+'HOUSE DATA'!H223*('HOUSE DASHBOARD'!$B$18-53.5))/100</f>
        <v>0</v>
      </c>
      <c r="E250" s="10">
        <f>2*('HOUSE DATA'!I223*('HOUSE DASHBOARD'!$B$21-55.6)+(100-'HOUSE DATA'!I223)*('HOUSE DASHBOARD'!$B$22-44.9))/100</f>
        <v>0</v>
      </c>
      <c r="F250" s="10">
        <f>0</f>
        <v>0</v>
      </c>
      <c r="G250" s="10">
        <f t="shared" si="28"/>
        <v>0</v>
      </c>
      <c r="H250" s="2">
        <f>'HOUSE DATA'!C223+C250+G250</f>
        <v>71.999999999999986</v>
      </c>
      <c r="I250" s="3" t="str">
        <f t="shared" si="29"/>
        <v>D</v>
      </c>
      <c r="J250" s="1" t="str">
        <f>'HOUSE DATA'!K223</f>
        <v>D</v>
      </c>
      <c r="K250" s="1" t="str">
        <f t="shared" si="30"/>
        <v>—</v>
      </c>
      <c r="L250" t="str">
        <f t="shared" si="31"/>
        <v>D+72.00</v>
      </c>
      <c r="M250">
        <f>COUNTIF($H$31:$H$465,"&gt;"&amp;H250)+COUNTIF($H$31:H250,H250)</f>
        <v>12</v>
      </c>
      <c r="N250" s="7">
        <f t="shared" si="32"/>
        <v>71.999999999999986</v>
      </c>
      <c r="O250">
        <f>COUNTIF($N$31:$N$465,"&lt;"&amp;N250)+COUNTIF($N$31:N250,N250)</f>
        <v>414</v>
      </c>
      <c r="P250" s="10">
        <f>'HOUSE DATA'!M223</f>
        <v>61.039999999999992</v>
      </c>
      <c r="Q250" t="str">
        <f>'HOUSE DATA'!N223</f>
        <v>2024 HOUSE / prior substitute</v>
      </c>
      <c r="R250" s="10">
        <f t="shared" si="33"/>
        <v>10.959999999999994</v>
      </c>
      <c r="S250" s="10">
        <f t="shared" si="34"/>
        <v>12.218037112057573</v>
      </c>
      <c r="T250" s="10">
        <f t="shared" si="35"/>
        <v>-1.2580371120575791</v>
      </c>
      <c r="U250" t="s">
        <v>73</v>
      </c>
      <c r="W250" t="s">
        <v>74</v>
      </c>
      <c r="X250" t="s">
        <v>75</v>
      </c>
    </row>
    <row r="251" spans="1:24" x14ac:dyDescent="0.2">
      <c r="A251" t="str">
        <f>'HOUSE DATA'!A224</f>
        <v>MO-02</v>
      </c>
      <c r="B251" s="10">
        <f>'HOUSE DATA'!B224</f>
        <v>-5.0854661293588759</v>
      </c>
      <c r="C251" s="10">
        <f t="shared" si="27"/>
        <v>-0.29999999999999893</v>
      </c>
      <c r="D251" s="10">
        <f>2*('HOUSE DATA'!D224*('HOUSE DASHBOARD'!$B$14-42.4)+'HOUSE DATA'!E224*('HOUSE DASHBOARD'!$B$15-54.2)+'HOUSE DATA'!F224*('HOUSE DASHBOARD'!$B$16-85.4)+'HOUSE DATA'!G224*('HOUSE DASHBOARD'!$B$17-60.7)+'HOUSE DATA'!H224*('HOUSE DASHBOARD'!$B$18-53.5))/100</f>
        <v>0</v>
      </c>
      <c r="E251" s="10">
        <f>2*('HOUSE DATA'!I224*('HOUSE DASHBOARD'!$B$21-55.6)+(100-'HOUSE DATA'!I224)*('HOUSE DASHBOARD'!$B$22-44.9))/100</f>
        <v>0</v>
      </c>
      <c r="F251" s="10">
        <f>0</f>
        <v>0</v>
      </c>
      <c r="G251" s="10">
        <f t="shared" si="28"/>
        <v>0</v>
      </c>
      <c r="H251" s="2">
        <f>'HOUSE DATA'!C224+C251+G251</f>
        <v>-1.3999999999999988</v>
      </c>
      <c r="I251" s="3" t="str">
        <f t="shared" si="29"/>
        <v>R</v>
      </c>
      <c r="J251" s="1" t="str">
        <f>'HOUSE DATA'!K224</f>
        <v>R</v>
      </c>
      <c r="K251" s="1" t="str">
        <f t="shared" si="30"/>
        <v>—</v>
      </c>
      <c r="L251" t="str">
        <f t="shared" si="31"/>
        <v>R+1.40</v>
      </c>
      <c r="M251">
        <f>COUNTIF($H$31:$H$465,"&gt;"&amp;H251)+COUNTIF($H$31:H251,H251)</f>
        <v>244</v>
      </c>
      <c r="N251" s="7">
        <f t="shared" si="32"/>
        <v>1.3999999999999988</v>
      </c>
      <c r="O251">
        <f>COUNTIF($N$31:$N$465,"&lt;"&amp;N251)+COUNTIF($N$31:N251,N251)</f>
        <v>13</v>
      </c>
      <c r="P251" s="10">
        <f>'HOUSE DATA'!M224</f>
        <v>-12.36</v>
      </c>
      <c r="Q251" t="str">
        <f>'HOUSE DATA'!N224</f>
        <v>2024 HOUSE / prior substitute</v>
      </c>
      <c r="R251" s="10">
        <f t="shared" si="33"/>
        <v>10.96</v>
      </c>
      <c r="S251" s="10">
        <f t="shared" si="34"/>
        <v>7.2745338706411236</v>
      </c>
      <c r="T251" s="10">
        <f t="shared" si="35"/>
        <v>3.6854661293588773</v>
      </c>
      <c r="U251" t="s">
        <v>73</v>
      </c>
      <c r="W251" t="s">
        <v>74</v>
      </c>
      <c r="X251" t="s">
        <v>75</v>
      </c>
    </row>
    <row r="252" spans="1:24" x14ac:dyDescent="0.2">
      <c r="A252" t="str">
        <f>'HOUSE DATA'!A225</f>
        <v>MO-03</v>
      </c>
      <c r="B252" s="10">
        <f>'HOUSE DATA'!B225</f>
        <v>-17.906443876284932</v>
      </c>
      <c r="C252" s="10">
        <f t="shared" si="27"/>
        <v>-0.29999999999999893</v>
      </c>
      <c r="D252" s="10">
        <f>2*('HOUSE DATA'!D225*('HOUSE DASHBOARD'!$B$14-42.4)+'HOUSE DATA'!E225*('HOUSE DASHBOARD'!$B$15-54.2)+'HOUSE DATA'!F225*('HOUSE DASHBOARD'!$B$16-85.4)+'HOUSE DATA'!G225*('HOUSE DASHBOARD'!$B$17-60.7)+'HOUSE DATA'!H225*('HOUSE DASHBOARD'!$B$18-53.5))/100</f>
        <v>0</v>
      </c>
      <c r="E252" s="10">
        <f>2*('HOUSE DATA'!I225*('HOUSE DASHBOARD'!$B$21-55.6)+(100-'HOUSE DATA'!I225)*('HOUSE DASHBOARD'!$B$22-44.9))/100</f>
        <v>0</v>
      </c>
      <c r="F252" s="10">
        <f>0</f>
        <v>0</v>
      </c>
      <c r="G252" s="10">
        <f t="shared" si="28"/>
        <v>0</v>
      </c>
      <c r="H252" s="2">
        <f>'HOUSE DATA'!C225+C252+G252</f>
        <v>-15.960000000000006</v>
      </c>
      <c r="I252" s="3" t="str">
        <f t="shared" si="29"/>
        <v>R</v>
      </c>
      <c r="J252" s="1" t="str">
        <f>'HOUSE DATA'!K225</f>
        <v>R</v>
      </c>
      <c r="K252" s="1" t="str">
        <f t="shared" si="30"/>
        <v>—</v>
      </c>
      <c r="L252" t="str">
        <f t="shared" si="31"/>
        <v>R+15.96</v>
      </c>
      <c r="M252">
        <f>COUNTIF($H$31:$H$465,"&gt;"&amp;H252)+COUNTIF($H$31:H252,H252)</f>
        <v>335</v>
      </c>
      <c r="N252" s="7">
        <f t="shared" si="32"/>
        <v>15.960000000000006</v>
      </c>
      <c r="O252">
        <f>COUNTIF($N$31:$N$465,"&lt;"&amp;N252)+COUNTIF($N$31:N252,N252)</f>
        <v>141</v>
      </c>
      <c r="P252" s="10">
        <f>'HOUSE DATA'!M225</f>
        <v>-26.920000000000009</v>
      </c>
      <c r="Q252" t="str">
        <f>'HOUSE DATA'!N225</f>
        <v>2024 HOUSE / prior substitute</v>
      </c>
      <c r="R252" s="10">
        <f t="shared" si="33"/>
        <v>10.960000000000003</v>
      </c>
      <c r="S252" s="10">
        <f t="shared" si="34"/>
        <v>9.0135561237150768</v>
      </c>
      <c r="T252" s="10">
        <f t="shared" si="35"/>
        <v>1.9464438762849259</v>
      </c>
      <c r="U252" t="s">
        <v>73</v>
      </c>
      <c r="W252" t="s">
        <v>74</v>
      </c>
      <c r="X252" t="s">
        <v>75</v>
      </c>
    </row>
    <row r="253" spans="1:24" x14ac:dyDescent="0.2">
      <c r="A253" t="str">
        <f>'HOUSE DATA'!A226</f>
        <v>MO-04</v>
      </c>
      <c r="B253" s="10">
        <f>'HOUSE DATA'!B226</f>
        <v>-35.62729390539927</v>
      </c>
      <c r="C253" s="10">
        <f t="shared" si="27"/>
        <v>-0.29999999999999893</v>
      </c>
      <c r="D253" s="10">
        <f>2*('HOUSE DATA'!D226*('HOUSE DASHBOARD'!$B$14-42.4)+'HOUSE DATA'!E226*('HOUSE DASHBOARD'!$B$15-54.2)+'HOUSE DATA'!F226*('HOUSE DASHBOARD'!$B$16-85.4)+'HOUSE DATA'!G226*('HOUSE DASHBOARD'!$B$17-60.7)+'HOUSE DATA'!H226*('HOUSE DASHBOARD'!$B$18-53.5))/100</f>
        <v>0</v>
      </c>
      <c r="E253" s="10">
        <f>2*('HOUSE DATA'!I226*('HOUSE DASHBOARD'!$B$21-55.6)+(100-'HOUSE DATA'!I226)*('HOUSE DASHBOARD'!$B$22-44.9))/100</f>
        <v>0</v>
      </c>
      <c r="F253" s="10">
        <f>0</f>
        <v>0</v>
      </c>
      <c r="G253" s="10">
        <f t="shared" si="28"/>
        <v>0</v>
      </c>
      <c r="H253" s="2">
        <f>'HOUSE DATA'!C226+C253+G253</f>
        <v>-34.86</v>
      </c>
      <c r="I253" s="3" t="str">
        <f t="shared" si="29"/>
        <v>R</v>
      </c>
      <c r="J253" s="1" t="str">
        <f>'HOUSE DATA'!K226</f>
        <v>R</v>
      </c>
      <c r="K253" s="1" t="str">
        <f t="shared" si="30"/>
        <v>—</v>
      </c>
      <c r="L253" t="str">
        <f t="shared" si="31"/>
        <v>R+34.86</v>
      </c>
      <c r="M253">
        <f>COUNTIF($H$31:$H$465,"&gt;"&amp;H253)+COUNTIF($H$31:H253,H253)</f>
        <v>413</v>
      </c>
      <c r="N253" s="7">
        <f t="shared" si="32"/>
        <v>34.86</v>
      </c>
      <c r="O253">
        <f>COUNTIF($N$31:$N$465,"&lt;"&amp;N253)+COUNTIF($N$31:N253,N253)</f>
        <v>307</v>
      </c>
      <c r="P253" s="10">
        <f>'HOUSE DATA'!M226</f>
        <v>-45.82</v>
      </c>
      <c r="Q253" t="str">
        <f>'HOUSE DATA'!N226</f>
        <v>2024 HOUSE / prior substitute</v>
      </c>
      <c r="R253" s="10">
        <f t="shared" si="33"/>
        <v>10.96</v>
      </c>
      <c r="S253" s="10">
        <f t="shared" si="34"/>
        <v>10.19270609460073</v>
      </c>
      <c r="T253" s="10">
        <f t="shared" si="35"/>
        <v>0.76729390539927067</v>
      </c>
      <c r="U253" t="s">
        <v>73</v>
      </c>
      <c r="W253" t="s">
        <v>74</v>
      </c>
      <c r="X253" t="s">
        <v>75</v>
      </c>
    </row>
    <row r="254" spans="1:24" x14ac:dyDescent="0.2">
      <c r="A254" t="str">
        <f>'HOUSE DATA'!A227</f>
        <v>MO-05</v>
      </c>
      <c r="B254" s="10">
        <f>'HOUSE DATA'!B227</f>
        <v>35.883590127380316</v>
      </c>
      <c r="C254" s="10">
        <f t="shared" si="27"/>
        <v>-0.29999999999999893</v>
      </c>
      <c r="D254" s="10">
        <f>2*('HOUSE DATA'!D227*('HOUSE DASHBOARD'!$B$14-42.4)+'HOUSE DATA'!E227*('HOUSE DASHBOARD'!$B$15-54.2)+'HOUSE DATA'!F227*('HOUSE DASHBOARD'!$B$16-85.4)+'HOUSE DATA'!G227*('HOUSE DASHBOARD'!$B$17-60.7)+'HOUSE DATA'!H227*('HOUSE DASHBOARD'!$B$18-53.5))/100</f>
        <v>0</v>
      </c>
      <c r="E254" s="10">
        <f>2*('HOUSE DATA'!I227*('HOUSE DASHBOARD'!$B$21-55.6)+(100-'HOUSE DATA'!I227)*('HOUSE DASHBOARD'!$B$22-44.9))/100</f>
        <v>0</v>
      </c>
      <c r="F254" s="10">
        <f>0</f>
        <v>0</v>
      </c>
      <c r="G254" s="10">
        <f t="shared" si="28"/>
        <v>0</v>
      </c>
      <c r="H254" s="2">
        <f>'HOUSE DATA'!C227+C254+G254</f>
        <v>35.559999999999995</v>
      </c>
      <c r="I254" s="3" t="str">
        <f t="shared" si="29"/>
        <v>D</v>
      </c>
      <c r="J254" s="1" t="str">
        <f>'HOUSE DATA'!K227</f>
        <v>D</v>
      </c>
      <c r="K254" s="1" t="str">
        <f t="shared" si="30"/>
        <v>—</v>
      </c>
      <c r="L254" t="str">
        <f t="shared" si="31"/>
        <v>D+35.56</v>
      </c>
      <c r="M254">
        <f>COUNTIF($H$31:$H$465,"&gt;"&amp;H254)+COUNTIF($H$31:H254,H254)</f>
        <v>97</v>
      </c>
      <c r="N254" s="7">
        <f t="shared" si="32"/>
        <v>35.559999999999995</v>
      </c>
      <c r="O254">
        <f>COUNTIF($N$31:$N$465,"&lt;"&amp;N254)+COUNTIF($N$31:N254,N254)</f>
        <v>314</v>
      </c>
      <c r="P254" s="10">
        <f>'HOUSE DATA'!M227</f>
        <v>24.599999999999994</v>
      </c>
      <c r="Q254" t="str">
        <f>'HOUSE DATA'!N227</f>
        <v>2024 HOUSE / prior substitute</v>
      </c>
      <c r="R254" s="10">
        <f t="shared" si="33"/>
        <v>10.96</v>
      </c>
      <c r="S254" s="10">
        <f t="shared" si="34"/>
        <v>11.283590127380322</v>
      </c>
      <c r="T254" s="10">
        <f t="shared" si="35"/>
        <v>-0.32359012738032078</v>
      </c>
      <c r="U254" t="s">
        <v>73</v>
      </c>
      <c r="W254" t="s">
        <v>74</v>
      </c>
      <c r="X254" t="s">
        <v>75</v>
      </c>
    </row>
    <row r="255" spans="1:24" x14ac:dyDescent="0.2">
      <c r="A255" t="str">
        <f>'HOUSE DATA'!A228</f>
        <v>MO-06</v>
      </c>
      <c r="B255" s="10">
        <f>'HOUSE DATA'!B228</f>
        <v>-29.041368750688278</v>
      </c>
      <c r="C255" s="10">
        <f t="shared" si="27"/>
        <v>-0.29999999999999893</v>
      </c>
      <c r="D255" s="10">
        <f>2*('HOUSE DATA'!D228*('HOUSE DASHBOARD'!$B$14-42.4)+'HOUSE DATA'!E228*('HOUSE DASHBOARD'!$B$15-54.2)+'HOUSE DATA'!F228*('HOUSE DASHBOARD'!$B$16-85.4)+'HOUSE DATA'!G228*('HOUSE DASHBOARD'!$B$17-60.7)+'HOUSE DATA'!H228*('HOUSE DASHBOARD'!$B$18-53.5))/100</f>
        <v>0</v>
      </c>
      <c r="E255" s="10">
        <f>2*('HOUSE DATA'!I228*('HOUSE DASHBOARD'!$B$21-55.6)+(100-'HOUSE DATA'!I228)*('HOUSE DASHBOARD'!$B$22-44.9))/100</f>
        <v>0</v>
      </c>
      <c r="F255" s="10">
        <f>0</f>
        <v>0</v>
      </c>
      <c r="G255" s="10">
        <f t="shared" si="28"/>
        <v>0</v>
      </c>
      <c r="H255" s="2">
        <f>'HOUSE DATA'!C228+C255+G255</f>
        <v>-28.299999999999997</v>
      </c>
      <c r="I255" s="3" t="str">
        <f t="shared" si="29"/>
        <v>R</v>
      </c>
      <c r="J255" s="1" t="str">
        <f>'HOUSE DATA'!K228</f>
        <v>R</v>
      </c>
      <c r="K255" s="1" t="str">
        <f t="shared" si="30"/>
        <v>—</v>
      </c>
      <c r="L255" t="str">
        <f t="shared" si="31"/>
        <v>R+28.30</v>
      </c>
      <c r="M255">
        <f>COUNTIF($H$31:$H$465,"&gt;"&amp;H255)+COUNTIF($H$31:H255,H255)</f>
        <v>394</v>
      </c>
      <c r="N255" s="7">
        <f t="shared" si="32"/>
        <v>28.299999999999997</v>
      </c>
      <c r="O255">
        <f>COUNTIF($N$31:$N$465,"&lt;"&amp;N255)+COUNTIF($N$31:N255,N255)</f>
        <v>263</v>
      </c>
      <c r="P255" s="10">
        <f>'HOUSE DATA'!M228</f>
        <v>-38.85</v>
      </c>
      <c r="Q255" t="str">
        <f>'HOUSE DATA'!N228</f>
        <v>2024 PRESIDENT (open seat)</v>
      </c>
      <c r="R255" s="10">
        <f t="shared" si="33"/>
        <v>10.550000000000004</v>
      </c>
      <c r="S255" s="10">
        <f t="shared" si="34"/>
        <v>9.8086312493117234</v>
      </c>
      <c r="T255" s="10">
        <f t="shared" si="35"/>
        <v>0.7413687506882809</v>
      </c>
      <c r="U255" t="s">
        <v>73</v>
      </c>
      <c r="W255" t="s">
        <v>74</v>
      </c>
      <c r="X255" t="s">
        <v>75</v>
      </c>
    </row>
    <row r="256" spans="1:24" x14ac:dyDescent="0.2">
      <c r="A256" t="str">
        <f>'HOUSE DATA'!A229</f>
        <v>MO-07</v>
      </c>
      <c r="B256" s="10">
        <f>'HOUSE DATA'!B229</f>
        <v>-35.725297382035478</v>
      </c>
      <c r="C256" s="10">
        <f t="shared" si="27"/>
        <v>-0.29999999999999893</v>
      </c>
      <c r="D256" s="10">
        <f>2*('HOUSE DATA'!D229*('HOUSE DASHBOARD'!$B$14-42.4)+'HOUSE DATA'!E229*('HOUSE DASHBOARD'!$B$15-54.2)+'HOUSE DATA'!F229*('HOUSE DASHBOARD'!$B$16-85.4)+'HOUSE DATA'!G229*('HOUSE DASHBOARD'!$B$17-60.7)+'HOUSE DATA'!H229*('HOUSE DASHBOARD'!$B$18-53.5))/100</f>
        <v>0</v>
      </c>
      <c r="E256" s="10">
        <f>2*('HOUSE DATA'!I229*('HOUSE DASHBOARD'!$B$21-55.6)+(100-'HOUSE DATA'!I229)*('HOUSE DASHBOARD'!$B$22-44.9))/100</f>
        <v>0</v>
      </c>
      <c r="F256" s="10">
        <f>0</f>
        <v>0</v>
      </c>
      <c r="G256" s="10">
        <f t="shared" si="28"/>
        <v>0</v>
      </c>
      <c r="H256" s="2">
        <f>'HOUSE DATA'!C229+C256+G256</f>
        <v>-35.32</v>
      </c>
      <c r="I256" s="3" t="str">
        <f t="shared" si="29"/>
        <v>R</v>
      </c>
      <c r="J256" s="1" t="str">
        <f>'HOUSE DATA'!K229</f>
        <v>R</v>
      </c>
      <c r="K256" s="1" t="str">
        <f t="shared" si="30"/>
        <v>—</v>
      </c>
      <c r="L256" t="str">
        <f t="shared" si="31"/>
        <v>R+35.32</v>
      </c>
      <c r="M256">
        <f>COUNTIF($H$31:$H$465,"&gt;"&amp;H256)+COUNTIF($H$31:H256,H256)</f>
        <v>415</v>
      </c>
      <c r="N256" s="7">
        <f t="shared" si="32"/>
        <v>35.32</v>
      </c>
      <c r="O256">
        <f>COUNTIF($N$31:$N$465,"&lt;"&amp;N256)+COUNTIF($N$31:N256,N256)</f>
        <v>312</v>
      </c>
      <c r="P256" s="10">
        <f>'HOUSE DATA'!M229</f>
        <v>-46.28</v>
      </c>
      <c r="Q256" t="str">
        <f>'HOUSE DATA'!N229</f>
        <v>2024 HOUSE / prior substitute</v>
      </c>
      <c r="R256" s="10">
        <f t="shared" si="33"/>
        <v>10.96</v>
      </c>
      <c r="S256" s="10">
        <f t="shared" si="34"/>
        <v>10.554702617964523</v>
      </c>
      <c r="T256" s="10">
        <f t="shared" si="35"/>
        <v>0.40529738203547794</v>
      </c>
      <c r="U256" t="s">
        <v>73</v>
      </c>
      <c r="W256" t="s">
        <v>74</v>
      </c>
      <c r="X256" t="s">
        <v>75</v>
      </c>
    </row>
    <row r="257" spans="1:24" x14ac:dyDescent="0.2">
      <c r="A257" t="str">
        <f>'HOUSE DATA'!A230</f>
        <v>MO-08</v>
      </c>
      <c r="B257" s="10">
        <f>'HOUSE DATA'!B230</f>
        <v>-44.763763513529625</v>
      </c>
      <c r="C257" s="10">
        <f t="shared" si="27"/>
        <v>-0.29999999999999893</v>
      </c>
      <c r="D257" s="10">
        <f>2*('HOUSE DATA'!D230*('HOUSE DASHBOARD'!$B$14-42.4)+'HOUSE DATA'!E230*('HOUSE DASHBOARD'!$B$15-54.2)+'HOUSE DATA'!F230*('HOUSE DASHBOARD'!$B$16-85.4)+'HOUSE DATA'!G230*('HOUSE DASHBOARD'!$B$17-60.7)+'HOUSE DATA'!H230*('HOUSE DASHBOARD'!$B$18-53.5))/100</f>
        <v>0</v>
      </c>
      <c r="E257" s="10">
        <f>2*('HOUSE DATA'!I230*('HOUSE DASHBOARD'!$B$21-55.6)+(100-'HOUSE DATA'!I230)*('HOUSE DASHBOARD'!$B$22-44.9))/100</f>
        <v>0</v>
      </c>
      <c r="F257" s="10">
        <f>0</f>
        <v>0</v>
      </c>
      <c r="G257" s="10">
        <f t="shared" si="28"/>
        <v>0</v>
      </c>
      <c r="H257" s="2">
        <f>'HOUSE DATA'!C230+C257+G257</f>
        <v>-44.519999999999996</v>
      </c>
      <c r="I257" s="3" t="str">
        <f t="shared" si="29"/>
        <v>R</v>
      </c>
      <c r="J257" s="1" t="str">
        <f>'HOUSE DATA'!K230</f>
        <v>R</v>
      </c>
      <c r="K257" s="1" t="str">
        <f t="shared" si="30"/>
        <v>—</v>
      </c>
      <c r="L257" t="str">
        <f t="shared" si="31"/>
        <v>R+44.52</v>
      </c>
      <c r="M257">
        <f>COUNTIF($H$31:$H$465,"&gt;"&amp;H257)+COUNTIF($H$31:H257,H257)</f>
        <v>431</v>
      </c>
      <c r="N257" s="7">
        <f t="shared" si="32"/>
        <v>44.519999999999996</v>
      </c>
      <c r="O257">
        <f>COUNTIF($N$31:$N$465,"&lt;"&amp;N257)+COUNTIF($N$31:N257,N257)</f>
        <v>348</v>
      </c>
      <c r="P257" s="10">
        <f>'HOUSE DATA'!M230</f>
        <v>-55.48</v>
      </c>
      <c r="Q257" t="str">
        <f>'HOUSE DATA'!N230</f>
        <v>2024 HOUSE / prior substitute</v>
      </c>
      <c r="R257" s="10">
        <f t="shared" si="33"/>
        <v>10.96</v>
      </c>
      <c r="S257" s="10">
        <f t="shared" si="34"/>
        <v>10.716236486470372</v>
      </c>
      <c r="T257" s="10">
        <f t="shared" si="35"/>
        <v>0.24376351352962899</v>
      </c>
      <c r="U257" t="s">
        <v>73</v>
      </c>
      <c r="W257" t="s">
        <v>74</v>
      </c>
      <c r="X257" t="s">
        <v>75</v>
      </c>
    </row>
    <row r="258" spans="1:24" x14ac:dyDescent="0.2">
      <c r="A258" t="str">
        <f>'HOUSE DATA'!A231</f>
        <v>MS-01</v>
      </c>
      <c r="B258" s="10">
        <f>'HOUSE DATA'!B231</f>
        <v>-28.180734484225461</v>
      </c>
      <c r="C258" s="10">
        <f t="shared" si="27"/>
        <v>-0.29999999999999893</v>
      </c>
      <c r="D258" s="10">
        <f>2*('HOUSE DATA'!D231*('HOUSE DASHBOARD'!$B$14-42.4)+'HOUSE DATA'!E231*('HOUSE DASHBOARD'!$B$15-54.2)+'HOUSE DATA'!F231*('HOUSE DASHBOARD'!$B$16-85.4)+'HOUSE DATA'!G231*('HOUSE DASHBOARD'!$B$17-60.7)+'HOUSE DATA'!H231*('HOUSE DASHBOARD'!$B$18-53.5))/100</f>
        <v>0</v>
      </c>
      <c r="E258" s="10">
        <f>2*('HOUSE DATA'!I231*('HOUSE DASHBOARD'!$B$21-55.6)+(100-'HOUSE DATA'!I231)*('HOUSE DASHBOARD'!$B$22-44.9))/100</f>
        <v>0</v>
      </c>
      <c r="F258" s="10">
        <f>0</f>
        <v>0</v>
      </c>
      <c r="G258" s="10">
        <f t="shared" si="28"/>
        <v>0</v>
      </c>
      <c r="H258" s="2">
        <f>'HOUSE DATA'!C231+C258+G258</f>
        <v>-28.660000000000004</v>
      </c>
      <c r="I258" s="3" t="str">
        <f t="shared" si="29"/>
        <v>R</v>
      </c>
      <c r="J258" s="1" t="str">
        <f>'HOUSE DATA'!K231</f>
        <v>R</v>
      </c>
      <c r="K258" s="1" t="str">
        <f t="shared" si="30"/>
        <v>—</v>
      </c>
      <c r="L258" t="str">
        <f t="shared" si="31"/>
        <v>R+28.66</v>
      </c>
      <c r="M258">
        <f>COUNTIF($H$31:$H$465,"&gt;"&amp;H258)+COUNTIF($H$31:H258,H258)</f>
        <v>397</v>
      </c>
      <c r="N258" s="7">
        <f t="shared" si="32"/>
        <v>28.660000000000004</v>
      </c>
      <c r="O258">
        <f>COUNTIF($N$31:$N$465,"&lt;"&amp;N258)+COUNTIF($N$31:N258,N258)</f>
        <v>269</v>
      </c>
      <c r="P258" s="10">
        <f>'HOUSE DATA'!M231</f>
        <v>-39.620000000000005</v>
      </c>
      <c r="Q258" t="str">
        <f>'HOUSE DATA'!N231</f>
        <v>2024 HOUSE / prior substitute</v>
      </c>
      <c r="R258" s="10">
        <f t="shared" si="33"/>
        <v>10.96</v>
      </c>
      <c r="S258" s="10">
        <f t="shared" si="34"/>
        <v>11.439265515774544</v>
      </c>
      <c r="T258" s="10">
        <f t="shared" si="35"/>
        <v>-0.47926551577454291</v>
      </c>
      <c r="U258" t="s">
        <v>73</v>
      </c>
      <c r="W258" t="s">
        <v>74</v>
      </c>
      <c r="X258" t="s">
        <v>75</v>
      </c>
    </row>
    <row r="259" spans="1:24" x14ac:dyDescent="0.2">
      <c r="A259" t="str">
        <f>'HOUSE DATA'!A232</f>
        <v>MS-02</v>
      </c>
      <c r="B259" s="10">
        <f>'HOUSE DATA'!B232</f>
        <v>37.166141258295099</v>
      </c>
      <c r="C259" s="10">
        <f t="shared" si="27"/>
        <v>-0.29999999999999893</v>
      </c>
      <c r="D259" s="10">
        <f>2*('HOUSE DATA'!D232*('HOUSE DASHBOARD'!$B$14-42.4)+'HOUSE DATA'!E232*('HOUSE DASHBOARD'!$B$15-54.2)+'HOUSE DATA'!F232*('HOUSE DASHBOARD'!$B$16-85.4)+'HOUSE DATA'!G232*('HOUSE DASHBOARD'!$B$17-60.7)+'HOUSE DATA'!H232*('HOUSE DASHBOARD'!$B$18-53.5))/100</f>
        <v>0</v>
      </c>
      <c r="E259" s="10">
        <f>2*('HOUSE DATA'!I232*('HOUSE DASHBOARD'!$B$21-55.6)+(100-'HOUSE DATA'!I232)*('HOUSE DASHBOARD'!$B$22-44.9))/100</f>
        <v>0</v>
      </c>
      <c r="F259" s="10">
        <f>0</f>
        <v>0</v>
      </c>
      <c r="G259" s="10">
        <f t="shared" si="28"/>
        <v>0</v>
      </c>
      <c r="H259" s="2">
        <f>'HOUSE DATA'!C232+C259+G259</f>
        <v>34.999999999999993</v>
      </c>
      <c r="I259" s="3" t="str">
        <f t="shared" si="29"/>
        <v>D</v>
      </c>
      <c r="J259" s="1" t="str">
        <f>'HOUSE DATA'!K232</f>
        <v>D</v>
      </c>
      <c r="K259" s="1" t="str">
        <f t="shared" si="30"/>
        <v>—</v>
      </c>
      <c r="L259" t="str">
        <f t="shared" si="31"/>
        <v>D+35.00</v>
      </c>
      <c r="M259">
        <f>COUNTIF($H$31:$H$465,"&gt;"&amp;H259)+COUNTIF($H$31:H259,H259)</f>
        <v>102</v>
      </c>
      <c r="N259" s="7">
        <f t="shared" si="32"/>
        <v>34.999999999999993</v>
      </c>
      <c r="O259">
        <f>COUNTIF($N$31:$N$465,"&lt;"&amp;N259)+COUNTIF($N$31:N259,N259)</f>
        <v>309</v>
      </c>
      <c r="P259" s="10">
        <f>'HOUSE DATA'!M232</f>
        <v>24.039999999999992</v>
      </c>
      <c r="Q259" t="str">
        <f>'HOUSE DATA'!N232</f>
        <v>2024 HOUSE / prior substitute</v>
      </c>
      <c r="R259" s="10">
        <f t="shared" si="33"/>
        <v>10.96</v>
      </c>
      <c r="S259" s="10">
        <f t="shared" si="34"/>
        <v>13.126141258295107</v>
      </c>
      <c r="T259" s="10">
        <f t="shared" si="35"/>
        <v>-2.1661412582951058</v>
      </c>
      <c r="U259" t="s">
        <v>73</v>
      </c>
      <c r="W259" t="s">
        <v>74</v>
      </c>
      <c r="X259" t="s">
        <v>75</v>
      </c>
    </row>
    <row r="260" spans="1:24" x14ac:dyDescent="0.2">
      <c r="A260" t="str">
        <f>'HOUSE DATA'!A233</f>
        <v>MS-03</v>
      </c>
      <c r="B260" s="10">
        <f>'HOUSE DATA'!B233</f>
        <v>-17.680391568759873</v>
      </c>
      <c r="C260" s="10">
        <f t="shared" si="27"/>
        <v>-0.29999999999999893</v>
      </c>
      <c r="D260" s="10">
        <f>2*('HOUSE DATA'!D233*('HOUSE DASHBOARD'!$B$14-42.4)+'HOUSE DATA'!E233*('HOUSE DASHBOARD'!$B$15-54.2)+'HOUSE DATA'!F233*('HOUSE DASHBOARD'!$B$16-85.4)+'HOUSE DATA'!G233*('HOUSE DASHBOARD'!$B$17-60.7)+'HOUSE DATA'!H233*('HOUSE DASHBOARD'!$B$18-53.5))/100</f>
        <v>0</v>
      </c>
      <c r="E260" s="10">
        <f>2*('HOUSE DATA'!I233*('HOUSE DASHBOARD'!$B$21-55.6)+(100-'HOUSE DATA'!I233)*('HOUSE DASHBOARD'!$B$22-44.9))/100</f>
        <v>0</v>
      </c>
      <c r="F260" s="10">
        <f>0</f>
        <v>0</v>
      </c>
      <c r="G260" s="10">
        <f t="shared" si="28"/>
        <v>0</v>
      </c>
      <c r="H260" s="2">
        <f>'HOUSE DATA'!C233+C260+G260</f>
        <v>-18.339999999999989</v>
      </c>
      <c r="I260" s="3" t="str">
        <f t="shared" si="29"/>
        <v>R</v>
      </c>
      <c r="J260" s="1" t="str">
        <f>'HOUSE DATA'!K233</f>
        <v>R</v>
      </c>
      <c r="K260" s="1" t="str">
        <f t="shared" si="30"/>
        <v>—</v>
      </c>
      <c r="L260" t="str">
        <f t="shared" si="31"/>
        <v>R+18.34</v>
      </c>
      <c r="M260">
        <f>COUNTIF($H$31:$H$465,"&gt;"&amp;H260)+COUNTIF($H$31:H260,H260)</f>
        <v>348</v>
      </c>
      <c r="N260" s="7">
        <f t="shared" si="32"/>
        <v>18.339999999999989</v>
      </c>
      <c r="O260">
        <f>COUNTIF($N$31:$N$465,"&lt;"&amp;N260)+COUNTIF($N$31:N260,N260)</f>
        <v>166</v>
      </c>
      <c r="P260" s="10">
        <f>'HOUSE DATA'!M233</f>
        <v>-29.29999999999999</v>
      </c>
      <c r="Q260" t="str">
        <f>'HOUSE DATA'!N233</f>
        <v>2024 HOUSE / prior substitute</v>
      </c>
      <c r="R260" s="10">
        <f t="shared" si="33"/>
        <v>10.96</v>
      </c>
      <c r="S260" s="10">
        <f t="shared" si="34"/>
        <v>11.619608431240117</v>
      </c>
      <c r="T260" s="10">
        <f t="shared" si="35"/>
        <v>-0.65960843124011603</v>
      </c>
      <c r="U260" t="s">
        <v>73</v>
      </c>
      <c r="W260" t="s">
        <v>74</v>
      </c>
      <c r="X260" t="s">
        <v>75</v>
      </c>
    </row>
    <row r="261" spans="1:24" x14ac:dyDescent="0.2">
      <c r="A261" t="str">
        <f>'HOUSE DATA'!A234</f>
        <v>MS-04</v>
      </c>
      <c r="B261" s="10">
        <f>'HOUSE DATA'!B234</f>
        <v>-36.516598902028505</v>
      </c>
      <c r="C261" s="10">
        <f t="shared" si="27"/>
        <v>-0.29999999999999893</v>
      </c>
      <c r="D261" s="10">
        <f>2*('HOUSE DATA'!D234*('HOUSE DASHBOARD'!$B$14-42.4)+'HOUSE DATA'!E234*('HOUSE DASHBOARD'!$B$15-54.2)+'HOUSE DATA'!F234*('HOUSE DASHBOARD'!$B$16-85.4)+'HOUSE DATA'!G234*('HOUSE DASHBOARD'!$B$17-60.7)+'HOUSE DATA'!H234*('HOUSE DASHBOARD'!$B$18-53.5))/100</f>
        <v>0</v>
      </c>
      <c r="E261" s="10">
        <f>2*('HOUSE DATA'!I234*('HOUSE DASHBOARD'!$B$21-55.6)+(100-'HOUSE DATA'!I234)*('HOUSE DASHBOARD'!$B$22-44.9))/100</f>
        <v>0</v>
      </c>
      <c r="F261" s="10">
        <f>0</f>
        <v>0</v>
      </c>
      <c r="G261" s="10">
        <f t="shared" si="28"/>
        <v>0</v>
      </c>
      <c r="H261" s="2">
        <f>'HOUSE DATA'!C234+C261+G261</f>
        <v>-36.940000000000005</v>
      </c>
      <c r="I261" s="3" t="str">
        <f t="shared" si="29"/>
        <v>R</v>
      </c>
      <c r="J261" s="1" t="str">
        <f>'HOUSE DATA'!K234</f>
        <v>R</v>
      </c>
      <c r="K261" s="1" t="str">
        <f t="shared" si="30"/>
        <v>—</v>
      </c>
      <c r="L261" t="str">
        <f t="shared" si="31"/>
        <v>R+36.94</v>
      </c>
      <c r="M261">
        <f>COUNTIF($H$31:$H$465,"&gt;"&amp;H261)+COUNTIF($H$31:H261,H261)</f>
        <v>420</v>
      </c>
      <c r="N261" s="7">
        <f t="shared" si="32"/>
        <v>36.940000000000005</v>
      </c>
      <c r="O261">
        <f>COUNTIF($N$31:$N$465,"&lt;"&amp;N261)+COUNTIF($N$31:N261,N261)</f>
        <v>323</v>
      </c>
      <c r="P261" s="10">
        <f>'HOUSE DATA'!M234</f>
        <v>-47.900000000000006</v>
      </c>
      <c r="Q261" t="str">
        <f>'HOUSE DATA'!N234</f>
        <v>2024 HOUSE / prior substitute</v>
      </c>
      <c r="R261" s="10">
        <f t="shared" si="33"/>
        <v>10.96</v>
      </c>
      <c r="S261" s="10">
        <f t="shared" si="34"/>
        <v>11.3834010979715</v>
      </c>
      <c r="T261" s="10">
        <f t="shared" si="35"/>
        <v>-0.4234010979714995</v>
      </c>
      <c r="U261" t="s">
        <v>73</v>
      </c>
      <c r="W261" t="s">
        <v>74</v>
      </c>
      <c r="X261" t="s">
        <v>75</v>
      </c>
    </row>
    <row r="262" spans="1:24" x14ac:dyDescent="0.2">
      <c r="A262" t="str">
        <f>'HOUSE DATA'!A235</f>
        <v>MT-01</v>
      </c>
      <c r="B262" s="10">
        <f>'HOUSE DATA'!B235</f>
        <v>-2.037181062828997</v>
      </c>
      <c r="C262" s="10">
        <f t="shared" si="27"/>
        <v>-0.29999999999999893</v>
      </c>
      <c r="D262" s="10">
        <f>2*('HOUSE DATA'!D235*('HOUSE DASHBOARD'!$B$14-42.4)+'HOUSE DATA'!E235*('HOUSE DASHBOARD'!$B$15-54.2)+'HOUSE DATA'!F235*('HOUSE DASHBOARD'!$B$16-85.4)+'HOUSE DATA'!G235*('HOUSE DASHBOARD'!$B$17-60.7)+'HOUSE DATA'!H235*('HOUSE DASHBOARD'!$B$18-53.5))/100</f>
        <v>0</v>
      </c>
      <c r="E262" s="10">
        <f>2*('HOUSE DATA'!I235*('HOUSE DASHBOARD'!$B$21-55.6)+(100-'HOUSE DATA'!I235)*('HOUSE DASHBOARD'!$B$22-44.9))/100</f>
        <v>0</v>
      </c>
      <c r="F262" s="10">
        <f>0</f>
        <v>0</v>
      </c>
      <c r="G262" s="10">
        <f t="shared" si="28"/>
        <v>0</v>
      </c>
      <c r="H262" s="2">
        <f>'HOUSE DATA'!C235+C262+G262</f>
        <v>-1</v>
      </c>
      <c r="I262" s="3" t="str">
        <f t="shared" si="29"/>
        <v>R</v>
      </c>
      <c r="J262" s="1" t="str">
        <f>'HOUSE DATA'!K235</f>
        <v>R</v>
      </c>
      <c r="K262" s="1" t="str">
        <f t="shared" si="30"/>
        <v>—</v>
      </c>
      <c r="L262" t="str">
        <f t="shared" si="31"/>
        <v>R+1.00</v>
      </c>
      <c r="M262">
        <f>COUNTIF($H$31:$H$465,"&gt;"&amp;H262)+COUNTIF($H$31:H262,H262)</f>
        <v>242</v>
      </c>
      <c r="N262" s="7">
        <f t="shared" si="32"/>
        <v>1</v>
      </c>
      <c r="O262">
        <f>COUNTIF($N$31:$N$465,"&lt;"&amp;N262)+COUNTIF($N$31:N262,N262)</f>
        <v>10</v>
      </c>
      <c r="P262" s="10">
        <f>'HOUSE DATA'!M235</f>
        <v>-11.55</v>
      </c>
      <c r="Q262" t="str">
        <f>'HOUSE DATA'!N235</f>
        <v>2024 PRESIDENT (open seat)</v>
      </c>
      <c r="R262" s="10">
        <f t="shared" si="33"/>
        <v>10.55</v>
      </c>
      <c r="S262" s="10">
        <f t="shared" si="34"/>
        <v>9.5128189371710032</v>
      </c>
      <c r="T262" s="10">
        <f t="shared" si="35"/>
        <v>1.037181062828997</v>
      </c>
      <c r="U262" t="s">
        <v>73</v>
      </c>
      <c r="W262" t="s">
        <v>74</v>
      </c>
      <c r="X262" t="s">
        <v>75</v>
      </c>
    </row>
    <row r="263" spans="1:24" x14ac:dyDescent="0.2">
      <c r="A263" t="str">
        <f>'HOUSE DATA'!A236</f>
        <v>MT-02</v>
      </c>
      <c r="B263" s="10">
        <f>'HOUSE DATA'!B236</f>
        <v>-22.638742101996257</v>
      </c>
      <c r="C263" s="10">
        <f t="shared" si="27"/>
        <v>-0.29999999999999893</v>
      </c>
      <c r="D263" s="10">
        <f>2*('HOUSE DATA'!D236*('HOUSE DASHBOARD'!$B$14-42.4)+'HOUSE DATA'!E236*('HOUSE DASHBOARD'!$B$15-54.2)+'HOUSE DATA'!F236*('HOUSE DASHBOARD'!$B$16-85.4)+'HOUSE DATA'!G236*('HOUSE DASHBOARD'!$B$17-60.7)+'HOUSE DATA'!H236*('HOUSE DASHBOARD'!$B$18-53.5))/100</f>
        <v>0</v>
      </c>
      <c r="E263" s="10">
        <f>2*('HOUSE DATA'!I236*('HOUSE DASHBOARD'!$B$21-55.6)+(100-'HOUSE DATA'!I236)*('HOUSE DASHBOARD'!$B$22-44.9))/100</f>
        <v>0</v>
      </c>
      <c r="F263" s="10">
        <f>0</f>
        <v>0</v>
      </c>
      <c r="G263" s="10">
        <f t="shared" si="28"/>
        <v>0</v>
      </c>
      <c r="H263" s="2">
        <f>'HOUSE DATA'!C236+C263+G263</f>
        <v>-21.02000000000001</v>
      </c>
      <c r="I263" s="3" t="str">
        <f t="shared" si="29"/>
        <v>R</v>
      </c>
      <c r="J263" s="1" t="str">
        <f>'HOUSE DATA'!K236</f>
        <v>R</v>
      </c>
      <c r="K263" s="1" t="str">
        <f t="shared" si="30"/>
        <v>—</v>
      </c>
      <c r="L263" t="str">
        <f t="shared" si="31"/>
        <v>R+21.02</v>
      </c>
      <c r="M263">
        <f>COUNTIF($H$31:$H$465,"&gt;"&amp;H263)+COUNTIF($H$31:H263,H263)</f>
        <v>362</v>
      </c>
      <c r="N263" s="7">
        <f t="shared" si="32"/>
        <v>21.02000000000001</v>
      </c>
      <c r="O263">
        <f>COUNTIF($N$31:$N$465,"&lt;"&amp;N263)+COUNTIF($N$31:N263,N263)</f>
        <v>196</v>
      </c>
      <c r="P263" s="10">
        <f>'HOUSE DATA'!M236</f>
        <v>-31.980000000000011</v>
      </c>
      <c r="Q263" t="str">
        <f>'HOUSE DATA'!N236</f>
        <v>2024 HOUSE / prior substitute</v>
      </c>
      <c r="R263" s="10">
        <f t="shared" si="33"/>
        <v>10.96</v>
      </c>
      <c r="S263" s="10">
        <f t="shared" si="34"/>
        <v>9.3412578980037537</v>
      </c>
      <c r="T263" s="10">
        <f t="shared" si="35"/>
        <v>1.6187421019962471</v>
      </c>
      <c r="U263" t="s">
        <v>73</v>
      </c>
      <c r="W263" t="s">
        <v>74</v>
      </c>
      <c r="X263" t="s">
        <v>75</v>
      </c>
    </row>
    <row r="264" spans="1:24" x14ac:dyDescent="0.2">
      <c r="A264" t="str">
        <f>'HOUSE DATA'!A237</f>
        <v>NC-01</v>
      </c>
      <c r="B264" s="10">
        <f>'HOUSE DATA'!B237</f>
        <v>0.7149078024334572</v>
      </c>
      <c r="C264" s="10">
        <f t="shared" si="27"/>
        <v>-0.29999999999999893</v>
      </c>
      <c r="D264" s="10">
        <f>2*('HOUSE DATA'!D237*('HOUSE DASHBOARD'!$B$14-42.4)+'HOUSE DATA'!E237*('HOUSE DASHBOARD'!$B$15-54.2)+'HOUSE DATA'!F237*('HOUSE DASHBOARD'!$B$16-85.4)+'HOUSE DATA'!G237*('HOUSE DASHBOARD'!$B$17-60.7)+'HOUSE DATA'!H237*('HOUSE DASHBOARD'!$B$18-53.5))/100</f>
        <v>0</v>
      </c>
      <c r="E264" s="10">
        <f>2*('HOUSE DATA'!I237*('HOUSE DASHBOARD'!$B$21-55.6)+(100-'HOUSE DATA'!I237)*('HOUSE DASHBOARD'!$B$22-44.9))/100</f>
        <v>0</v>
      </c>
      <c r="F264" s="10">
        <f>0</f>
        <v>0</v>
      </c>
      <c r="G264" s="10">
        <f t="shared" si="28"/>
        <v>0</v>
      </c>
      <c r="H264" s="2">
        <f>'HOUSE DATA'!C237+C264+G264</f>
        <v>-0.75717171717171561</v>
      </c>
      <c r="I264" s="3" t="str">
        <f t="shared" si="29"/>
        <v>R</v>
      </c>
      <c r="J264" s="1" t="str">
        <f>'HOUSE DATA'!K237</f>
        <v>D</v>
      </c>
      <c r="K264" s="1" t="str">
        <f t="shared" si="30"/>
        <v>D → R</v>
      </c>
      <c r="L264" t="str">
        <f t="shared" si="31"/>
        <v>R+0.76</v>
      </c>
      <c r="M264">
        <f>COUNTIF($H$31:$H$465,"&gt;"&amp;H264)+COUNTIF($H$31:H264,H264)</f>
        <v>240</v>
      </c>
      <c r="N264" s="7">
        <f t="shared" si="32"/>
        <v>0.75717171717171561</v>
      </c>
      <c r="O264">
        <f>COUNTIF($N$31:$N$465,"&lt;"&amp;N264)+COUNTIF($N$31:N264,N264)</f>
        <v>8</v>
      </c>
      <c r="P264" s="10">
        <f>'HOUSE DATA'!M237</f>
        <v>-11.717171717171716</v>
      </c>
      <c r="Q264" t="str">
        <f>'HOUSE DATA'!N237</f>
        <v>2024 HOUSE / prior substitute</v>
      </c>
      <c r="R264" s="10">
        <f t="shared" si="33"/>
        <v>10.96</v>
      </c>
      <c r="S264" s="10">
        <f t="shared" si="34"/>
        <v>12.432079519605173</v>
      </c>
      <c r="T264" s="10">
        <f t="shared" si="35"/>
        <v>-1.4720795196051728</v>
      </c>
      <c r="U264" t="s">
        <v>73</v>
      </c>
      <c r="W264" t="s">
        <v>74</v>
      </c>
      <c r="X264" t="s">
        <v>75</v>
      </c>
    </row>
    <row r="265" spans="1:24" x14ac:dyDescent="0.2">
      <c r="A265" t="str">
        <f>'HOUSE DATA'!A238</f>
        <v>NC-02</v>
      </c>
      <c r="B265" s="10">
        <f>'HOUSE DATA'!B238</f>
        <v>43.854895281074555</v>
      </c>
      <c r="C265" s="10">
        <f t="shared" si="27"/>
        <v>-0.29999999999999893</v>
      </c>
      <c r="D265" s="10">
        <f>2*('HOUSE DATA'!D238*('HOUSE DASHBOARD'!$B$14-42.4)+'HOUSE DATA'!E238*('HOUSE DASHBOARD'!$B$15-54.2)+'HOUSE DATA'!F238*('HOUSE DASHBOARD'!$B$16-85.4)+'HOUSE DATA'!G238*('HOUSE DASHBOARD'!$B$17-60.7)+'HOUSE DATA'!H238*('HOUSE DASHBOARD'!$B$18-53.5))/100</f>
        <v>0</v>
      </c>
      <c r="E265" s="10">
        <f>2*('HOUSE DATA'!I238*('HOUSE DASHBOARD'!$B$21-55.6)+(100-'HOUSE DATA'!I238)*('HOUSE DASHBOARD'!$B$22-44.9))/100</f>
        <v>0</v>
      </c>
      <c r="F265" s="10">
        <f>0</f>
        <v>0</v>
      </c>
      <c r="G265" s="10">
        <f t="shared" si="28"/>
        <v>0</v>
      </c>
      <c r="H265" s="2">
        <f>'HOUSE DATA'!C238+C265+G265</f>
        <v>46.200040858018383</v>
      </c>
      <c r="I265" s="3" t="str">
        <f t="shared" si="29"/>
        <v>D</v>
      </c>
      <c r="J265" s="1" t="str">
        <f>'HOUSE DATA'!K238</f>
        <v>D</v>
      </c>
      <c r="K265" s="1" t="str">
        <f t="shared" si="30"/>
        <v>—</v>
      </c>
      <c r="L265" t="str">
        <f t="shared" si="31"/>
        <v>D+46.20</v>
      </c>
      <c r="M265">
        <f>COUNTIF($H$31:$H$465,"&gt;"&amp;H265)+COUNTIF($H$31:H265,H265)</f>
        <v>72</v>
      </c>
      <c r="N265" s="7">
        <f t="shared" si="32"/>
        <v>46.200040858018383</v>
      </c>
      <c r="O265">
        <f>COUNTIF($N$31:$N$465,"&lt;"&amp;N265)+COUNTIF($N$31:N265,N265)</f>
        <v>354</v>
      </c>
      <c r="P265" s="10">
        <f>'HOUSE DATA'!M238</f>
        <v>35.240040858018382</v>
      </c>
      <c r="Q265" t="str">
        <f>'HOUSE DATA'!N238</f>
        <v>2024 HOUSE / prior substitute</v>
      </c>
      <c r="R265" s="10">
        <f t="shared" si="33"/>
        <v>10.96</v>
      </c>
      <c r="S265" s="10">
        <f t="shared" si="34"/>
        <v>8.6148544230561725</v>
      </c>
      <c r="T265" s="10">
        <f t="shared" si="35"/>
        <v>2.3451455769438283</v>
      </c>
      <c r="U265" t="s">
        <v>73</v>
      </c>
      <c r="W265" t="s">
        <v>74</v>
      </c>
      <c r="X265" t="s">
        <v>75</v>
      </c>
    </row>
    <row r="266" spans="1:24" x14ac:dyDescent="0.2">
      <c r="A266" t="str">
        <f>'HOUSE DATA'!A239</f>
        <v>NC-03</v>
      </c>
      <c r="B266" s="10">
        <f>'HOUSE DATA'!B239</f>
        <v>-2.5185978712976334</v>
      </c>
      <c r="C266" s="10">
        <f t="shared" si="27"/>
        <v>-0.29999999999999893</v>
      </c>
      <c r="D266" s="10">
        <f>2*('HOUSE DATA'!D239*('HOUSE DASHBOARD'!$B$14-42.4)+'HOUSE DATA'!E239*('HOUSE DASHBOARD'!$B$15-54.2)+'HOUSE DATA'!F239*('HOUSE DASHBOARD'!$B$16-85.4)+'HOUSE DATA'!G239*('HOUSE DASHBOARD'!$B$17-60.7)+'HOUSE DATA'!H239*('HOUSE DASHBOARD'!$B$18-53.5))/100</f>
        <v>0</v>
      </c>
      <c r="E266" s="10">
        <f>2*('HOUSE DATA'!I239*('HOUSE DASHBOARD'!$B$21-55.6)+(100-'HOUSE DATA'!I239)*('HOUSE DASHBOARD'!$B$22-44.9))/100</f>
        <v>0</v>
      </c>
      <c r="F266" s="10">
        <f>0</f>
        <v>0</v>
      </c>
      <c r="G266" s="10">
        <f t="shared" si="28"/>
        <v>0</v>
      </c>
      <c r="H266" s="2">
        <f>'HOUSE DATA'!C239+C266+G266</f>
        <v>-2.7773737373737291</v>
      </c>
      <c r="I266" s="3" t="str">
        <f t="shared" si="29"/>
        <v>R</v>
      </c>
      <c r="J266" s="1" t="str">
        <f>'HOUSE DATA'!K239</f>
        <v>R</v>
      </c>
      <c r="K266" s="1" t="str">
        <f t="shared" si="30"/>
        <v>—</v>
      </c>
      <c r="L266" t="str">
        <f t="shared" si="31"/>
        <v>R+2.78</v>
      </c>
      <c r="M266">
        <f>COUNTIF($H$31:$H$465,"&gt;"&amp;H266)+COUNTIF($H$31:H266,H266)</f>
        <v>254</v>
      </c>
      <c r="N266" s="7">
        <f t="shared" si="32"/>
        <v>2.7773737373737291</v>
      </c>
      <c r="O266">
        <f>COUNTIF($N$31:$N$465,"&lt;"&amp;N266)+COUNTIF($N$31:N266,N266)</f>
        <v>26</v>
      </c>
      <c r="P266" s="10">
        <f>'HOUSE DATA'!M239</f>
        <v>-13.73737373737373</v>
      </c>
      <c r="Q266" t="str">
        <f>'HOUSE DATA'!N239</f>
        <v>2024 HOUSE / prior substitute</v>
      </c>
      <c r="R266" s="10">
        <f t="shared" si="33"/>
        <v>10.96</v>
      </c>
      <c r="S266" s="10">
        <f t="shared" si="34"/>
        <v>11.218775866076097</v>
      </c>
      <c r="T266" s="10">
        <f t="shared" si="35"/>
        <v>-0.25877586607609571</v>
      </c>
      <c r="U266" t="s">
        <v>73</v>
      </c>
      <c r="W266" t="s">
        <v>74</v>
      </c>
      <c r="X266" t="s">
        <v>75</v>
      </c>
    </row>
    <row r="267" spans="1:24" x14ac:dyDescent="0.2">
      <c r="A267" t="str">
        <f>'HOUSE DATA'!A240</f>
        <v>NC-04</v>
      </c>
      <c r="B267" s="10">
        <f>'HOUSE DATA'!B240</f>
        <v>57.012169356905126</v>
      </c>
      <c r="C267" s="10">
        <f t="shared" si="27"/>
        <v>-0.29999999999999893</v>
      </c>
      <c r="D267" s="10">
        <f>2*('HOUSE DATA'!D240*('HOUSE DASHBOARD'!$B$14-42.4)+'HOUSE DATA'!E240*('HOUSE DASHBOARD'!$B$15-54.2)+'HOUSE DATA'!F240*('HOUSE DASHBOARD'!$B$16-85.4)+'HOUSE DATA'!G240*('HOUSE DASHBOARD'!$B$17-60.7)+'HOUSE DATA'!H240*('HOUSE DASHBOARD'!$B$18-53.5))/100</f>
        <v>0</v>
      </c>
      <c r="E267" s="10">
        <f>2*('HOUSE DATA'!I240*('HOUSE DASHBOARD'!$B$21-55.6)+(100-'HOUSE DATA'!I240)*('HOUSE DASHBOARD'!$B$22-44.9))/100</f>
        <v>0</v>
      </c>
      <c r="F267" s="10">
        <f>0</f>
        <v>0</v>
      </c>
      <c r="G267" s="10">
        <f t="shared" si="28"/>
        <v>0</v>
      </c>
      <c r="H267" s="2">
        <f>'HOUSE DATA'!C240+C267+G267</f>
        <v>57.490612244897953</v>
      </c>
      <c r="I267" s="3" t="str">
        <f t="shared" si="29"/>
        <v>D</v>
      </c>
      <c r="J267" s="1" t="str">
        <f>'HOUSE DATA'!K240</f>
        <v>D</v>
      </c>
      <c r="K267" s="1" t="str">
        <f t="shared" si="30"/>
        <v>—</v>
      </c>
      <c r="L267" t="str">
        <f t="shared" si="31"/>
        <v>D+57.49</v>
      </c>
      <c r="M267">
        <f>COUNTIF($H$31:$H$465,"&gt;"&amp;H267)+COUNTIF($H$31:H267,H267)</f>
        <v>37</v>
      </c>
      <c r="N267" s="7">
        <f t="shared" si="32"/>
        <v>57.490612244897953</v>
      </c>
      <c r="O267">
        <f>COUNTIF($N$31:$N$465,"&lt;"&amp;N267)+COUNTIF($N$31:N267,N267)</f>
        <v>390</v>
      </c>
      <c r="P267" s="10">
        <f>'HOUSE DATA'!M240</f>
        <v>46.530612244897952</v>
      </c>
      <c r="Q267" t="str">
        <f>'HOUSE DATA'!N240</f>
        <v>2024 HOUSE / prior substitute</v>
      </c>
      <c r="R267" s="10">
        <f t="shared" si="33"/>
        <v>10.96</v>
      </c>
      <c r="S267" s="10">
        <f t="shared" si="34"/>
        <v>10.481557112007174</v>
      </c>
      <c r="T267" s="10">
        <f t="shared" si="35"/>
        <v>0.47844288799282708</v>
      </c>
      <c r="U267" t="s">
        <v>73</v>
      </c>
      <c r="W267" t="s">
        <v>74</v>
      </c>
      <c r="X267" t="s">
        <v>75</v>
      </c>
    </row>
    <row r="268" spans="1:24" x14ac:dyDescent="0.2">
      <c r="A268" t="str">
        <f>'HOUSE DATA'!A241</f>
        <v>NC-05</v>
      </c>
      <c r="B268" s="10">
        <f>'HOUSE DATA'!B241</f>
        <v>-7.8565031460688664</v>
      </c>
      <c r="C268" s="10">
        <f t="shared" si="27"/>
        <v>-0.29999999999999893</v>
      </c>
      <c r="D268" s="10">
        <f>2*('HOUSE DATA'!D241*('HOUSE DASHBOARD'!$B$14-42.4)+'HOUSE DATA'!E241*('HOUSE DASHBOARD'!$B$15-54.2)+'HOUSE DATA'!F241*('HOUSE DASHBOARD'!$B$16-85.4)+'HOUSE DATA'!G241*('HOUSE DASHBOARD'!$B$17-60.7)+'HOUSE DATA'!H241*('HOUSE DASHBOARD'!$B$18-53.5))/100</f>
        <v>0</v>
      </c>
      <c r="E268" s="10">
        <f>2*('HOUSE DATA'!I241*('HOUSE DASHBOARD'!$B$21-55.6)+(100-'HOUSE DATA'!I241)*('HOUSE DASHBOARD'!$B$22-44.9))/100</f>
        <v>0</v>
      </c>
      <c r="F268" s="10">
        <f>0</f>
        <v>0</v>
      </c>
      <c r="G268" s="10">
        <f t="shared" si="28"/>
        <v>0</v>
      </c>
      <c r="H268" s="2">
        <f>'HOUSE DATA'!C241+C268+G268</f>
        <v>-8.0399999999999991</v>
      </c>
      <c r="I268" s="3" t="str">
        <f t="shared" si="29"/>
        <v>R</v>
      </c>
      <c r="J268" s="1" t="str">
        <f>'HOUSE DATA'!K241</f>
        <v>R</v>
      </c>
      <c r="K268" s="1" t="str">
        <f t="shared" si="30"/>
        <v>—</v>
      </c>
      <c r="L268" t="str">
        <f t="shared" si="31"/>
        <v>R+8.04</v>
      </c>
      <c r="M268">
        <f>COUNTIF($H$31:$H$465,"&gt;"&amp;H268)+COUNTIF($H$31:H268,H268)</f>
        <v>283</v>
      </c>
      <c r="N268" s="7">
        <f t="shared" si="32"/>
        <v>8.0399999999999991</v>
      </c>
      <c r="O268">
        <f>COUNTIF($N$31:$N$465,"&lt;"&amp;N268)+COUNTIF($N$31:N268,N268)</f>
        <v>64</v>
      </c>
      <c r="P268" s="10">
        <f>'HOUSE DATA'!M241</f>
        <v>-19</v>
      </c>
      <c r="Q268" t="str">
        <f>'HOUSE DATA'!N241</f>
        <v>2024 HOUSE / prior substitute</v>
      </c>
      <c r="R268" s="10">
        <f t="shared" si="33"/>
        <v>10.96</v>
      </c>
      <c r="S268" s="10">
        <f t="shared" si="34"/>
        <v>11.143496853931133</v>
      </c>
      <c r="T268" s="10">
        <f t="shared" si="35"/>
        <v>-0.1834968539311328</v>
      </c>
      <c r="U268" t="s">
        <v>73</v>
      </c>
      <c r="W268" t="s">
        <v>74</v>
      </c>
      <c r="X268" t="s">
        <v>75</v>
      </c>
    </row>
    <row r="269" spans="1:24" x14ac:dyDescent="0.2">
      <c r="A269" t="str">
        <f>'HOUSE DATA'!A242</f>
        <v>NC-06</v>
      </c>
      <c r="B269" s="10">
        <f>'HOUSE DATA'!B242</f>
        <v>-5.720917738222532</v>
      </c>
      <c r="C269" s="10">
        <f t="shared" si="27"/>
        <v>-0.29999999999999893</v>
      </c>
      <c r="D269" s="10">
        <f>2*('HOUSE DATA'!D242*('HOUSE DASHBOARD'!$B$14-42.4)+'HOUSE DATA'!E242*('HOUSE DASHBOARD'!$B$15-54.2)+'HOUSE DATA'!F242*('HOUSE DASHBOARD'!$B$16-85.4)+'HOUSE DATA'!G242*('HOUSE DASHBOARD'!$B$17-60.7)+'HOUSE DATA'!H242*('HOUSE DASHBOARD'!$B$18-53.5))/100</f>
        <v>0</v>
      </c>
      <c r="E269" s="10">
        <f>2*('HOUSE DATA'!I242*('HOUSE DASHBOARD'!$B$21-55.6)+(100-'HOUSE DATA'!I242)*('HOUSE DASHBOARD'!$B$22-44.9))/100</f>
        <v>0</v>
      </c>
      <c r="F269" s="10">
        <f>0</f>
        <v>0</v>
      </c>
      <c r="G269" s="10">
        <f t="shared" si="28"/>
        <v>0</v>
      </c>
      <c r="H269" s="2">
        <f>'HOUSE DATA'!C242+C269+G269</f>
        <v>-6.4004060913705629</v>
      </c>
      <c r="I269" s="3" t="str">
        <f t="shared" si="29"/>
        <v>R</v>
      </c>
      <c r="J269" s="1" t="str">
        <f>'HOUSE DATA'!K242</f>
        <v>R</v>
      </c>
      <c r="K269" s="1" t="str">
        <f t="shared" si="30"/>
        <v>—</v>
      </c>
      <c r="L269" t="str">
        <f t="shared" si="31"/>
        <v>R+6.40</v>
      </c>
      <c r="M269">
        <f>COUNTIF($H$31:$H$465,"&gt;"&amp;H269)+COUNTIF($H$31:H269,H269)</f>
        <v>279</v>
      </c>
      <c r="N269" s="7">
        <f t="shared" si="32"/>
        <v>6.4004060913705629</v>
      </c>
      <c r="O269">
        <f>COUNTIF($N$31:$N$465,"&lt;"&amp;N269)+COUNTIF($N$31:N269,N269)</f>
        <v>56</v>
      </c>
      <c r="P269" s="10">
        <f>'HOUSE DATA'!M242</f>
        <v>-17.360406091370564</v>
      </c>
      <c r="Q269" t="str">
        <f>'HOUSE DATA'!N242</f>
        <v>2024 HOUSE / prior substitute</v>
      </c>
      <c r="R269" s="10">
        <f t="shared" si="33"/>
        <v>10.96</v>
      </c>
      <c r="S269" s="10">
        <f t="shared" si="34"/>
        <v>11.639488353148032</v>
      </c>
      <c r="T269" s="10">
        <f t="shared" si="35"/>
        <v>-0.67948835314803091</v>
      </c>
      <c r="U269" t="s">
        <v>73</v>
      </c>
      <c r="W269" t="s">
        <v>74</v>
      </c>
      <c r="X269" t="s">
        <v>75</v>
      </c>
    </row>
    <row r="270" spans="1:24" x14ac:dyDescent="0.2">
      <c r="A270" t="str">
        <f>'HOUSE DATA'!A243</f>
        <v>NC-07</v>
      </c>
      <c r="B270" s="10">
        <f>'HOUSE DATA'!B243</f>
        <v>-6.3845884776429509</v>
      </c>
      <c r="C270" s="10">
        <f t="shared" si="27"/>
        <v>-0.29999999999999893</v>
      </c>
      <c r="D270" s="10">
        <f>2*('HOUSE DATA'!D243*('HOUSE DASHBOARD'!$B$14-42.4)+'HOUSE DATA'!E243*('HOUSE DASHBOARD'!$B$15-54.2)+'HOUSE DATA'!F243*('HOUSE DASHBOARD'!$B$16-85.4)+'HOUSE DATA'!G243*('HOUSE DASHBOARD'!$B$17-60.7)+'HOUSE DATA'!H243*('HOUSE DASHBOARD'!$B$18-53.5))/100</f>
        <v>0</v>
      </c>
      <c r="E270" s="10">
        <f>2*('HOUSE DATA'!I243*('HOUSE DASHBOARD'!$B$21-55.6)+(100-'HOUSE DATA'!I243)*('HOUSE DASHBOARD'!$B$22-44.9))/100</f>
        <v>0</v>
      </c>
      <c r="F270" s="10">
        <f>0</f>
        <v>0</v>
      </c>
      <c r="G270" s="10">
        <f t="shared" si="28"/>
        <v>0</v>
      </c>
      <c r="H270" s="2">
        <f>'HOUSE DATA'!C243+C270+G270</f>
        <v>-6.2399999999999949</v>
      </c>
      <c r="I270" s="3" t="str">
        <f t="shared" si="29"/>
        <v>R</v>
      </c>
      <c r="J270" s="1" t="str">
        <f>'HOUSE DATA'!K243</f>
        <v>R</v>
      </c>
      <c r="K270" s="1" t="str">
        <f t="shared" si="30"/>
        <v>—</v>
      </c>
      <c r="L270" t="str">
        <f t="shared" si="31"/>
        <v>R+6.24</v>
      </c>
      <c r="M270">
        <f>COUNTIF($H$31:$H$465,"&gt;"&amp;H270)+COUNTIF($H$31:H270,H270)</f>
        <v>277</v>
      </c>
      <c r="N270" s="7">
        <f t="shared" si="32"/>
        <v>6.2399999999999949</v>
      </c>
      <c r="O270">
        <f>COUNTIF($N$31:$N$465,"&lt;"&amp;N270)+COUNTIF($N$31:N270,N270)</f>
        <v>54</v>
      </c>
      <c r="P270" s="10">
        <f>'HOUSE DATA'!M243</f>
        <v>-17.199999999999996</v>
      </c>
      <c r="Q270" t="str">
        <f>'HOUSE DATA'!N243</f>
        <v>2024 HOUSE / prior substitute</v>
      </c>
      <c r="R270" s="10">
        <f t="shared" si="33"/>
        <v>10.96</v>
      </c>
      <c r="S270" s="10">
        <f t="shared" si="34"/>
        <v>10.815411522357046</v>
      </c>
      <c r="T270" s="10">
        <f t="shared" si="35"/>
        <v>0.14458847764295601</v>
      </c>
      <c r="U270" t="s">
        <v>73</v>
      </c>
      <c r="W270" t="s">
        <v>74</v>
      </c>
      <c r="X270" t="s">
        <v>75</v>
      </c>
    </row>
    <row r="271" spans="1:24" x14ac:dyDescent="0.2">
      <c r="A271" t="str">
        <f>'HOUSE DATA'!A244</f>
        <v>NC-08</v>
      </c>
      <c r="B271" s="10">
        <f>'HOUSE DATA'!B244</f>
        <v>-8.951318271682128</v>
      </c>
      <c r="C271" s="10">
        <f t="shared" si="27"/>
        <v>-0.29999999999999893</v>
      </c>
      <c r="D271" s="10">
        <f>2*('HOUSE DATA'!D244*('HOUSE DASHBOARD'!$B$14-42.4)+'HOUSE DATA'!E244*('HOUSE DASHBOARD'!$B$15-54.2)+'HOUSE DATA'!F244*('HOUSE DASHBOARD'!$B$16-85.4)+'HOUSE DATA'!G244*('HOUSE DASHBOARD'!$B$17-60.7)+'HOUSE DATA'!H244*('HOUSE DASHBOARD'!$B$18-53.5))/100</f>
        <v>0</v>
      </c>
      <c r="E271" s="10">
        <f>2*('HOUSE DATA'!I244*('HOUSE DASHBOARD'!$B$21-55.6)+(100-'HOUSE DATA'!I244)*('HOUSE DASHBOARD'!$B$22-44.9))/100</f>
        <v>0</v>
      </c>
      <c r="F271" s="10">
        <f>0</f>
        <v>0</v>
      </c>
      <c r="G271" s="10">
        <f t="shared" si="28"/>
        <v>0</v>
      </c>
      <c r="H271" s="2">
        <f>'HOUSE DATA'!C244+C271+G271</f>
        <v>-8.2399999999999878</v>
      </c>
      <c r="I271" s="3" t="str">
        <f t="shared" si="29"/>
        <v>R</v>
      </c>
      <c r="J271" s="1" t="str">
        <f>'HOUSE DATA'!K244</f>
        <v>R</v>
      </c>
      <c r="K271" s="1" t="str">
        <f t="shared" si="30"/>
        <v>—</v>
      </c>
      <c r="L271" t="str">
        <f t="shared" si="31"/>
        <v>R+8.24</v>
      </c>
      <c r="M271">
        <f>COUNTIF($H$31:$H$465,"&gt;"&amp;H271)+COUNTIF($H$31:H271,H271)</f>
        <v>285</v>
      </c>
      <c r="N271" s="7">
        <f t="shared" si="32"/>
        <v>8.2399999999999878</v>
      </c>
      <c r="O271">
        <f>COUNTIF($N$31:$N$465,"&lt;"&amp;N271)+COUNTIF($N$31:N271,N271)</f>
        <v>66</v>
      </c>
      <c r="P271" s="10">
        <f>'HOUSE DATA'!M244</f>
        <v>-19.199999999999989</v>
      </c>
      <c r="Q271" t="str">
        <f>'HOUSE DATA'!N244</f>
        <v>2024 HOUSE / prior substitute</v>
      </c>
      <c r="R271" s="10">
        <f t="shared" si="33"/>
        <v>10.96</v>
      </c>
      <c r="S271" s="10">
        <f t="shared" si="34"/>
        <v>10.248681728317861</v>
      </c>
      <c r="T271" s="10">
        <f t="shared" si="35"/>
        <v>0.71131827168214024</v>
      </c>
      <c r="U271" t="s">
        <v>73</v>
      </c>
      <c r="W271" t="s">
        <v>74</v>
      </c>
      <c r="X271" t="s">
        <v>75</v>
      </c>
    </row>
    <row r="272" spans="1:24" x14ac:dyDescent="0.2">
      <c r="A272" t="str">
        <f>'HOUSE DATA'!A245</f>
        <v>NC-09</v>
      </c>
      <c r="B272" s="10">
        <f>'HOUSE DATA'!B245</f>
        <v>-8.2091900321144973</v>
      </c>
      <c r="C272" s="10">
        <f t="shared" si="27"/>
        <v>-0.29999999999999893</v>
      </c>
      <c r="D272" s="10">
        <f>2*('HOUSE DATA'!D245*('HOUSE DASHBOARD'!$B$14-42.4)+'HOUSE DATA'!E245*('HOUSE DASHBOARD'!$B$15-54.2)+'HOUSE DATA'!F245*('HOUSE DASHBOARD'!$B$16-85.4)+'HOUSE DATA'!G245*('HOUSE DASHBOARD'!$B$17-60.7)+'HOUSE DATA'!H245*('HOUSE DASHBOARD'!$B$18-53.5))/100</f>
        <v>0</v>
      </c>
      <c r="E272" s="10">
        <f>2*('HOUSE DATA'!I245*('HOUSE DASHBOARD'!$B$21-55.6)+(100-'HOUSE DATA'!I245)*('HOUSE DASHBOARD'!$B$22-44.9))/100</f>
        <v>0</v>
      </c>
      <c r="F272" s="10">
        <f>0</f>
        <v>0</v>
      </c>
      <c r="G272" s="10">
        <f t="shared" si="28"/>
        <v>0</v>
      </c>
      <c r="H272" s="2">
        <f>'HOUSE DATA'!C245+C272+G272</f>
        <v>-8.6999362380446215</v>
      </c>
      <c r="I272" s="3" t="str">
        <f t="shared" si="29"/>
        <v>R</v>
      </c>
      <c r="J272" s="1" t="str">
        <f>'HOUSE DATA'!K245</f>
        <v>R</v>
      </c>
      <c r="K272" s="1" t="str">
        <f t="shared" si="30"/>
        <v>—</v>
      </c>
      <c r="L272" t="str">
        <f t="shared" si="31"/>
        <v>R+8.70</v>
      </c>
      <c r="M272">
        <f>COUNTIF($H$31:$H$465,"&gt;"&amp;H272)+COUNTIF($H$31:H272,H272)</f>
        <v>289</v>
      </c>
      <c r="N272" s="7">
        <f t="shared" si="32"/>
        <v>8.6999362380446215</v>
      </c>
      <c r="O272">
        <f>COUNTIF($N$31:$N$465,"&lt;"&amp;N272)+COUNTIF($N$31:N272,N272)</f>
        <v>72</v>
      </c>
      <c r="P272" s="10">
        <f>'HOUSE DATA'!M245</f>
        <v>-19.659936238044622</v>
      </c>
      <c r="Q272" t="str">
        <f>'HOUSE DATA'!N245</f>
        <v>2024 HOUSE / prior substitute</v>
      </c>
      <c r="R272" s="10">
        <f t="shared" si="33"/>
        <v>10.96</v>
      </c>
      <c r="S272" s="10">
        <f t="shared" si="34"/>
        <v>11.450746205930125</v>
      </c>
      <c r="T272" s="10">
        <f t="shared" si="35"/>
        <v>-0.49074620593012419</v>
      </c>
      <c r="U272" t="s">
        <v>73</v>
      </c>
      <c r="W272" t="s">
        <v>74</v>
      </c>
      <c r="X272" t="s">
        <v>75</v>
      </c>
    </row>
    <row r="273" spans="1:24" x14ac:dyDescent="0.2">
      <c r="A273" t="str">
        <f>'HOUSE DATA'!A246</f>
        <v>NC-10</v>
      </c>
      <c r="B273" s="10">
        <f>'HOUSE DATA'!B246</f>
        <v>-9.7704877317443692</v>
      </c>
      <c r="C273" s="10">
        <f t="shared" si="27"/>
        <v>-0.29999999999999893</v>
      </c>
      <c r="D273" s="10">
        <f>2*('HOUSE DATA'!D246*('HOUSE DASHBOARD'!$B$14-42.4)+'HOUSE DATA'!E246*('HOUSE DASHBOARD'!$B$15-54.2)+'HOUSE DATA'!F246*('HOUSE DASHBOARD'!$B$16-85.4)+'HOUSE DATA'!G246*('HOUSE DASHBOARD'!$B$17-60.7)+'HOUSE DATA'!H246*('HOUSE DASHBOARD'!$B$18-53.5))/100</f>
        <v>0</v>
      </c>
      <c r="E273" s="10">
        <f>2*('HOUSE DATA'!I246*('HOUSE DASHBOARD'!$B$21-55.6)+(100-'HOUSE DATA'!I246)*('HOUSE DASHBOARD'!$B$22-44.9))/100</f>
        <v>0</v>
      </c>
      <c r="F273" s="10">
        <f>0</f>
        <v>0</v>
      </c>
      <c r="G273" s="10">
        <f t="shared" si="28"/>
        <v>0</v>
      </c>
      <c r="H273" s="2">
        <f>'HOUSE DATA'!C246+C273+G273</f>
        <v>-9.2071891327063682</v>
      </c>
      <c r="I273" s="3" t="str">
        <f t="shared" si="29"/>
        <v>R</v>
      </c>
      <c r="J273" s="1" t="str">
        <f>'HOUSE DATA'!K246</f>
        <v>R</v>
      </c>
      <c r="K273" s="1" t="str">
        <f t="shared" si="30"/>
        <v>—</v>
      </c>
      <c r="L273" t="str">
        <f t="shared" si="31"/>
        <v>R+9.21</v>
      </c>
      <c r="M273">
        <f>COUNTIF($H$31:$H$465,"&gt;"&amp;H273)+COUNTIF($H$31:H273,H273)</f>
        <v>291</v>
      </c>
      <c r="N273" s="7">
        <f t="shared" si="32"/>
        <v>9.2071891327063682</v>
      </c>
      <c r="O273">
        <f>COUNTIF($N$31:$N$465,"&lt;"&amp;N273)+COUNTIF($N$31:N273,N273)</f>
        <v>75</v>
      </c>
      <c r="P273" s="10">
        <f>'HOUSE DATA'!M246</f>
        <v>-20.167189132706369</v>
      </c>
      <c r="Q273" t="str">
        <f>'HOUSE DATA'!N246</f>
        <v>2024 HOUSE / prior substitute</v>
      </c>
      <c r="R273" s="10">
        <f t="shared" si="33"/>
        <v>10.96</v>
      </c>
      <c r="S273" s="10">
        <f t="shared" si="34"/>
        <v>10.396701400962</v>
      </c>
      <c r="T273" s="10">
        <f t="shared" si="35"/>
        <v>0.56329859903800106</v>
      </c>
      <c r="U273" t="s">
        <v>73</v>
      </c>
      <c r="W273" t="s">
        <v>74</v>
      </c>
      <c r="X273" t="s">
        <v>75</v>
      </c>
    </row>
    <row r="274" spans="1:24" x14ac:dyDescent="0.2">
      <c r="A274" t="str">
        <f>'HOUSE DATA'!A247</f>
        <v>NC-11</v>
      </c>
      <c r="B274" s="10">
        <f>'HOUSE DATA'!B247</f>
        <v>0.49197969913612893</v>
      </c>
      <c r="C274" s="10">
        <f t="shared" si="27"/>
        <v>-0.29999999999999893</v>
      </c>
      <c r="D274" s="10">
        <f>2*('HOUSE DATA'!D247*('HOUSE DASHBOARD'!$B$14-42.4)+'HOUSE DATA'!E247*('HOUSE DASHBOARD'!$B$15-54.2)+'HOUSE DATA'!F247*('HOUSE DASHBOARD'!$B$16-85.4)+'HOUSE DATA'!G247*('HOUSE DASHBOARD'!$B$17-60.7)+'HOUSE DATA'!H247*('HOUSE DASHBOARD'!$B$18-53.5))/100</f>
        <v>0</v>
      </c>
      <c r="E274" s="10">
        <f>2*('HOUSE DATA'!I247*('HOUSE DASHBOARD'!$B$21-55.6)+(100-'HOUSE DATA'!I247)*('HOUSE DASHBOARD'!$B$22-44.9))/100</f>
        <v>0</v>
      </c>
      <c r="F274" s="10">
        <f>0</f>
        <v>0</v>
      </c>
      <c r="G274" s="10">
        <f t="shared" si="28"/>
        <v>0</v>
      </c>
      <c r="H274" s="2">
        <f>'HOUSE DATA'!C247+C274+G274</f>
        <v>1.0500000000000007</v>
      </c>
      <c r="I274" s="3" t="str">
        <f t="shared" si="29"/>
        <v>D</v>
      </c>
      <c r="J274" s="1" t="str">
        <f>'HOUSE DATA'!K247</f>
        <v>R</v>
      </c>
      <c r="K274" s="1" t="str">
        <f t="shared" si="30"/>
        <v>R → D</v>
      </c>
      <c r="L274" t="str">
        <f t="shared" si="31"/>
        <v>D+1.05</v>
      </c>
      <c r="M274">
        <f>COUNTIF($H$31:$H$465,"&gt;"&amp;H274)+COUNTIF($H$31:H274,H274)</f>
        <v>232</v>
      </c>
      <c r="N274" s="7">
        <f t="shared" si="32"/>
        <v>1.0500000000000007</v>
      </c>
      <c r="O274">
        <f>COUNTIF($N$31:$N$465,"&lt;"&amp;N274)+COUNTIF($N$31:N274,N274)</f>
        <v>11</v>
      </c>
      <c r="P274" s="10">
        <f>'HOUSE DATA'!M247</f>
        <v>-9.5</v>
      </c>
      <c r="Q274" t="str">
        <f>'HOUSE DATA'!N247</f>
        <v>2024 PRESIDENT (open seat)</v>
      </c>
      <c r="R274" s="10">
        <f t="shared" si="33"/>
        <v>10.55</v>
      </c>
      <c r="S274" s="10">
        <f t="shared" si="34"/>
        <v>9.9919796991361292</v>
      </c>
      <c r="T274" s="10">
        <f t="shared" si="35"/>
        <v>0.55802030086387178</v>
      </c>
      <c r="U274" t="s">
        <v>73</v>
      </c>
      <c r="W274" t="s">
        <v>74</v>
      </c>
      <c r="X274" t="s">
        <v>75</v>
      </c>
    </row>
    <row r="275" spans="1:24" x14ac:dyDescent="0.2">
      <c r="A275" t="str">
        <f>'HOUSE DATA'!A248</f>
        <v>NC-12</v>
      </c>
      <c r="B275" s="10">
        <f>'HOUSE DATA'!B248</f>
        <v>59.172212569995779</v>
      </c>
      <c r="C275" s="10">
        <f t="shared" si="27"/>
        <v>-0.29999999999999893</v>
      </c>
      <c r="D275" s="10">
        <f>2*('HOUSE DATA'!D248*('HOUSE DASHBOARD'!$B$14-42.4)+'HOUSE DATA'!E248*('HOUSE DASHBOARD'!$B$15-54.2)+'HOUSE DATA'!F248*('HOUSE DASHBOARD'!$B$16-85.4)+'HOUSE DATA'!G248*('HOUSE DASHBOARD'!$B$17-60.7)+'HOUSE DATA'!H248*('HOUSE DASHBOARD'!$B$18-53.5))/100</f>
        <v>0</v>
      </c>
      <c r="E275" s="10">
        <f>2*('HOUSE DATA'!I248*('HOUSE DASHBOARD'!$B$21-55.6)+(100-'HOUSE DATA'!I248)*('HOUSE DASHBOARD'!$B$22-44.9))/100</f>
        <v>0</v>
      </c>
      <c r="F275" s="10">
        <f>0</f>
        <v>0</v>
      </c>
      <c r="G275" s="10">
        <f t="shared" si="28"/>
        <v>0</v>
      </c>
      <c r="H275" s="2">
        <f>'HOUSE DATA'!C248+C275+G275</f>
        <v>58.96</v>
      </c>
      <c r="I275" s="3" t="str">
        <f t="shared" si="29"/>
        <v>D</v>
      </c>
      <c r="J275" s="1" t="str">
        <f>'HOUSE DATA'!K248</f>
        <v>D</v>
      </c>
      <c r="K275" s="1" t="str">
        <f t="shared" si="30"/>
        <v>—</v>
      </c>
      <c r="L275" t="str">
        <f t="shared" si="31"/>
        <v>D+58.96</v>
      </c>
      <c r="M275">
        <f>COUNTIF($H$31:$H$465,"&gt;"&amp;H275)+COUNTIF($H$31:H275,H275)</f>
        <v>35</v>
      </c>
      <c r="N275" s="7">
        <f t="shared" si="32"/>
        <v>58.96</v>
      </c>
      <c r="O275">
        <f>COUNTIF($N$31:$N$465,"&lt;"&amp;N275)+COUNTIF($N$31:N275,N275)</f>
        <v>392</v>
      </c>
      <c r="P275" s="10">
        <f>'HOUSE DATA'!M248</f>
        <v>48</v>
      </c>
      <c r="Q275" t="str">
        <f>'HOUSE DATA'!N248</f>
        <v>2024 HOUSE / prior substitute</v>
      </c>
      <c r="R275" s="10">
        <f t="shared" si="33"/>
        <v>10.96</v>
      </c>
      <c r="S275" s="10">
        <f t="shared" si="34"/>
        <v>11.172212569995779</v>
      </c>
      <c r="T275" s="10">
        <f t="shared" si="35"/>
        <v>-0.21221256999577776</v>
      </c>
      <c r="U275" t="s">
        <v>73</v>
      </c>
      <c r="W275" t="s">
        <v>74</v>
      </c>
      <c r="X275" t="s">
        <v>75</v>
      </c>
    </row>
    <row r="276" spans="1:24" x14ac:dyDescent="0.2">
      <c r="A276" t="str">
        <f>'HOUSE DATA'!A249</f>
        <v>NC-13</v>
      </c>
      <c r="B276" s="10">
        <f>'HOUSE DATA'!B249</f>
        <v>-7.5503958302257779</v>
      </c>
      <c r="C276" s="10">
        <f t="shared" si="27"/>
        <v>-0.29999999999999893</v>
      </c>
      <c r="D276" s="10">
        <f>2*('HOUSE DATA'!D249*('HOUSE DASHBOARD'!$B$14-42.4)+'HOUSE DATA'!E249*('HOUSE DASHBOARD'!$B$15-54.2)+'HOUSE DATA'!F249*('HOUSE DASHBOARD'!$B$16-85.4)+'HOUSE DATA'!G249*('HOUSE DASHBOARD'!$B$17-60.7)+'HOUSE DATA'!H249*('HOUSE DASHBOARD'!$B$18-53.5))/100</f>
        <v>0</v>
      </c>
      <c r="E276" s="10">
        <f>2*('HOUSE DATA'!I249*('HOUSE DASHBOARD'!$B$21-55.6)+(100-'HOUSE DATA'!I249)*('HOUSE DASHBOARD'!$B$22-44.9))/100</f>
        <v>0</v>
      </c>
      <c r="F276" s="10">
        <f>0</f>
        <v>0</v>
      </c>
      <c r="G276" s="10">
        <f t="shared" si="28"/>
        <v>0</v>
      </c>
      <c r="H276" s="2">
        <f>'HOUSE DATA'!C249+C276+G276</f>
        <v>-6.2399999999999949</v>
      </c>
      <c r="I276" s="3" t="str">
        <f t="shared" si="29"/>
        <v>R</v>
      </c>
      <c r="J276" s="1" t="str">
        <f>'HOUSE DATA'!K249</f>
        <v>R</v>
      </c>
      <c r="K276" s="1" t="str">
        <f t="shared" si="30"/>
        <v>—</v>
      </c>
      <c r="L276" t="str">
        <f t="shared" si="31"/>
        <v>R+6.24</v>
      </c>
      <c r="M276">
        <f>COUNTIF($H$31:$H$465,"&gt;"&amp;H276)+COUNTIF($H$31:H276,H276)</f>
        <v>278</v>
      </c>
      <c r="N276" s="7">
        <f t="shared" si="32"/>
        <v>6.2399999999999949</v>
      </c>
      <c r="O276">
        <f>COUNTIF($N$31:$N$465,"&lt;"&amp;N276)+COUNTIF($N$31:N276,N276)</f>
        <v>55</v>
      </c>
      <c r="P276" s="10">
        <f>'HOUSE DATA'!M249</f>
        <v>-17.199999999999996</v>
      </c>
      <c r="Q276" t="str">
        <f>'HOUSE DATA'!N249</f>
        <v>2024 HOUSE / prior substitute</v>
      </c>
      <c r="R276" s="10">
        <f t="shared" si="33"/>
        <v>10.96</v>
      </c>
      <c r="S276" s="10">
        <f t="shared" si="34"/>
        <v>9.6496041697742179</v>
      </c>
      <c r="T276" s="10">
        <f t="shared" si="35"/>
        <v>1.310395830225783</v>
      </c>
      <c r="U276" t="s">
        <v>73</v>
      </c>
      <c r="W276" t="s">
        <v>74</v>
      </c>
      <c r="X276" t="s">
        <v>75</v>
      </c>
    </row>
    <row r="277" spans="1:24" x14ac:dyDescent="0.2">
      <c r="A277" t="str">
        <f>'HOUSE DATA'!A250</f>
        <v>NC-14</v>
      </c>
      <c r="B277" s="10">
        <f>'HOUSE DATA'!B250</f>
        <v>-6.4741537405779139</v>
      </c>
      <c r="C277" s="10">
        <f t="shared" si="27"/>
        <v>-0.29999999999999893</v>
      </c>
      <c r="D277" s="10">
        <f>2*('HOUSE DATA'!D250*('HOUSE DASHBOARD'!$B$14-42.4)+'HOUSE DATA'!E250*('HOUSE DASHBOARD'!$B$15-54.2)+'HOUSE DATA'!F250*('HOUSE DASHBOARD'!$B$16-85.4)+'HOUSE DATA'!G250*('HOUSE DASHBOARD'!$B$17-60.7)+'HOUSE DATA'!H250*('HOUSE DASHBOARD'!$B$18-53.5))/100</f>
        <v>0</v>
      </c>
      <c r="E277" s="10">
        <f>2*('HOUSE DATA'!I250*('HOUSE DASHBOARD'!$B$21-55.6)+(100-'HOUSE DATA'!I250)*('HOUSE DASHBOARD'!$B$22-44.9))/100</f>
        <v>0</v>
      </c>
      <c r="F277" s="10">
        <f>0</f>
        <v>0</v>
      </c>
      <c r="G277" s="10">
        <f t="shared" si="28"/>
        <v>0</v>
      </c>
      <c r="H277" s="2">
        <f>'HOUSE DATA'!C250+C277+G277</f>
        <v>-5.2399999999999949</v>
      </c>
      <c r="I277" s="3" t="str">
        <f t="shared" si="29"/>
        <v>R</v>
      </c>
      <c r="J277" s="1" t="str">
        <f>'HOUSE DATA'!K250</f>
        <v>R</v>
      </c>
      <c r="K277" s="1" t="str">
        <f t="shared" si="30"/>
        <v>—</v>
      </c>
      <c r="L277" t="str">
        <f t="shared" si="31"/>
        <v>R+5.24</v>
      </c>
      <c r="M277">
        <f>COUNTIF($H$31:$H$465,"&gt;"&amp;H277)+COUNTIF($H$31:H277,H277)</f>
        <v>269</v>
      </c>
      <c r="N277" s="7">
        <f t="shared" si="32"/>
        <v>5.2399999999999949</v>
      </c>
      <c r="O277">
        <f>COUNTIF($N$31:$N$465,"&lt;"&amp;N277)+COUNTIF($N$31:N277,N277)</f>
        <v>43</v>
      </c>
      <c r="P277" s="10">
        <f>'HOUSE DATA'!M250</f>
        <v>-16.199999999999996</v>
      </c>
      <c r="Q277" t="str">
        <f>'HOUSE DATA'!N250</f>
        <v>2024 HOUSE / prior substitute</v>
      </c>
      <c r="R277" s="10">
        <f t="shared" si="33"/>
        <v>10.96</v>
      </c>
      <c r="S277" s="10">
        <f t="shared" si="34"/>
        <v>9.7258462594220809</v>
      </c>
      <c r="T277" s="10">
        <f t="shared" si="35"/>
        <v>1.234153740577919</v>
      </c>
      <c r="U277" t="s">
        <v>73</v>
      </c>
      <c r="W277" t="s">
        <v>74</v>
      </c>
      <c r="X277" t="s">
        <v>75</v>
      </c>
    </row>
    <row r="278" spans="1:24" x14ac:dyDescent="0.2">
      <c r="A278" t="str">
        <f>'HOUSE DATA'!A251</f>
        <v>ND-AL</v>
      </c>
      <c r="B278" s="10">
        <f>'HOUSE DATA'!B251</f>
        <v>-29.809687381472468</v>
      </c>
      <c r="C278" s="10">
        <f t="shared" si="27"/>
        <v>-0.29999999999999893</v>
      </c>
      <c r="D278" s="10">
        <f>2*('HOUSE DATA'!D251*('HOUSE DASHBOARD'!$B$14-42.4)+'HOUSE DATA'!E251*('HOUSE DASHBOARD'!$B$15-54.2)+'HOUSE DATA'!F251*('HOUSE DASHBOARD'!$B$16-85.4)+'HOUSE DATA'!G251*('HOUSE DASHBOARD'!$B$17-60.7)+'HOUSE DATA'!H251*('HOUSE DASHBOARD'!$B$18-53.5))/100</f>
        <v>0</v>
      </c>
      <c r="E278" s="10">
        <f>2*('HOUSE DATA'!I251*('HOUSE DASHBOARD'!$B$21-55.6)+(100-'HOUSE DATA'!I251)*('HOUSE DASHBOARD'!$B$22-44.9))/100</f>
        <v>0</v>
      </c>
      <c r="F278" s="10">
        <f>0</f>
        <v>0</v>
      </c>
      <c r="G278" s="10">
        <f t="shared" si="28"/>
        <v>0</v>
      </c>
      <c r="H278" s="2">
        <f>'HOUSE DATA'!C251+C278+G278</f>
        <v>-28.080000000000005</v>
      </c>
      <c r="I278" s="3" t="str">
        <f t="shared" si="29"/>
        <v>R</v>
      </c>
      <c r="J278" s="1" t="str">
        <f>'HOUSE DATA'!K251</f>
        <v>R</v>
      </c>
      <c r="K278" s="1" t="str">
        <f t="shared" si="30"/>
        <v>—</v>
      </c>
      <c r="L278" t="str">
        <f t="shared" si="31"/>
        <v>R+28.08</v>
      </c>
      <c r="M278">
        <f>COUNTIF($H$31:$H$465,"&gt;"&amp;H278)+COUNTIF($H$31:H278,H278)</f>
        <v>392</v>
      </c>
      <c r="N278" s="7">
        <f t="shared" si="32"/>
        <v>28.080000000000005</v>
      </c>
      <c r="O278">
        <f>COUNTIF($N$31:$N$465,"&lt;"&amp;N278)+COUNTIF($N$31:N278,N278)</f>
        <v>260</v>
      </c>
      <c r="P278" s="10">
        <f>'HOUSE DATA'!M251</f>
        <v>-39.040000000000006</v>
      </c>
      <c r="Q278" t="str">
        <f>'HOUSE DATA'!N251</f>
        <v>2024 HOUSE / prior substitute</v>
      </c>
      <c r="R278" s="10">
        <f t="shared" si="33"/>
        <v>10.96</v>
      </c>
      <c r="S278" s="10">
        <f t="shared" si="34"/>
        <v>9.2303126185275381</v>
      </c>
      <c r="T278" s="10">
        <f t="shared" si="35"/>
        <v>1.7296873814724627</v>
      </c>
      <c r="U278" t="s">
        <v>73</v>
      </c>
      <c r="W278" t="s">
        <v>74</v>
      </c>
      <c r="X278" t="s">
        <v>75</v>
      </c>
    </row>
    <row r="279" spans="1:24" x14ac:dyDescent="0.2">
      <c r="A279" t="str">
        <f>'HOUSE DATA'!A252</f>
        <v>NE-01</v>
      </c>
      <c r="B279" s="10">
        <f>'HOUSE DATA'!B252</f>
        <v>-10.711220778882129</v>
      </c>
      <c r="C279" s="10">
        <f t="shared" si="27"/>
        <v>-0.29999999999999893</v>
      </c>
      <c r="D279" s="10">
        <f>2*('HOUSE DATA'!D252*('HOUSE DASHBOARD'!$B$14-42.4)+'HOUSE DATA'!E252*('HOUSE DASHBOARD'!$B$15-54.2)+'HOUSE DATA'!F252*('HOUSE DASHBOARD'!$B$16-85.4)+'HOUSE DATA'!G252*('HOUSE DASHBOARD'!$B$17-60.7)+'HOUSE DATA'!H252*('HOUSE DASHBOARD'!$B$18-53.5))/100</f>
        <v>0</v>
      </c>
      <c r="E279" s="10">
        <f>2*('HOUSE DATA'!I252*('HOUSE DASHBOARD'!$B$21-55.6)+(100-'HOUSE DATA'!I252)*('HOUSE DASHBOARD'!$B$22-44.9))/100</f>
        <v>0</v>
      </c>
      <c r="F279" s="10">
        <f>0</f>
        <v>0</v>
      </c>
      <c r="G279" s="10">
        <f t="shared" si="28"/>
        <v>0</v>
      </c>
      <c r="H279" s="2">
        <f>'HOUSE DATA'!C252+C279+G279</f>
        <v>-9.2399999999999878</v>
      </c>
      <c r="I279" s="3" t="str">
        <f t="shared" si="29"/>
        <v>R</v>
      </c>
      <c r="J279" s="1" t="str">
        <f>'HOUSE DATA'!K252</f>
        <v>R</v>
      </c>
      <c r="K279" s="1" t="str">
        <f t="shared" si="30"/>
        <v>—</v>
      </c>
      <c r="L279" t="str">
        <f t="shared" si="31"/>
        <v>R+9.24</v>
      </c>
      <c r="M279">
        <f>COUNTIF($H$31:$H$465,"&gt;"&amp;H279)+COUNTIF($H$31:H279,H279)</f>
        <v>292</v>
      </c>
      <c r="N279" s="7">
        <f t="shared" si="32"/>
        <v>9.2399999999999878</v>
      </c>
      <c r="O279">
        <f>COUNTIF($N$31:$N$465,"&lt;"&amp;N279)+COUNTIF($N$31:N279,N279)</f>
        <v>76</v>
      </c>
      <c r="P279" s="10">
        <f>'HOUSE DATA'!M252</f>
        <v>-20.199999999999989</v>
      </c>
      <c r="Q279" t="str">
        <f>'HOUSE DATA'!N252</f>
        <v>2024 HOUSE / prior substitute</v>
      </c>
      <c r="R279" s="10">
        <f t="shared" si="33"/>
        <v>10.96</v>
      </c>
      <c r="S279" s="10">
        <f t="shared" si="34"/>
        <v>9.4887792211178592</v>
      </c>
      <c r="T279" s="10">
        <f t="shared" si="35"/>
        <v>1.4712207788821416</v>
      </c>
      <c r="U279" t="s">
        <v>73</v>
      </c>
      <c r="W279" t="s">
        <v>74</v>
      </c>
      <c r="X279" t="s">
        <v>75</v>
      </c>
    </row>
    <row r="280" spans="1:24" x14ac:dyDescent="0.2">
      <c r="A280" t="str">
        <f>'HOUSE DATA'!A253</f>
        <v>NE-02</v>
      </c>
      <c r="B280" s="10">
        <f>'HOUSE DATA'!B253</f>
        <v>14.104054033622569</v>
      </c>
      <c r="C280" s="10">
        <f t="shared" si="27"/>
        <v>-0.29999999999999893</v>
      </c>
      <c r="D280" s="10">
        <f>2*('HOUSE DATA'!D253*('HOUSE DASHBOARD'!$B$14-42.4)+'HOUSE DATA'!E253*('HOUSE DASHBOARD'!$B$15-54.2)+'HOUSE DATA'!F253*('HOUSE DASHBOARD'!$B$16-85.4)+'HOUSE DATA'!G253*('HOUSE DASHBOARD'!$B$17-60.7)+'HOUSE DATA'!H253*('HOUSE DASHBOARD'!$B$18-53.5))/100</f>
        <v>0</v>
      </c>
      <c r="E280" s="10">
        <f>2*('HOUSE DATA'!I253*('HOUSE DASHBOARD'!$B$21-55.6)+(100-'HOUSE DATA'!I253)*('HOUSE DASHBOARD'!$B$22-44.9))/100</f>
        <v>0</v>
      </c>
      <c r="F280" s="10">
        <f>0</f>
        <v>0</v>
      </c>
      <c r="G280" s="10">
        <f t="shared" si="28"/>
        <v>0</v>
      </c>
      <c r="H280" s="2">
        <f>'HOUSE DATA'!C253+C280+G280</f>
        <v>15.17</v>
      </c>
      <c r="I280" s="3" t="str">
        <f t="shared" si="29"/>
        <v>D</v>
      </c>
      <c r="J280" s="1" t="str">
        <f>'HOUSE DATA'!K253</f>
        <v>R</v>
      </c>
      <c r="K280" s="1" t="str">
        <f t="shared" si="30"/>
        <v>R → D</v>
      </c>
      <c r="L280" t="str">
        <f t="shared" si="31"/>
        <v>D+15.17</v>
      </c>
      <c r="M280">
        <f>COUNTIF($H$31:$H$465,"&gt;"&amp;H280)+COUNTIF($H$31:H280,H280)</f>
        <v>196</v>
      </c>
      <c r="N280" s="7">
        <f t="shared" si="32"/>
        <v>15.17</v>
      </c>
      <c r="O280">
        <f>COUNTIF($N$31:$N$465,"&lt;"&amp;N280)+COUNTIF($N$31:N280,N280)</f>
        <v>136</v>
      </c>
      <c r="P280" s="10">
        <f>'HOUSE DATA'!M253</f>
        <v>4.62</v>
      </c>
      <c r="Q280" t="str">
        <f>'HOUSE DATA'!N253</f>
        <v>2024 PRESIDENT (open seat)</v>
      </c>
      <c r="R280" s="10">
        <f t="shared" si="33"/>
        <v>10.55</v>
      </c>
      <c r="S280" s="10">
        <f t="shared" si="34"/>
        <v>9.48405403362257</v>
      </c>
      <c r="T280" s="10">
        <f t="shared" si="35"/>
        <v>1.0659459663774307</v>
      </c>
      <c r="U280" t="s">
        <v>73</v>
      </c>
      <c r="W280" t="s">
        <v>74</v>
      </c>
      <c r="X280" t="s">
        <v>75</v>
      </c>
    </row>
    <row r="281" spans="1:24" x14ac:dyDescent="0.2">
      <c r="A281" t="str">
        <f>'HOUSE DATA'!A254</f>
        <v>NE-03</v>
      </c>
      <c r="B281" s="10">
        <f>'HOUSE DATA'!B254</f>
        <v>-50.434335542791501</v>
      </c>
      <c r="C281" s="10">
        <f t="shared" si="27"/>
        <v>-0.29999999999999893</v>
      </c>
      <c r="D281" s="10">
        <f>2*('HOUSE DATA'!D254*('HOUSE DASHBOARD'!$B$14-42.4)+'HOUSE DATA'!E254*('HOUSE DASHBOARD'!$B$15-54.2)+'HOUSE DATA'!F254*('HOUSE DASHBOARD'!$B$16-85.4)+'HOUSE DATA'!G254*('HOUSE DASHBOARD'!$B$17-60.7)+'HOUSE DATA'!H254*('HOUSE DASHBOARD'!$B$18-53.5))/100</f>
        <v>0</v>
      </c>
      <c r="E281" s="10">
        <f>2*('HOUSE DATA'!I254*('HOUSE DASHBOARD'!$B$21-55.6)+(100-'HOUSE DATA'!I254)*('HOUSE DASHBOARD'!$B$22-44.9))/100</f>
        <v>0</v>
      </c>
      <c r="F281" s="10">
        <f>0</f>
        <v>0</v>
      </c>
      <c r="G281" s="10">
        <f t="shared" si="28"/>
        <v>0</v>
      </c>
      <c r="H281" s="2">
        <f>'HOUSE DATA'!C254+C281+G281</f>
        <v>-49.88</v>
      </c>
      <c r="I281" s="3" t="str">
        <f t="shared" si="29"/>
        <v>R</v>
      </c>
      <c r="J281" s="1" t="str">
        <f>'HOUSE DATA'!K254</f>
        <v>R</v>
      </c>
      <c r="K281" s="1" t="str">
        <f t="shared" si="30"/>
        <v>—</v>
      </c>
      <c r="L281" t="str">
        <f t="shared" si="31"/>
        <v>R+49.88</v>
      </c>
      <c r="M281">
        <f>COUNTIF($H$31:$H$465,"&gt;"&amp;H281)+COUNTIF($H$31:H281,H281)</f>
        <v>433</v>
      </c>
      <c r="N281" s="7">
        <f t="shared" si="32"/>
        <v>49.88</v>
      </c>
      <c r="O281">
        <f>COUNTIF($N$31:$N$465,"&lt;"&amp;N281)+COUNTIF($N$31:N281,N281)</f>
        <v>367</v>
      </c>
      <c r="P281" s="10">
        <f>'HOUSE DATA'!M254</f>
        <v>-60.84</v>
      </c>
      <c r="Q281" t="str">
        <f>'HOUSE DATA'!N254</f>
        <v>2024 HOUSE / prior substitute</v>
      </c>
      <c r="R281" s="10">
        <f t="shared" si="33"/>
        <v>10.96</v>
      </c>
      <c r="S281" s="10">
        <f t="shared" si="34"/>
        <v>10.405664457208502</v>
      </c>
      <c r="T281" s="10">
        <f t="shared" si="35"/>
        <v>0.55433554279149888</v>
      </c>
      <c r="U281" t="s">
        <v>73</v>
      </c>
      <c r="W281" t="s">
        <v>74</v>
      </c>
      <c r="X281" t="s">
        <v>75</v>
      </c>
    </row>
    <row r="282" spans="1:24" x14ac:dyDescent="0.2">
      <c r="A282" t="str">
        <f>'HOUSE DATA'!A255</f>
        <v>NH-01</v>
      </c>
      <c r="B282" s="10">
        <f>'HOUSE DATA'!B255</f>
        <v>9.7075337577107632</v>
      </c>
      <c r="C282" s="10">
        <f t="shared" si="27"/>
        <v>-0.29999999999999893</v>
      </c>
      <c r="D282" s="10">
        <f>2*('HOUSE DATA'!D255*('HOUSE DASHBOARD'!$B$14-42.4)+'HOUSE DATA'!E255*('HOUSE DASHBOARD'!$B$15-54.2)+'HOUSE DATA'!F255*('HOUSE DASHBOARD'!$B$16-85.4)+'HOUSE DATA'!G255*('HOUSE DASHBOARD'!$B$17-60.7)+'HOUSE DATA'!H255*('HOUSE DASHBOARD'!$B$18-53.5))/100</f>
        <v>0</v>
      </c>
      <c r="E282" s="10">
        <f>2*('HOUSE DATA'!I255*('HOUSE DASHBOARD'!$B$21-55.6)+(100-'HOUSE DATA'!I255)*('HOUSE DASHBOARD'!$B$22-44.9))/100</f>
        <v>0</v>
      </c>
      <c r="F282" s="10">
        <f>0</f>
        <v>0</v>
      </c>
      <c r="G282" s="10">
        <f t="shared" si="28"/>
        <v>0</v>
      </c>
      <c r="H282" s="2">
        <f>'HOUSE DATA'!C255+C282+G282</f>
        <v>12.55</v>
      </c>
      <c r="I282" s="3" t="str">
        <f t="shared" si="29"/>
        <v>D</v>
      </c>
      <c r="J282" s="1" t="str">
        <f>'HOUSE DATA'!K255</f>
        <v>D</v>
      </c>
      <c r="K282" s="1" t="str">
        <f t="shared" si="30"/>
        <v>—</v>
      </c>
      <c r="L282" t="str">
        <f t="shared" si="31"/>
        <v>D+12.55</v>
      </c>
      <c r="M282">
        <f>COUNTIF($H$31:$H$465,"&gt;"&amp;H282)+COUNTIF($H$31:H282,H282)</f>
        <v>207</v>
      </c>
      <c r="N282" s="7">
        <f t="shared" si="32"/>
        <v>12.55</v>
      </c>
      <c r="O282">
        <f>COUNTIF($N$31:$N$465,"&lt;"&amp;N282)+COUNTIF($N$31:N282,N282)</f>
        <v>117</v>
      </c>
      <c r="P282" s="10">
        <f>'HOUSE DATA'!M255</f>
        <v>2</v>
      </c>
      <c r="Q282" t="str">
        <f>'HOUSE DATA'!N255</f>
        <v>2024 PRESIDENT (open seat)</v>
      </c>
      <c r="R282" s="10">
        <f t="shared" si="33"/>
        <v>10.55</v>
      </c>
      <c r="S282" s="10">
        <f t="shared" si="34"/>
        <v>7.7075337577107632</v>
      </c>
      <c r="T282" s="10">
        <f t="shared" si="35"/>
        <v>2.8424662422892375</v>
      </c>
      <c r="U282" t="s">
        <v>73</v>
      </c>
      <c r="W282" t="s">
        <v>74</v>
      </c>
      <c r="X282" t="s">
        <v>75</v>
      </c>
    </row>
    <row r="283" spans="1:24" x14ac:dyDescent="0.2">
      <c r="A283" t="str">
        <f>'HOUSE DATA'!A256</f>
        <v>NH-02</v>
      </c>
      <c r="B283" s="10">
        <f>'HOUSE DATA'!B256</f>
        <v>13.896010955854219</v>
      </c>
      <c r="C283" s="10">
        <f t="shared" si="27"/>
        <v>-0.29999999999999893</v>
      </c>
      <c r="D283" s="10">
        <f>2*('HOUSE DATA'!D256*('HOUSE DASHBOARD'!$B$14-42.4)+'HOUSE DATA'!E256*('HOUSE DASHBOARD'!$B$15-54.2)+'HOUSE DATA'!F256*('HOUSE DASHBOARD'!$B$16-85.4)+'HOUSE DATA'!G256*('HOUSE DASHBOARD'!$B$17-60.7)+'HOUSE DATA'!H256*('HOUSE DASHBOARD'!$B$18-53.5))/100</f>
        <v>0</v>
      </c>
      <c r="E283" s="10">
        <f>2*('HOUSE DATA'!I256*('HOUSE DASHBOARD'!$B$21-55.6)+(100-'HOUSE DATA'!I256)*('HOUSE DASHBOARD'!$B$22-44.9))/100</f>
        <v>0</v>
      </c>
      <c r="F283" s="10">
        <f>0</f>
        <v>0</v>
      </c>
      <c r="G283" s="10">
        <f t="shared" si="28"/>
        <v>0</v>
      </c>
      <c r="H283" s="2">
        <f>'HOUSE DATA'!C256+C283+G283</f>
        <v>16.920000000000002</v>
      </c>
      <c r="I283" s="3" t="str">
        <f t="shared" si="29"/>
        <v>D</v>
      </c>
      <c r="J283" s="1" t="str">
        <f>'HOUSE DATA'!K256</f>
        <v>D</v>
      </c>
      <c r="K283" s="1" t="str">
        <f t="shared" si="30"/>
        <v>—</v>
      </c>
      <c r="L283" t="str">
        <f t="shared" si="31"/>
        <v>D+16.92</v>
      </c>
      <c r="M283">
        <f>COUNTIF($H$31:$H$465,"&gt;"&amp;H283)+COUNTIF($H$31:H283,H283)</f>
        <v>190</v>
      </c>
      <c r="N283" s="7">
        <f t="shared" si="32"/>
        <v>16.920000000000002</v>
      </c>
      <c r="O283">
        <f>COUNTIF($N$31:$N$465,"&lt;"&amp;N283)+COUNTIF($N$31:N283,N283)</f>
        <v>148</v>
      </c>
      <c r="P283" s="10">
        <f>'HOUSE DATA'!M256</f>
        <v>5.9600000000000009</v>
      </c>
      <c r="Q283" t="str">
        <f>'HOUSE DATA'!N256</f>
        <v>2024 HOUSE / prior substitute</v>
      </c>
      <c r="R283" s="10">
        <f t="shared" si="33"/>
        <v>10.96</v>
      </c>
      <c r="S283" s="10">
        <f t="shared" si="34"/>
        <v>7.9360109558542185</v>
      </c>
      <c r="T283" s="10">
        <f t="shared" si="35"/>
        <v>3.0239890441457824</v>
      </c>
      <c r="U283" t="s">
        <v>73</v>
      </c>
      <c r="W283" t="s">
        <v>74</v>
      </c>
      <c r="X283" t="s">
        <v>75</v>
      </c>
    </row>
    <row r="284" spans="1:24" x14ac:dyDescent="0.2">
      <c r="A284" t="str">
        <f>'HOUSE DATA'!A257</f>
        <v>NJ-01</v>
      </c>
      <c r="B284" s="10">
        <f>'HOUSE DATA'!B257</f>
        <v>28.216129991908236</v>
      </c>
      <c r="C284" s="10">
        <f t="shared" si="27"/>
        <v>-0.29999999999999893</v>
      </c>
      <c r="D284" s="10">
        <f>2*('HOUSE DATA'!D257*('HOUSE DASHBOARD'!$B$14-42.4)+'HOUSE DATA'!E257*('HOUSE DASHBOARD'!$B$15-54.2)+'HOUSE DATA'!F257*('HOUSE DASHBOARD'!$B$16-85.4)+'HOUSE DATA'!G257*('HOUSE DASHBOARD'!$B$17-60.7)+'HOUSE DATA'!H257*('HOUSE DASHBOARD'!$B$18-53.5))/100</f>
        <v>0</v>
      </c>
      <c r="E284" s="10">
        <f>2*('HOUSE DATA'!I257*('HOUSE DASHBOARD'!$B$21-55.6)+(100-'HOUSE DATA'!I257)*('HOUSE DASHBOARD'!$B$22-44.9))/100</f>
        <v>0</v>
      </c>
      <c r="F284" s="10">
        <f>0</f>
        <v>0</v>
      </c>
      <c r="G284" s="10">
        <f t="shared" si="28"/>
        <v>0</v>
      </c>
      <c r="H284" s="2">
        <f>'HOUSE DATA'!C257+C284+G284</f>
        <v>29.199999999999996</v>
      </c>
      <c r="I284" s="3" t="str">
        <f t="shared" si="29"/>
        <v>D</v>
      </c>
      <c r="J284" s="1" t="str">
        <f>'HOUSE DATA'!K257</f>
        <v>D</v>
      </c>
      <c r="K284" s="1" t="str">
        <f t="shared" si="30"/>
        <v>—</v>
      </c>
      <c r="L284" t="str">
        <f t="shared" si="31"/>
        <v>D+29.20</v>
      </c>
      <c r="M284">
        <f>COUNTIF($H$31:$H$465,"&gt;"&amp;H284)+COUNTIF($H$31:H284,H284)</f>
        <v>123</v>
      </c>
      <c r="N284" s="7">
        <f t="shared" si="32"/>
        <v>29.199999999999996</v>
      </c>
      <c r="O284">
        <f>COUNTIF($N$31:$N$465,"&lt;"&amp;N284)+COUNTIF($N$31:N284,N284)</f>
        <v>273</v>
      </c>
      <c r="P284" s="10">
        <f>'HOUSE DATA'!M257</f>
        <v>18.239999999999995</v>
      </c>
      <c r="Q284" t="str">
        <f>'HOUSE DATA'!N257</f>
        <v>2024 HOUSE / prior substitute</v>
      </c>
      <c r="R284" s="10">
        <f t="shared" si="33"/>
        <v>10.96</v>
      </c>
      <c r="S284" s="10">
        <f t="shared" si="34"/>
        <v>9.9761299919082411</v>
      </c>
      <c r="T284" s="10">
        <f t="shared" si="35"/>
        <v>0.98387000809175973</v>
      </c>
      <c r="U284" t="s">
        <v>73</v>
      </c>
      <c r="W284" t="s">
        <v>74</v>
      </c>
      <c r="X284" t="s">
        <v>75</v>
      </c>
    </row>
    <row r="285" spans="1:24" x14ac:dyDescent="0.2">
      <c r="A285" t="str">
        <f>'HOUSE DATA'!A258</f>
        <v>NJ-02</v>
      </c>
      <c r="B285" s="10">
        <f>'HOUSE DATA'!B258</f>
        <v>-7.0729198228847077</v>
      </c>
      <c r="C285" s="10">
        <f t="shared" si="27"/>
        <v>-0.29999999999999893</v>
      </c>
      <c r="D285" s="10">
        <f>2*('HOUSE DATA'!D258*('HOUSE DASHBOARD'!$B$14-42.4)+'HOUSE DATA'!E258*('HOUSE DASHBOARD'!$B$15-54.2)+'HOUSE DATA'!F258*('HOUSE DASHBOARD'!$B$16-85.4)+'HOUSE DATA'!G258*('HOUSE DASHBOARD'!$B$17-60.7)+'HOUSE DATA'!H258*('HOUSE DASHBOARD'!$B$18-53.5))/100</f>
        <v>0</v>
      </c>
      <c r="E285" s="10">
        <f>2*('HOUSE DATA'!I258*('HOUSE DASHBOARD'!$B$21-55.6)+(100-'HOUSE DATA'!I258)*('HOUSE DASHBOARD'!$B$22-44.9))/100</f>
        <v>0</v>
      </c>
      <c r="F285" s="10">
        <f>0</f>
        <v>0</v>
      </c>
      <c r="G285" s="10">
        <f t="shared" si="28"/>
        <v>0</v>
      </c>
      <c r="H285" s="2">
        <f>'HOUSE DATA'!C258+C285+G285</f>
        <v>-6.0599999999999952</v>
      </c>
      <c r="I285" s="3" t="str">
        <f t="shared" si="29"/>
        <v>R</v>
      </c>
      <c r="J285" s="1" t="str">
        <f>'HOUSE DATA'!K258</f>
        <v>R</v>
      </c>
      <c r="K285" s="1" t="str">
        <f t="shared" si="30"/>
        <v>—</v>
      </c>
      <c r="L285" t="str">
        <f t="shared" si="31"/>
        <v>R+6.06</v>
      </c>
      <c r="M285">
        <f>COUNTIF($H$31:$H$465,"&gt;"&amp;H285)+COUNTIF($H$31:H285,H285)</f>
        <v>272</v>
      </c>
      <c r="N285" s="7">
        <f t="shared" si="32"/>
        <v>6.0599999999999952</v>
      </c>
      <c r="O285">
        <f>COUNTIF($N$31:$N$465,"&lt;"&amp;N285)+COUNTIF($N$31:N285,N285)</f>
        <v>49</v>
      </c>
      <c r="P285" s="10">
        <f>'HOUSE DATA'!M258</f>
        <v>-17.019999999999996</v>
      </c>
      <c r="Q285" t="str">
        <f>'HOUSE DATA'!N258</f>
        <v>2024 HOUSE / prior substitute</v>
      </c>
      <c r="R285" s="10">
        <f t="shared" si="33"/>
        <v>10.96</v>
      </c>
      <c r="S285" s="10">
        <f t="shared" si="34"/>
        <v>9.9470801771152892</v>
      </c>
      <c r="T285" s="10">
        <f t="shared" si="35"/>
        <v>1.0129198228847125</v>
      </c>
      <c r="U285" t="s">
        <v>73</v>
      </c>
      <c r="W285" t="s">
        <v>74</v>
      </c>
      <c r="X285" t="s">
        <v>75</v>
      </c>
    </row>
    <row r="286" spans="1:24" x14ac:dyDescent="0.2">
      <c r="A286" t="str">
        <f>'HOUSE DATA'!A259</f>
        <v>NJ-03</v>
      </c>
      <c r="B286" s="10">
        <f>'HOUSE DATA'!B259</f>
        <v>17.474429317322286</v>
      </c>
      <c r="C286" s="10">
        <f t="shared" si="27"/>
        <v>-0.29999999999999893</v>
      </c>
      <c r="D286" s="10">
        <f>2*('HOUSE DATA'!D259*('HOUSE DASHBOARD'!$B$14-42.4)+'HOUSE DATA'!E259*('HOUSE DASHBOARD'!$B$15-54.2)+'HOUSE DATA'!F259*('HOUSE DASHBOARD'!$B$16-85.4)+'HOUSE DATA'!G259*('HOUSE DASHBOARD'!$B$17-60.7)+'HOUSE DATA'!H259*('HOUSE DASHBOARD'!$B$18-53.5))/100</f>
        <v>0</v>
      </c>
      <c r="E286" s="10">
        <f>2*('HOUSE DATA'!I259*('HOUSE DASHBOARD'!$B$21-55.6)+(100-'HOUSE DATA'!I259)*('HOUSE DASHBOARD'!$B$22-44.9))/100</f>
        <v>0</v>
      </c>
      <c r="F286" s="10">
        <f>0</f>
        <v>0</v>
      </c>
      <c r="G286" s="10">
        <f t="shared" si="28"/>
        <v>0</v>
      </c>
      <c r="H286" s="2">
        <f>'HOUSE DATA'!C259+C286+G286</f>
        <v>19.740000000000009</v>
      </c>
      <c r="I286" s="3" t="str">
        <f t="shared" si="29"/>
        <v>D</v>
      </c>
      <c r="J286" s="1" t="str">
        <f>'HOUSE DATA'!K259</f>
        <v>D</v>
      </c>
      <c r="K286" s="1" t="str">
        <f t="shared" si="30"/>
        <v>—</v>
      </c>
      <c r="L286" t="str">
        <f t="shared" si="31"/>
        <v>D+19.74</v>
      </c>
      <c r="M286">
        <f>COUNTIF($H$31:$H$465,"&gt;"&amp;H286)+COUNTIF($H$31:H286,H286)</f>
        <v>172</v>
      </c>
      <c r="N286" s="7">
        <f t="shared" si="32"/>
        <v>19.740000000000009</v>
      </c>
      <c r="O286">
        <f>COUNTIF($N$31:$N$465,"&lt;"&amp;N286)+COUNTIF($N$31:N286,N286)</f>
        <v>185</v>
      </c>
      <c r="P286" s="10">
        <f>'HOUSE DATA'!M259</f>
        <v>8.7800000000000082</v>
      </c>
      <c r="Q286" t="str">
        <f>'HOUSE DATA'!N259</f>
        <v>2024 HOUSE / prior substitute</v>
      </c>
      <c r="R286" s="10">
        <f t="shared" si="33"/>
        <v>10.96</v>
      </c>
      <c r="S286" s="10">
        <f t="shared" si="34"/>
        <v>8.6944293173222782</v>
      </c>
      <c r="T286" s="10">
        <f t="shared" si="35"/>
        <v>2.2655706826777227</v>
      </c>
      <c r="U286" t="s">
        <v>73</v>
      </c>
      <c r="W286" t="s">
        <v>74</v>
      </c>
      <c r="X286" t="s">
        <v>75</v>
      </c>
    </row>
    <row r="287" spans="1:24" x14ac:dyDescent="0.2">
      <c r="A287" t="str">
        <f>'HOUSE DATA'!A260</f>
        <v>NJ-04</v>
      </c>
      <c r="B287" s="10">
        <f>'HOUSE DATA'!B260</f>
        <v>-27.818451520336069</v>
      </c>
      <c r="C287" s="10">
        <f t="shared" ref="C287:C350" si="36">$D$5</f>
        <v>-0.29999999999999893</v>
      </c>
      <c r="D287" s="10">
        <f>2*('HOUSE DATA'!D260*('HOUSE DASHBOARD'!$B$14-42.4)+'HOUSE DATA'!E260*('HOUSE DASHBOARD'!$B$15-54.2)+'HOUSE DATA'!F260*('HOUSE DASHBOARD'!$B$16-85.4)+'HOUSE DATA'!G260*('HOUSE DASHBOARD'!$B$17-60.7)+'HOUSE DATA'!H260*('HOUSE DASHBOARD'!$B$18-53.5))/100</f>
        <v>0</v>
      </c>
      <c r="E287" s="10">
        <f>2*('HOUSE DATA'!I260*('HOUSE DASHBOARD'!$B$21-55.6)+(100-'HOUSE DATA'!I260)*('HOUSE DASHBOARD'!$B$22-44.9))/100</f>
        <v>0</v>
      </c>
      <c r="F287" s="10">
        <f>0</f>
        <v>0</v>
      </c>
      <c r="G287" s="10">
        <f t="shared" ref="G287:G350" si="37">(D287+E287)/2</f>
        <v>0</v>
      </c>
      <c r="H287" s="2">
        <f>'HOUSE DATA'!C260+C287+G287</f>
        <v>-25.120000000000005</v>
      </c>
      <c r="I287" s="3" t="str">
        <f t="shared" ref="I287:I350" si="38">IF(V287="D","D",IF(V287="R","R",IF(H287&gt;=0,"D","R")))</f>
        <v>R</v>
      </c>
      <c r="J287" s="1" t="str">
        <f>'HOUSE DATA'!K260</f>
        <v>R</v>
      </c>
      <c r="K287" s="1" t="str">
        <f t="shared" ref="K287:K350" si="39">IF(I287=J287,"—",J287&amp;" → "&amp;I287)</f>
        <v>—</v>
      </c>
      <c r="L287" t="str">
        <f t="shared" ref="L287:L350" si="40">IF(V287="D","D — BALLOT LOCK",IF(V287="R","R — BALLOT LOCK",IF(H287&gt;=0,"D+"&amp;TEXT(H287,"0.00"),"R+"&amp;TEXT(-H287,"0.00"))))</f>
        <v>R+25.12</v>
      </c>
      <c r="M287">
        <f>COUNTIF($H$31:$H$465,"&gt;"&amp;H287)+COUNTIF($H$31:H287,H287)</f>
        <v>384</v>
      </c>
      <c r="N287" s="7">
        <f t="shared" ref="N287:N350" si="41">IF(V287&lt;&gt;"",100,ABS(H287))</f>
        <v>25.120000000000005</v>
      </c>
      <c r="O287">
        <f>COUNTIF($N$31:$N$465,"&lt;"&amp;N287)+COUNTIF($N$31:N287,N287)</f>
        <v>239</v>
      </c>
      <c r="P287" s="10">
        <f>'HOUSE DATA'!M260</f>
        <v>-36.080000000000005</v>
      </c>
      <c r="Q287" t="str">
        <f>'HOUSE DATA'!N260</f>
        <v>2024 HOUSE / prior substitute</v>
      </c>
      <c r="R287" s="10">
        <f t="shared" ref="R287:R350" si="42">H287-P287</f>
        <v>10.96</v>
      </c>
      <c r="S287" s="10">
        <f t="shared" ref="S287:S350" si="43">B287-P287</f>
        <v>8.2615484796639365</v>
      </c>
      <c r="T287" s="10">
        <f t="shared" ref="T287:T350" si="44">H287-B287</f>
        <v>2.6984515203360644</v>
      </c>
      <c r="U287" t="s">
        <v>73</v>
      </c>
      <c r="W287" t="s">
        <v>74</v>
      </c>
      <c r="X287" t="s">
        <v>75</v>
      </c>
    </row>
    <row r="288" spans="1:24" x14ac:dyDescent="0.2">
      <c r="A288" t="str">
        <f>'HOUSE DATA'!A261</f>
        <v>NJ-05</v>
      </c>
      <c r="B288" s="10">
        <f>'HOUSE DATA'!B261</f>
        <v>20.940555115634996</v>
      </c>
      <c r="C288" s="10">
        <f t="shared" si="36"/>
        <v>-0.29999999999999893</v>
      </c>
      <c r="D288" s="10">
        <f>2*('HOUSE DATA'!D261*('HOUSE DASHBOARD'!$B$14-42.4)+'HOUSE DATA'!E261*('HOUSE DASHBOARD'!$B$15-54.2)+'HOUSE DATA'!F261*('HOUSE DASHBOARD'!$B$16-85.4)+'HOUSE DATA'!G261*('HOUSE DASHBOARD'!$B$17-60.7)+'HOUSE DATA'!H261*('HOUSE DASHBOARD'!$B$18-53.5))/100</f>
        <v>0</v>
      </c>
      <c r="E288" s="10">
        <f>2*('HOUSE DATA'!I261*('HOUSE DASHBOARD'!$B$21-55.6)+(100-'HOUSE DATA'!I261)*('HOUSE DASHBOARD'!$B$22-44.9))/100</f>
        <v>0</v>
      </c>
      <c r="F288" s="10">
        <f>0</f>
        <v>0</v>
      </c>
      <c r="G288" s="10">
        <f t="shared" si="37"/>
        <v>0</v>
      </c>
      <c r="H288" s="2">
        <f>'HOUSE DATA'!C261+C288+G288</f>
        <v>22.479999999999997</v>
      </c>
      <c r="I288" s="3" t="str">
        <f t="shared" si="38"/>
        <v>D</v>
      </c>
      <c r="J288" s="1" t="str">
        <f>'HOUSE DATA'!K261</f>
        <v>D</v>
      </c>
      <c r="K288" s="1" t="str">
        <f t="shared" si="39"/>
        <v>—</v>
      </c>
      <c r="L288" t="str">
        <f t="shared" si="40"/>
        <v>D+22.48</v>
      </c>
      <c r="M288">
        <f>COUNTIF($H$31:$H$465,"&gt;"&amp;H288)+COUNTIF($H$31:H288,H288)</f>
        <v>158</v>
      </c>
      <c r="N288" s="7">
        <f t="shared" si="41"/>
        <v>22.479999999999997</v>
      </c>
      <c r="O288">
        <f>COUNTIF($N$31:$N$465,"&lt;"&amp;N288)+COUNTIF($N$31:N288,N288)</f>
        <v>214</v>
      </c>
      <c r="P288" s="10">
        <f>'HOUSE DATA'!M261</f>
        <v>11.519999999999996</v>
      </c>
      <c r="Q288" t="str">
        <f>'HOUSE DATA'!N261</f>
        <v>2024 HOUSE / prior substitute</v>
      </c>
      <c r="R288" s="10">
        <f t="shared" si="42"/>
        <v>10.96</v>
      </c>
      <c r="S288" s="10">
        <f t="shared" si="43"/>
        <v>9.4205551156350005</v>
      </c>
      <c r="T288" s="10">
        <f t="shared" si="44"/>
        <v>1.5394448843650004</v>
      </c>
      <c r="U288" t="s">
        <v>73</v>
      </c>
      <c r="W288" t="s">
        <v>74</v>
      </c>
      <c r="X288" t="s">
        <v>75</v>
      </c>
    </row>
    <row r="289" spans="1:24" x14ac:dyDescent="0.2">
      <c r="A289" t="str">
        <f>'HOUSE DATA'!A262</f>
        <v>NJ-06</v>
      </c>
      <c r="B289" s="10">
        <f>'HOUSE DATA'!B262</f>
        <v>26.817520092556013</v>
      </c>
      <c r="C289" s="10">
        <f t="shared" si="36"/>
        <v>-0.29999999999999893</v>
      </c>
      <c r="D289" s="10">
        <f>2*('HOUSE DATA'!D262*('HOUSE DASHBOARD'!$B$14-42.4)+'HOUSE DATA'!E262*('HOUSE DASHBOARD'!$B$15-54.2)+'HOUSE DATA'!F262*('HOUSE DASHBOARD'!$B$16-85.4)+'HOUSE DATA'!G262*('HOUSE DASHBOARD'!$B$17-60.7)+'HOUSE DATA'!H262*('HOUSE DASHBOARD'!$B$18-53.5))/100</f>
        <v>0</v>
      </c>
      <c r="E289" s="10">
        <f>2*('HOUSE DATA'!I262*('HOUSE DASHBOARD'!$B$21-55.6)+(100-'HOUSE DATA'!I262)*('HOUSE DASHBOARD'!$B$22-44.9))/100</f>
        <v>0</v>
      </c>
      <c r="F289" s="10">
        <f>0</f>
        <v>0</v>
      </c>
      <c r="G289" s="10">
        <f t="shared" si="37"/>
        <v>0</v>
      </c>
      <c r="H289" s="2">
        <f>'HOUSE DATA'!C262+C289+G289</f>
        <v>27.280000000000008</v>
      </c>
      <c r="I289" s="3" t="str">
        <f t="shared" si="38"/>
        <v>D</v>
      </c>
      <c r="J289" s="1" t="str">
        <f>'HOUSE DATA'!K262</f>
        <v>D</v>
      </c>
      <c r="K289" s="1" t="str">
        <f t="shared" si="39"/>
        <v>—</v>
      </c>
      <c r="L289" t="str">
        <f t="shared" si="40"/>
        <v>D+27.28</v>
      </c>
      <c r="M289">
        <f>COUNTIF($H$31:$H$465,"&gt;"&amp;H289)+COUNTIF($H$31:H289,H289)</f>
        <v>132</v>
      </c>
      <c r="N289" s="7">
        <f t="shared" si="41"/>
        <v>27.280000000000008</v>
      </c>
      <c r="O289">
        <f>COUNTIF($N$31:$N$465,"&lt;"&amp;N289)+COUNTIF($N$31:N289,N289)</f>
        <v>254</v>
      </c>
      <c r="P289" s="10">
        <f>'HOUSE DATA'!M262</f>
        <v>16.320000000000007</v>
      </c>
      <c r="Q289" t="str">
        <f>'HOUSE DATA'!N262</f>
        <v>2024 HOUSE / prior substitute</v>
      </c>
      <c r="R289" s="10">
        <f t="shared" si="42"/>
        <v>10.96</v>
      </c>
      <c r="S289" s="10">
        <f t="shared" si="43"/>
        <v>10.497520092556005</v>
      </c>
      <c r="T289" s="10">
        <f t="shared" si="44"/>
        <v>0.46247990744399559</v>
      </c>
      <c r="U289" t="s">
        <v>73</v>
      </c>
      <c r="W289" t="s">
        <v>74</v>
      </c>
      <c r="X289" t="s">
        <v>75</v>
      </c>
    </row>
    <row r="290" spans="1:24" x14ac:dyDescent="0.2">
      <c r="A290" t="str">
        <f>'HOUSE DATA'!A263</f>
        <v>NJ-07</v>
      </c>
      <c r="B290" s="10">
        <f>'HOUSE DATA'!B263</f>
        <v>2.7256676947473242</v>
      </c>
      <c r="C290" s="10">
        <f t="shared" si="36"/>
        <v>-0.29999999999999893</v>
      </c>
      <c r="D290" s="10">
        <f>2*('HOUSE DATA'!D263*('HOUSE DASHBOARD'!$B$14-42.4)+'HOUSE DATA'!E263*('HOUSE DASHBOARD'!$B$15-54.2)+'HOUSE DATA'!F263*('HOUSE DASHBOARD'!$B$16-85.4)+'HOUSE DATA'!G263*('HOUSE DASHBOARD'!$B$17-60.7)+'HOUSE DATA'!H263*('HOUSE DASHBOARD'!$B$18-53.5))/100</f>
        <v>0</v>
      </c>
      <c r="E290" s="10">
        <f>2*('HOUSE DATA'!I263*('HOUSE DASHBOARD'!$B$21-55.6)+(100-'HOUSE DATA'!I263)*('HOUSE DASHBOARD'!$B$22-44.9))/100</f>
        <v>0</v>
      </c>
      <c r="F290" s="10">
        <f>0</f>
        <v>0</v>
      </c>
      <c r="G290" s="10">
        <f t="shared" si="37"/>
        <v>0</v>
      </c>
      <c r="H290" s="2">
        <f>'HOUSE DATA'!C263+C290+G290</f>
        <v>5.4600000000000009</v>
      </c>
      <c r="I290" s="3" t="str">
        <f t="shared" si="38"/>
        <v>D</v>
      </c>
      <c r="J290" s="1" t="str">
        <f>'HOUSE DATA'!K263</f>
        <v>R</v>
      </c>
      <c r="K290" s="1" t="str">
        <f t="shared" si="39"/>
        <v>R → D</v>
      </c>
      <c r="L290" t="str">
        <f t="shared" si="40"/>
        <v>D+5.46</v>
      </c>
      <c r="M290">
        <f>COUNTIF($H$31:$H$465,"&gt;"&amp;H290)+COUNTIF($H$31:H290,H290)</f>
        <v>225</v>
      </c>
      <c r="N290" s="7">
        <f t="shared" si="41"/>
        <v>5.4600000000000009</v>
      </c>
      <c r="O290">
        <f>COUNTIF($N$31:$N$465,"&lt;"&amp;N290)+COUNTIF($N$31:N290,N290)</f>
        <v>45</v>
      </c>
      <c r="P290" s="10">
        <f>'HOUSE DATA'!M263</f>
        <v>-5.5</v>
      </c>
      <c r="Q290" t="str">
        <f>'HOUSE DATA'!N263</f>
        <v>2024 HOUSE / prior substitute</v>
      </c>
      <c r="R290" s="10">
        <f t="shared" si="42"/>
        <v>10.96</v>
      </c>
      <c r="S290" s="10">
        <f t="shared" si="43"/>
        <v>8.2256676947473242</v>
      </c>
      <c r="T290" s="10">
        <f t="shared" si="44"/>
        <v>2.7343323052526767</v>
      </c>
      <c r="U290" t="s">
        <v>73</v>
      </c>
      <c r="W290" t="s">
        <v>74</v>
      </c>
      <c r="X290" t="s">
        <v>75</v>
      </c>
    </row>
    <row r="291" spans="1:24" x14ac:dyDescent="0.2">
      <c r="A291" t="str">
        <f>'HOUSE DATA'!A264</f>
        <v>NJ-08</v>
      </c>
      <c r="B291" s="10">
        <f>'HOUSE DATA'!B264</f>
        <v>39.65886499742966</v>
      </c>
      <c r="C291" s="10">
        <f t="shared" si="36"/>
        <v>-0.29999999999999893</v>
      </c>
      <c r="D291" s="10">
        <f>2*('HOUSE DATA'!D264*('HOUSE DASHBOARD'!$B$14-42.4)+'HOUSE DATA'!E264*('HOUSE DASHBOARD'!$B$15-54.2)+'HOUSE DATA'!F264*('HOUSE DASHBOARD'!$B$16-85.4)+'HOUSE DATA'!G264*('HOUSE DASHBOARD'!$B$17-60.7)+'HOUSE DATA'!H264*('HOUSE DASHBOARD'!$B$18-53.5))/100</f>
        <v>0</v>
      </c>
      <c r="E291" s="10">
        <f>2*('HOUSE DATA'!I264*('HOUSE DASHBOARD'!$B$21-55.6)+(100-'HOUSE DATA'!I264)*('HOUSE DASHBOARD'!$B$22-44.9))/100</f>
        <v>0</v>
      </c>
      <c r="F291" s="10">
        <f>0</f>
        <v>0</v>
      </c>
      <c r="G291" s="10">
        <f t="shared" si="37"/>
        <v>0</v>
      </c>
      <c r="H291" s="2">
        <f>'HOUSE DATA'!C264+C291+G291</f>
        <v>37.120000000000012</v>
      </c>
      <c r="I291" s="3" t="str">
        <f t="shared" si="38"/>
        <v>D</v>
      </c>
      <c r="J291" s="1" t="str">
        <f>'HOUSE DATA'!K264</f>
        <v>D</v>
      </c>
      <c r="K291" s="1" t="str">
        <f t="shared" si="39"/>
        <v>—</v>
      </c>
      <c r="L291" t="str">
        <f t="shared" si="40"/>
        <v>D+37.12</v>
      </c>
      <c r="M291">
        <f>COUNTIF($H$31:$H$465,"&gt;"&amp;H291)+COUNTIF($H$31:H291,H291)</f>
        <v>92</v>
      </c>
      <c r="N291" s="7">
        <f t="shared" si="41"/>
        <v>37.120000000000012</v>
      </c>
      <c r="O291">
        <f>COUNTIF($N$31:$N$465,"&lt;"&amp;N291)+COUNTIF($N$31:N291,N291)</f>
        <v>324</v>
      </c>
      <c r="P291" s="10">
        <f>'HOUSE DATA'!M264</f>
        <v>26.160000000000011</v>
      </c>
      <c r="Q291" t="str">
        <f>'HOUSE DATA'!N264</f>
        <v>2024 HOUSE / prior substitute</v>
      </c>
      <c r="R291" s="10">
        <f t="shared" si="42"/>
        <v>10.96</v>
      </c>
      <c r="S291" s="10">
        <f t="shared" si="43"/>
        <v>13.498864997429649</v>
      </c>
      <c r="T291" s="10">
        <f t="shared" si="44"/>
        <v>-2.5388649974296484</v>
      </c>
      <c r="U291" t="s">
        <v>87</v>
      </c>
      <c r="W291" t="s">
        <v>88</v>
      </c>
      <c r="X291" t="s">
        <v>89</v>
      </c>
    </row>
    <row r="292" spans="1:24" x14ac:dyDescent="0.2">
      <c r="A292" t="str">
        <f>'HOUSE DATA'!A265</f>
        <v>NJ-09</v>
      </c>
      <c r="B292" s="10">
        <f>'HOUSE DATA'!B265</f>
        <v>17.613289487538143</v>
      </c>
      <c r="C292" s="10">
        <f t="shared" si="36"/>
        <v>-0.29999999999999893</v>
      </c>
      <c r="D292" s="10">
        <f>2*('HOUSE DATA'!D265*('HOUSE DASHBOARD'!$B$14-42.4)+'HOUSE DATA'!E265*('HOUSE DASHBOARD'!$B$15-54.2)+'HOUSE DATA'!F265*('HOUSE DASHBOARD'!$B$16-85.4)+'HOUSE DATA'!G265*('HOUSE DASHBOARD'!$B$17-60.7)+'HOUSE DATA'!H265*('HOUSE DASHBOARD'!$B$18-53.5))/100</f>
        <v>0</v>
      </c>
      <c r="E292" s="10">
        <f>2*('HOUSE DATA'!I265*('HOUSE DASHBOARD'!$B$21-55.6)+(100-'HOUSE DATA'!I265)*('HOUSE DASHBOARD'!$B$22-44.9))/100</f>
        <v>0</v>
      </c>
      <c r="F292" s="10">
        <f>0</f>
        <v>0</v>
      </c>
      <c r="G292" s="10">
        <f t="shared" si="37"/>
        <v>0</v>
      </c>
      <c r="H292" s="2">
        <f>'HOUSE DATA'!C265+C292+G292</f>
        <v>16.020000000000003</v>
      </c>
      <c r="I292" s="3" t="str">
        <f t="shared" si="38"/>
        <v>D</v>
      </c>
      <c r="J292" s="1" t="str">
        <f>'HOUSE DATA'!K265</f>
        <v>D</v>
      </c>
      <c r="K292" s="1" t="str">
        <f t="shared" si="39"/>
        <v>—</v>
      </c>
      <c r="L292" t="str">
        <f t="shared" si="40"/>
        <v>D+16.02</v>
      </c>
      <c r="M292">
        <f>COUNTIF($H$31:$H$465,"&gt;"&amp;H292)+COUNTIF($H$31:H292,H292)</f>
        <v>192</v>
      </c>
      <c r="N292" s="7">
        <f t="shared" si="41"/>
        <v>16.020000000000003</v>
      </c>
      <c r="O292">
        <f>COUNTIF($N$31:$N$465,"&lt;"&amp;N292)+COUNTIF($N$31:N292,N292)</f>
        <v>144</v>
      </c>
      <c r="P292" s="10">
        <f>'HOUSE DATA'!M265</f>
        <v>5.0600000000000023</v>
      </c>
      <c r="Q292" t="str">
        <f>'HOUSE DATA'!N265</f>
        <v>2024 HOUSE / prior substitute</v>
      </c>
      <c r="R292" s="10">
        <f t="shared" si="42"/>
        <v>10.96</v>
      </c>
      <c r="S292" s="10">
        <f t="shared" si="43"/>
        <v>12.553289487538141</v>
      </c>
      <c r="T292" s="10">
        <f t="shared" si="44"/>
        <v>-1.59328948753814</v>
      </c>
      <c r="U292" t="s">
        <v>73</v>
      </c>
      <c r="W292" t="s">
        <v>74</v>
      </c>
      <c r="X292" t="s">
        <v>75</v>
      </c>
    </row>
    <row r="293" spans="1:24" x14ac:dyDescent="0.2">
      <c r="A293" t="str">
        <f>'HOUSE DATA'!A266</f>
        <v>NJ-10</v>
      </c>
      <c r="B293" s="10">
        <f>'HOUSE DATA'!B266</f>
        <v>67.331080126958028</v>
      </c>
      <c r="C293" s="10">
        <f t="shared" si="36"/>
        <v>-0.29999999999999893</v>
      </c>
      <c r="D293" s="10">
        <f>2*('HOUSE DATA'!D266*('HOUSE DASHBOARD'!$B$14-42.4)+'HOUSE DATA'!E266*('HOUSE DASHBOARD'!$B$15-54.2)+'HOUSE DATA'!F266*('HOUSE DASHBOARD'!$B$16-85.4)+'HOUSE DATA'!G266*('HOUSE DASHBOARD'!$B$17-60.7)+'HOUSE DATA'!H266*('HOUSE DASHBOARD'!$B$18-53.5))/100</f>
        <v>0</v>
      </c>
      <c r="E293" s="10">
        <f>2*('HOUSE DATA'!I266*('HOUSE DASHBOARD'!$B$21-55.6)+(100-'HOUSE DATA'!I266)*('HOUSE DASHBOARD'!$B$22-44.9))/100</f>
        <v>0</v>
      </c>
      <c r="F293" s="10">
        <f>0</f>
        <v>0</v>
      </c>
      <c r="G293" s="10">
        <f t="shared" si="37"/>
        <v>0</v>
      </c>
      <c r="H293" s="2">
        <f>'HOUSE DATA'!C266+C293+G293</f>
        <v>64.94</v>
      </c>
      <c r="I293" s="3" t="str">
        <f t="shared" si="38"/>
        <v>D</v>
      </c>
      <c r="J293" s="1" t="str">
        <f>'HOUSE DATA'!K266</f>
        <v>D</v>
      </c>
      <c r="K293" s="1" t="str">
        <f t="shared" si="39"/>
        <v>—</v>
      </c>
      <c r="L293" t="str">
        <f t="shared" si="40"/>
        <v>D+64.94</v>
      </c>
      <c r="M293">
        <f>COUNTIF($H$31:$H$465,"&gt;"&amp;H293)+COUNTIF($H$31:H293,H293)</f>
        <v>23</v>
      </c>
      <c r="N293" s="7">
        <f t="shared" si="41"/>
        <v>64.94</v>
      </c>
      <c r="O293">
        <f>COUNTIF($N$31:$N$465,"&lt;"&amp;N293)+COUNTIF($N$31:N293,N293)</f>
        <v>403</v>
      </c>
      <c r="P293" s="10">
        <f>'HOUSE DATA'!M266</f>
        <v>53.980000000000004</v>
      </c>
      <c r="Q293" t="str">
        <f>'HOUSE DATA'!N266</f>
        <v>2024 HOUSE / prior substitute</v>
      </c>
      <c r="R293" s="10">
        <f t="shared" si="42"/>
        <v>10.959999999999994</v>
      </c>
      <c r="S293" s="10">
        <f t="shared" si="43"/>
        <v>13.351080126958024</v>
      </c>
      <c r="T293" s="10">
        <f t="shared" si="44"/>
        <v>-2.3910801269580304</v>
      </c>
      <c r="U293" t="s">
        <v>73</v>
      </c>
      <c r="W293" t="s">
        <v>74</v>
      </c>
      <c r="X293" t="s">
        <v>75</v>
      </c>
    </row>
    <row r="294" spans="1:24" x14ac:dyDescent="0.2">
      <c r="A294" t="str">
        <f>'HOUSE DATA'!A267</f>
        <v>NJ-11</v>
      </c>
      <c r="B294" s="10">
        <f>'HOUSE DATA'!B267</f>
        <v>23.886133254232689</v>
      </c>
      <c r="C294" s="10">
        <f t="shared" si="36"/>
        <v>-0.29999999999999893</v>
      </c>
      <c r="D294" s="10">
        <f>2*('HOUSE DATA'!D267*('HOUSE DASHBOARD'!$B$14-42.4)+'HOUSE DATA'!E267*('HOUSE DASHBOARD'!$B$15-54.2)+'HOUSE DATA'!F267*('HOUSE DASHBOARD'!$B$16-85.4)+'HOUSE DATA'!G267*('HOUSE DASHBOARD'!$B$17-60.7)+'HOUSE DATA'!H267*('HOUSE DASHBOARD'!$B$18-53.5))/100</f>
        <v>0</v>
      </c>
      <c r="E294" s="10">
        <f>2*('HOUSE DATA'!I267*('HOUSE DASHBOARD'!$B$21-55.6)+(100-'HOUSE DATA'!I267)*('HOUSE DASHBOARD'!$B$22-44.9))/100</f>
        <v>0</v>
      </c>
      <c r="F294" s="10">
        <f>0</f>
        <v>0</v>
      </c>
      <c r="G294" s="10">
        <f t="shared" si="37"/>
        <v>0</v>
      </c>
      <c r="H294" s="2">
        <f>'HOUSE DATA'!C267+C294+G294</f>
        <v>25.939999999999998</v>
      </c>
      <c r="I294" s="3" t="str">
        <f t="shared" si="38"/>
        <v>D</v>
      </c>
      <c r="J294" s="1" t="str">
        <f>'HOUSE DATA'!K267</f>
        <v>D</v>
      </c>
      <c r="K294" s="1" t="str">
        <f t="shared" si="39"/>
        <v>—</v>
      </c>
      <c r="L294" t="str">
        <f t="shared" si="40"/>
        <v>D+25.94</v>
      </c>
      <c r="M294">
        <f>COUNTIF($H$31:$H$465,"&gt;"&amp;H294)+COUNTIF($H$31:H294,H294)</f>
        <v>139</v>
      </c>
      <c r="N294" s="7">
        <f t="shared" si="41"/>
        <v>25.939999999999998</v>
      </c>
      <c r="O294">
        <f>COUNTIF($N$31:$N$465,"&lt;"&amp;N294)+COUNTIF($N$31:N294,N294)</f>
        <v>245</v>
      </c>
      <c r="P294" s="10">
        <f>'HOUSE DATA'!M267</f>
        <v>14.979999999999997</v>
      </c>
      <c r="Q294" t="str">
        <f>'HOUSE DATA'!N267</f>
        <v>2024 HOUSE / prior substitute</v>
      </c>
      <c r="R294" s="10">
        <f t="shared" si="42"/>
        <v>10.96</v>
      </c>
      <c r="S294" s="10">
        <f t="shared" si="43"/>
        <v>8.9061332542326923</v>
      </c>
      <c r="T294" s="10">
        <f t="shared" si="44"/>
        <v>2.0538667457673085</v>
      </c>
      <c r="U294" t="s">
        <v>73</v>
      </c>
      <c r="W294" t="s">
        <v>74</v>
      </c>
      <c r="X294" t="s">
        <v>75</v>
      </c>
    </row>
    <row r="295" spans="1:24" x14ac:dyDescent="0.2">
      <c r="A295" t="str">
        <f>'HOUSE DATA'!A268</f>
        <v>NJ-12</v>
      </c>
      <c r="B295" s="10">
        <f>'HOUSE DATA'!B268</f>
        <v>34.288362570432113</v>
      </c>
      <c r="C295" s="10">
        <f t="shared" si="36"/>
        <v>-0.29999999999999893</v>
      </c>
      <c r="D295" s="10">
        <f>2*('HOUSE DATA'!D268*('HOUSE DASHBOARD'!$B$14-42.4)+'HOUSE DATA'!E268*('HOUSE DASHBOARD'!$B$15-54.2)+'HOUSE DATA'!F268*('HOUSE DASHBOARD'!$B$16-85.4)+'HOUSE DATA'!G268*('HOUSE DASHBOARD'!$B$17-60.7)+'HOUSE DATA'!H268*('HOUSE DASHBOARD'!$B$18-53.5))/100</f>
        <v>0</v>
      </c>
      <c r="E295" s="10">
        <f>2*('HOUSE DATA'!I268*('HOUSE DASHBOARD'!$B$21-55.6)+(100-'HOUSE DATA'!I268)*('HOUSE DASHBOARD'!$B$22-44.9))/100</f>
        <v>0</v>
      </c>
      <c r="F295" s="10">
        <f>0</f>
        <v>0</v>
      </c>
      <c r="G295" s="10">
        <f t="shared" si="37"/>
        <v>0</v>
      </c>
      <c r="H295" s="2">
        <f>'HOUSE DATA'!C268+C295+G295</f>
        <v>34.42</v>
      </c>
      <c r="I295" s="3" t="str">
        <f t="shared" si="38"/>
        <v>D</v>
      </c>
      <c r="J295" s="1" t="str">
        <f>'HOUSE DATA'!K268</f>
        <v>D</v>
      </c>
      <c r="K295" s="1" t="str">
        <f t="shared" si="39"/>
        <v>—</v>
      </c>
      <c r="L295" t="str">
        <f t="shared" si="40"/>
        <v>D+34.42</v>
      </c>
      <c r="M295">
        <f>COUNTIF($H$31:$H$465,"&gt;"&amp;H295)+COUNTIF($H$31:H295,H295)</f>
        <v>105</v>
      </c>
      <c r="N295" s="7">
        <f t="shared" si="41"/>
        <v>34.42</v>
      </c>
      <c r="O295">
        <f>COUNTIF($N$31:$N$465,"&lt;"&amp;N295)+COUNTIF($N$31:N295,N295)</f>
        <v>304</v>
      </c>
      <c r="P295" s="10">
        <f>'HOUSE DATA'!M268</f>
        <v>23.87</v>
      </c>
      <c r="Q295" t="str">
        <f>'HOUSE DATA'!N268</f>
        <v>2024 PRESIDENT (open seat)</v>
      </c>
      <c r="R295" s="10">
        <f t="shared" si="42"/>
        <v>10.55</v>
      </c>
      <c r="S295" s="10">
        <f t="shared" si="43"/>
        <v>10.418362570432112</v>
      </c>
      <c r="T295" s="10">
        <f t="shared" si="44"/>
        <v>0.13163742956788838</v>
      </c>
      <c r="U295" t="s">
        <v>73</v>
      </c>
      <c r="W295" t="s">
        <v>74</v>
      </c>
      <c r="X295" t="s">
        <v>75</v>
      </c>
    </row>
    <row r="296" spans="1:24" x14ac:dyDescent="0.2">
      <c r="A296" t="str">
        <f>'HOUSE DATA'!A269</f>
        <v>NM-01</v>
      </c>
      <c r="B296" s="10">
        <f>'HOUSE DATA'!B269</f>
        <v>25.39859378395477</v>
      </c>
      <c r="C296" s="10">
        <f t="shared" si="36"/>
        <v>-0.29999999999999893</v>
      </c>
      <c r="D296" s="10">
        <f>2*('HOUSE DATA'!D269*('HOUSE DASHBOARD'!$B$14-42.4)+'HOUSE DATA'!E269*('HOUSE DASHBOARD'!$B$15-54.2)+'HOUSE DATA'!F269*('HOUSE DASHBOARD'!$B$16-85.4)+'HOUSE DATA'!G269*('HOUSE DASHBOARD'!$B$17-60.7)+'HOUSE DATA'!H269*('HOUSE DASHBOARD'!$B$18-53.5))/100</f>
        <v>0</v>
      </c>
      <c r="E296" s="10">
        <f>2*('HOUSE DATA'!I269*('HOUSE DASHBOARD'!$B$21-55.6)+(100-'HOUSE DATA'!I269)*('HOUSE DASHBOARD'!$B$22-44.9))/100</f>
        <v>0</v>
      </c>
      <c r="F296" s="10">
        <f>0</f>
        <v>0</v>
      </c>
      <c r="G296" s="10">
        <f t="shared" si="37"/>
        <v>0</v>
      </c>
      <c r="H296" s="2">
        <f>'HOUSE DATA'!C269+C296+G296</f>
        <v>23.699999999999996</v>
      </c>
      <c r="I296" s="3" t="str">
        <f t="shared" si="38"/>
        <v>D</v>
      </c>
      <c r="J296" s="1" t="str">
        <f>'HOUSE DATA'!K269</f>
        <v>D</v>
      </c>
      <c r="K296" s="1" t="str">
        <f t="shared" si="39"/>
        <v>—</v>
      </c>
      <c r="L296" t="str">
        <f t="shared" si="40"/>
        <v>D+23.70</v>
      </c>
      <c r="M296">
        <f>COUNTIF($H$31:$H$465,"&gt;"&amp;H296)+COUNTIF($H$31:H296,H296)</f>
        <v>153</v>
      </c>
      <c r="N296" s="7">
        <f t="shared" si="41"/>
        <v>23.699999999999996</v>
      </c>
      <c r="O296">
        <f>COUNTIF($N$31:$N$465,"&lt;"&amp;N296)+COUNTIF($N$31:N296,N296)</f>
        <v>226</v>
      </c>
      <c r="P296" s="10">
        <f>'HOUSE DATA'!M269</f>
        <v>12.739999999999995</v>
      </c>
      <c r="Q296" t="str">
        <f>'HOUSE DATA'!N269</f>
        <v>2024 HOUSE / prior substitute</v>
      </c>
      <c r="R296" s="10">
        <f t="shared" si="42"/>
        <v>10.96</v>
      </c>
      <c r="S296" s="10">
        <f t="shared" si="43"/>
        <v>12.658593783954775</v>
      </c>
      <c r="T296" s="10">
        <f t="shared" si="44"/>
        <v>-1.6985937839547738</v>
      </c>
      <c r="U296" t="s">
        <v>73</v>
      </c>
      <c r="W296" t="s">
        <v>74</v>
      </c>
      <c r="X296" t="s">
        <v>75</v>
      </c>
    </row>
    <row r="297" spans="1:24" x14ac:dyDescent="0.2">
      <c r="A297" t="str">
        <f>'HOUSE DATA'!A270</f>
        <v>NM-02</v>
      </c>
      <c r="B297" s="10">
        <f>'HOUSE DATA'!B270</f>
        <v>19.324837978197515</v>
      </c>
      <c r="C297" s="10">
        <f t="shared" si="36"/>
        <v>-0.29999999999999893</v>
      </c>
      <c r="D297" s="10">
        <f>2*('HOUSE DATA'!D270*('HOUSE DASHBOARD'!$B$14-42.4)+'HOUSE DATA'!E270*('HOUSE DASHBOARD'!$B$15-54.2)+'HOUSE DATA'!F270*('HOUSE DASHBOARD'!$B$16-85.4)+'HOUSE DATA'!G270*('HOUSE DASHBOARD'!$B$17-60.7)+'HOUSE DATA'!H270*('HOUSE DASHBOARD'!$B$18-53.5))/100</f>
        <v>0</v>
      </c>
      <c r="E297" s="10">
        <f>2*('HOUSE DATA'!I270*('HOUSE DASHBOARD'!$B$21-55.6)+(100-'HOUSE DATA'!I270)*('HOUSE DASHBOARD'!$B$22-44.9))/100</f>
        <v>0</v>
      </c>
      <c r="F297" s="10">
        <f>0</f>
        <v>0</v>
      </c>
      <c r="G297" s="10">
        <f t="shared" si="37"/>
        <v>0</v>
      </c>
      <c r="H297" s="2">
        <f>'HOUSE DATA'!C270+C297+G297</f>
        <v>15.120000000000005</v>
      </c>
      <c r="I297" s="3" t="str">
        <f t="shared" si="38"/>
        <v>D</v>
      </c>
      <c r="J297" s="1" t="str">
        <f>'HOUSE DATA'!K270</f>
        <v>D</v>
      </c>
      <c r="K297" s="1" t="str">
        <f t="shared" si="39"/>
        <v>—</v>
      </c>
      <c r="L297" t="str">
        <f t="shared" si="40"/>
        <v>D+15.12</v>
      </c>
      <c r="M297">
        <f>COUNTIF($H$31:$H$465,"&gt;"&amp;H297)+COUNTIF($H$31:H297,H297)</f>
        <v>197</v>
      </c>
      <c r="N297" s="7">
        <f t="shared" si="41"/>
        <v>15.120000000000005</v>
      </c>
      <c r="O297">
        <f>COUNTIF($N$31:$N$465,"&lt;"&amp;N297)+COUNTIF($N$31:N297,N297)</f>
        <v>135</v>
      </c>
      <c r="P297" s="10">
        <f>'HOUSE DATA'!M270</f>
        <v>4.1600000000000037</v>
      </c>
      <c r="Q297" t="str">
        <f>'HOUSE DATA'!N270</f>
        <v>2024 HOUSE / prior substitute</v>
      </c>
      <c r="R297" s="10">
        <f t="shared" si="42"/>
        <v>10.96</v>
      </c>
      <c r="S297" s="10">
        <f t="shared" si="43"/>
        <v>15.164837978197511</v>
      </c>
      <c r="T297" s="10">
        <f t="shared" si="44"/>
        <v>-4.20483797819751</v>
      </c>
      <c r="U297" t="s">
        <v>73</v>
      </c>
      <c r="W297" t="s">
        <v>74</v>
      </c>
      <c r="X297" t="s">
        <v>75</v>
      </c>
    </row>
    <row r="298" spans="1:24" x14ac:dyDescent="0.2">
      <c r="A298" t="str">
        <f>'HOUSE DATA'!A271</f>
        <v>NM-03</v>
      </c>
      <c r="B298" s="10">
        <f>'HOUSE DATA'!B271</f>
        <v>26.39827144160801</v>
      </c>
      <c r="C298" s="10">
        <f t="shared" si="36"/>
        <v>-0.29999999999999893</v>
      </c>
      <c r="D298" s="10">
        <f>2*('HOUSE DATA'!D271*('HOUSE DASHBOARD'!$B$14-42.4)+'HOUSE DATA'!E271*('HOUSE DASHBOARD'!$B$15-54.2)+'HOUSE DATA'!F271*('HOUSE DASHBOARD'!$B$16-85.4)+'HOUSE DATA'!G271*('HOUSE DASHBOARD'!$B$17-60.7)+'HOUSE DATA'!H271*('HOUSE DASHBOARD'!$B$18-53.5))/100</f>
        <v>0</v>
      </c>
      <c r="E298" s="10">
        <f>2*('HOUSE DATA'!I271*('HOUSE DASHBOARD'!$B$21-55.6)+(100-'HOUSE DATA'!I271)*('HOUSE DASHBOARD'!$B$22-44.9))/100</f>
        <v>0</v>
      </c>
      <c r="F298" s="10">
        <f>0</f>
        <v>0</v>
      </c>
      <c r="G298" s="10">
        <f t="shared" si="37"/>
        <v>0</v>
      </c>
      <c r="H298" s="2">
        <f>'HOUSE DATA'!C271+C298+G298</f>
        <v>23.539999999999992</v>
      </c>
      <c r="I298" s="3" t="str">
        <f t="shared" si="38"/>
        <v>D</v>
      </c>
      <c r="J298" s="1" t="str">
        <f>'HOUSE DATA'!K271</f>
        <v>D</v>
      </c>
      <c r="K298" s="1" t="str">
        <f t="shared" si="39"/>
        <v>—</v>
      </c>
      <c r="L298" t="str">
        <f t="shared" si="40"/>
        <v>D+23.54</v>
      </c>
      <c r="M298">
        <f>COUNTIF($H$31:$H$465,"&gt;"&amp;H298)+COUNTIF($H$31:H298,H298)</f>
        <v>155</v>
      </c>
      <c r="N298" s="7">
        <f t="shared" si="41"/>
        <v>23.539999999999992</v>
      </c>
      <c r="O298">
        <f>COUNTIF($N$31:$N$465,"&lt;"&amp;N298)+COUNTIF($N$31:N298,N298)</f>
        <v>222</v>
      </c>
      <c r="P298" s="10">
        <f>'HOUSE DATA'!M271</f>
        <v>12.579999999999991</v>
      </c>
      <c r="Q298" t="str">
        <f>'HOUSE DATA'!N271</f>
        <v>2024 HOUSE / prior substitute</v>
      </c>
      <c r="R298" s="10">
        <f t="shared" si="42"/>
        <v>10.96</v>
      </c>
      <c r="S298" s="10">
        <f t="shared" si="43"/>
        <v>13.818271441608019</v>
      </c>
      <c r="T298" s="10">
        <f t="shared" si="44"/>
        <v>-2.8582714416080179</v>
      </c>
      <c r="U298" t="s">
        <v>73</v>
      </c>
      <c r="W298" t="s">
        <v>74</v>
      </c>
      <c r="X298" t="s">
        <v>75</v>
      </c>
    </row>
    <row r="299" spans="1:24" x14ac:dyDescent="0.2">
      <c r="A299" t="str">
        <f>'HOUSE DATA'!A272</f>
        <v>NV-01</v>
      </c>
      <c r="B299" s="10">
        <f>'HOUSE DATA'!B272</f>
        <v>21.091367748456694</v>
      </c>
      <c r="C299" s="10">
        <f t="shared" si="36"/>
        <v>-0.29999999999999893</v>
      </c>
      <c r="D299" s="10">
        <f>2*('HOUSE DATA'!D272*('HOUSE DASHBOARD'!$B$14-42.4)+'HOUSE DATA'!E272*('HOUSE DASHBOARD'!$B$15-54.2)+'HOUSE DATA'!F272*('HOUSE DASHBOARD'!$B$16-85.4)+'HOUSE DATA'!G272*('HOUSE DASHBOARD'!$B$17-60.7)+'HOUSE DATA'!H272*('HOUSE DASHBOARD'!$B$18-53.5))/100</f>
        <v>0</v>
      </c>
      <c r="E299" s="10">
        <f>2*('HOUSE DATA'!I272*('HOUSE DASHBOARD'!$B$21-55.6)+(100-'HOUSE DATA'!I272)*('HOUSE DASHBOARD'!$B$22-44.9))/100</f>
        <v>0</v>
      </c>
      <c r="F299" s="10">
        <f>0</f>
        <v>0</v>
      </c>
      <c r="G299" s="10">
        <f t="shared" si="37"/>
        <v>0</v>
      </c>
      <c r="H299" s="2">
        <f>'HOUSE DATA'!C272+C299+G299</f>
        <v>18.740000000000009</v>
      </c>
      <c r="I299" s="3" t="str">
        <f t="shared" si="38"/>
        <v>D</v>
      </c>
      <c r="J299" s="1" t="str">
        <f>'HOUSE DATA'!K272</f>
        <v>D</v>
      </c>
      <c r="K299" s="1" t="str">
        <f t="shared" si="39"/>
        <v>—</v>
      </c>
      <c r="L299" t="str">
        <f t="shared" si="40"/>
        <v>D+18.74</v>
      </c>
      <c r="M299">
        <f>COUNTIF($H$31:$H$465,"&gt;"&amp;H299)+COUNTIF($H$31:H299,H299)</f>
        <v>179</v>
      </c>
      <c r="N299" s="7">
        <f t="shared" si="41"/>
        <v>18.740000000000009</v>
      </c>
      <c r="O299">
        <f>COUNTIF($N$31:$N$465,"&lt;"&amp;N299)+COUNTIF($N$31:N299,N299)</f>
        <v>173</v>
      </c>
      <c r="P299" s="10">
        <f>'HOUSE DATA'!M272</f>
        <v>7.7800000000000082</v>
      </c>
      <c r="Q299" t="str">
        <f>'HOUSE DATA'!N272</f>
        <v>2024 HOUSE / prior substitute</v>
      </c>
      <c r="R299" s="10">
        <f t="shared" si="42"/>
        <v>10.96</v>
      </c>
      <c r="S299" s="10">
        <f t="shared" si="43"/>
        <v>13.311367748456686</v>
      </c>
      <c r="T299" s="10">
        <f t="shared" si="44"/>
        <v>-2.3513677484566848</v>
      </c>
      <c r="U299" t="s">
        <v>73</v>
      </c>
      <c r="W299" t="s">
        <v>74</v>
      </c>
      <c r="X299" t="s">
        <v>75</v>
      </c>
    </row>
    <row r="300" spans="1:24" x14ac:dyDescent="0.2">
      <c r="A300" t="str">
        <f>'HOUSE DATA'!A273</f>
        <v>NV-02</v>
      </c>
      <c r="B300" s="10">
        <f>'HOUSE DATA'!B273</f>
        <v>-3.724916995303587</v>
      </c>
      <c r="C300" s="10">
        <f t="shared" si="36"/>
        <v>-0.29999999999999893</v>
      </c>
      <c r="D300" s="10">
        <f>2*('HOUSE DATA'!D273*('HOUSE DASHBOARD'!$B$14-42.4)+'HOUSE DATA'!E273*('HOUSE DASHBOARD'!$B$15-54.2)+'HOUSE DATA'!F273*('HOUSE DASHBOARD'!$B$16-85.4)+'HOUSE DATA'!G273*('HOUSE DASHBOARD'!$B$17-60.7)+'HOUSE DATA'!H273*('HOUSE DASHBOARD'!$B$18-53.5))/100</f>
        <v>0</v>
      </c>
      <c r="E300" s="10">
        <f>2*('HOUSE DATA'!I273*('HOUSE DASHBOARD'!$B$21-55.6)+(100-'HOUSE DATA'!I273)*('HOUSE DASHBOARD'!$B$22-44.9))/100</f>
        <v>0</v>
      </c>
      <c r="F300" s="10">
        <f>0</f>
        <v>0</v>
      </c>
      <c r="G300" s="10">
        <f t="shared" si="37"/>
        <v>0</v>
      </c>
      <c r="H300" s="2">
        <f>'HOUSE DATA'!C273+C300+G300</f>
        <v>-3.3899999999999988</v>
      </c>
      <c r="I300" s="3" t="str">
        <f t="shared" si="38"/>
        <v>R</v>
      </c>
      <c r="J300" s="1" t="str">
        <f>'HOUSE DATA'!K273</f>
        <v>R</v>
      </c>
      <c r="K300" s="1" t="str">
        <f t="shared" si="39"/>
        <v>—</v>
      </c>
      <c r="L300" t="str">
        <f t="shared" si="40"/>
        <v>R+3.39</v>
      </c>
      <c r="M300">
        <f>COUNTIF($H$31:$H$465,"&gt;"&amp;H300)+COUNTIF($H$31:H300,H300)</f>
        <v>256</v>
      </c>
      <c r="N300" s="7">
        <f t="shared" si="41"/>
        <v>3.3899999999999988</v>
      </c>
      <c r="O300">
        <f>COUNTIF($N$31:$N$465,"&lt;"&amp;N300)+COUNTIF($N$31:N300,N300)</f>
        <v>28</v>
      </c>
      <c r="P300" s="10">
        <f>'HOUSE DATA'!M273</f>
        <v>-13.94</v>
      </c>
      <c r="Q300" t="str">
        <f>'HOUSE DATA'!N273</f>
        <v>2024 PRESIDENT (open seat)</v>
      </c>
      <c r="R300" s="10">
        <f t="shared" si="42"/>
        <v>10.55</v>
      </c>
      <c r="S300" s="10">
        <f t="shared" si="43"/>
        <v>10.215083004696412</v>
      </c>
      <c r="T300" s="10">
        <f t="shared" si="44"/>
        <v>0.33491699530358821</v>
      </c>
      <c r="U300" t="s">
        <v>73</v>
      </c>
      <c r="W300" t="s">
        <v>74</v>
      </c>
      <c r="X300" t="s">
        <v>75</v>
      </c>
    </row>
    <row r="301" spans="1:24" x14ac:dyDescent="0.2">
      <c r="A301" t="str">
        <f>'HOUSE DATA'!A274</f>
        <v>NV-03</v>
      </c>
      <c r="B301" s="10">
        <f>'HOUSE DATA'!B274</f>
        <v>15.13335039491154</v>
      </c>
      <c r="C301" s="10">
        <f t="shared" si="36"/>
        <v>-0.29999999999999893</v>
      </c>
      <c r="D301" s="10">
        <f>2*('HOUSE DATA'!D274*('HOUSE DASHBOARD'!$B$14-42.4)+'HOUSE DATA'!E274*('HOUSE DASHBOARD'!$B$15-54.2)+'HOUSE DATA'!F274*('HOUSE DASHBOARD'!$B$16-85.4)+'HOUSE DATA'!G274*('HOUSE DASHBOARD'!$B$17-60.7)+'HOUSE DATA'!H274*('HOUSE DASHBOARD'!$B$18-53.5))/100</f>
        <v>0</v>
      </c>
      <c r="E301" s="10">
        <f>2*('HOUSE DATA'!I274*('HOUSE DASHBOARD'!$B$21-55.6)+(100-'HOUSE DATA'!I274)*('HOUSE DASHBOARD'!$B$22-44.9))/100</f>
        <v>0</v>
      </c>
      <c r="F301" s="10">
        <f>0</f>
        <v>0</v>
      </c>
      <c r="G301" s="10">
        <f t="shared" si="37"/>
        <v>0</v>
      </c>
      <c r="H301" s="2">
        <f>'HOUSE DATA'!C274+C301+G301</f>
        <v>13.700000000000003</v>
      </c>
      <c r="I301" s="3" t="str">
        <f t="shared" si="38"/>
        <v>D</v>
      </c>
      <c r="J301" s="1" t="str">
        <f>'HOUSE DATA'!K274</f>
        <v>D</v>
      </c>
      <c r="K301" s="1" t="str">
        <f t="shared" si="39"/>
        <v>—</v>
      </c>
      <c r="L301" t="str">
        <f t="shared" si="40"/>
        <v>D+13.70</v>
      </c>
      <c r="M301">
        <f>COUNTIF($H$31:$H$465,"&gt;"&amp;H301)+COUNTIF($H$31:H301,H301)</f>
        <v>203</v>
      </c>
      <c r="N301" s="7">
        <f t="shared" si="41"/>
        <v>13.700000000000003</v>
      </c>
      <c r="O301">
        <f>COUNTIF($N$31:$N$465,"&lt;"&amp;N301)+COUNTIF($N$31:N301,N301)</f>
        <v>124</v>
      </c>
      <c r="P301" s="10">
        <f>'HOUSE DATA'!M274</f>
        <v>2.740000000000002</v>
      </c>
      <c r="Q301" t="str">
        <f>'HOUSE DATA'!N274</f>
        <v>2024 HOUSE / prior substitute</v>
      </c>
      <c r="R301" s="10">
        <f t="shared" si="42"/>
        <v>10.96</v>
      </c>
      <c r="S301" s="10">
        <f t="shared" si="43"/>
        <v>12.393350394911538</v>
      </c>
      <c r="T301" s="10">
        <f t="shared" si="44"/>
        <v>-1.4333503949115372</v>
      </c>
      <c r="U301" t="s">
        <v>73</v>
      </c>
      <c r="W301" t="s">
        <v>74</v>
      </c>
      <c r="X301" t="s">
        <v>75</v>
      </c>
    </row>
    <row r="302" spans="1:24" x14ac:dyDescent="0.2">
      <c r="A302" t="str">
        <f>'HOUSE DATA'!A275</f>
        <v>NV-04</v>
      </c>
      <c r="B302" s="10">
        <f>'HOUSE DATA'!B275</f>
        <v>21.076795395820174</v>
      </c>
      <c r="C302" s="10">
        <f t="shared" si="36"/>
        <v>-0.29999999999999893</v>
      </c>
      <c r="D302" s="10">
        <f>2*('HOUSE DATA'!D275*('HOUSE DASHBOARD'!$B$14-42.4)+'HOUSE DATA'!E275*('HOUSE DASHBOARD'!$B$15-54.2)+'HOUSE DATA'!F275*('HOUSE DASHBOARD'!$B$16-85.4)+'HOUSE DATA'!G275*('HOUSE DASHBOARD'!$B$17-60.7)+'HOUSE DATA'!H275*('HOUSE DASHBOARD'!$B$18-53.5))/100</f>
        <v>0</v>
      </c>
      <c r="E302" s="10">
        <f>2*('HOUSE DATA'!I275*('HOUSE DASHBOARD'!$B$21-55.6)+(100-'HOUSE DATA'!I275)*('HOUSE DASHBOARD'!$B$22-44.9))/100</f>
        <v>0</v>
      </c>
      <c r="F302" s="10">
        <f>0</f>
        <v>0</v>
      </c>
      <c r="G302" s="10">
        <f t="shared" si="37"/>
        <v>0</v>
      </c>
      <c r="H302" s="2">
        <f>'HOUSE DATA'!C275+C302+G302</f>
        <v>19.28</v>
      </c>
      <c r="I302" s="3" t="str">
        <f t="shared" si="38"/>
        <v>D</v>
      </c>
      <c r="J302" s="1" t="str">
        <f>'HOUSE DATA'!K275</f>
        <v>D</v>
      </c>
      <c r="K302" s="1" t="str">
        <f t="shared" si="39"/>
        <v>—</v>
      </c>
      <c r="L302" t="str">
        <f t="shared" si="40"/>
        <v>D+19.28</v>
      </c>
      <c r="M302">
        <f>COUNTIF($H$31:$H$465,"&gt;"&amp;H302)+COUNTIF($H$31:H302,H302)</f>
        <v>175</v>
      </c>
      <c r="N302" s="7">
        <f t="shared" si="41"/>
        <v>19.28</v>
      </c>
      <c r="O302">
        <f>COUNTIF($N$31:$N$465,"&lt;"&amp;N302)+COUNTIF($N$31:N302,N302)</f>
        <v>179</v>
      </c>
      <c r="P302" s="10">
        <f>'HOUSE DATA'!M275</f>
        <v>8.32</v>
      </c>
      <c r="Q302" t="str">
        <f>'HOUSE DATA'!N275</f>
        <v>2024 HOUSE / prior substitute</v>
      </c>
      <c r="R302" s="10">
        <f t="shared" si="42"/>
        <v>10.96</v>
      </c>
      <c r="S302" s="10">
        <f t="shared" si="43"/>
        <v>12.756795395820173</v>
      </c>
      <c r="T302" s="10">
        <f t="shared" si="44"/>
        <v>-1.7967953958201726</v>
      </c>
      <c r="U302" t="s">
        <v>73</v>
      </c>
      <c r="W302" t="s">
        <v>74</v>
      </c>
      <c r="X302" t="s">
        <v>75</v>
      </c>
    </row>
    <row r="303" spans="1:24" x14ac:dyDescent="0.2">
      <c r="A303" t="str">
        <f>'HOUSE DATA'!A276</f>
        <v>NY-01</v>
      </c>
      <c r="B303" s="10">
        <f>'HOUSE DATA'!B276</f>
        <v>-2.2892378980664336</v>
      </c>
      <c r="C303" s="10">
        <f t="shared" si="36"/>
        <v>-0.29999999999999893</v>
      </c>
      <c r="D303" s="10">
        <f>2*('HOUSE DATA'!D276*('HOUSE DASHBOARD'!$B$14-42.4)+'HOUSE DATA'!E276*('HOUSE DASHBOARD'!$B$15-54.2)+'HOUSE DATA'!F276*('HOUSE DASHBOARD'!$B$16-85.4)+'HOUSE DATA'!G276*('HOUSE DASHBOARD'!$B$17-60.7)+'HOUSE DATA'!H276*('HOUSE DASHBOARD'!$B$18-53.5))/100</f>
        <v>0</v>
      </c>
      <c r="E303" s="10">
        <f>2*('HOUSE DATA'!I276*('HOUSE DASHBOARD'!$B$21-55.6)+(100-'HOUSE DATA'!I276)*('HOUSE DASHBOARD'!$B$22-44.9))/100</f>
        <v>0</v>
      </c>
      <c r="F303" s="10">
        <f>0</f>
        <v>0</v>
      </c>
      <c r="G303" s="10">
        <f t="shared" si="37"/>
        <v>0</v>
      </c>
      <c r="H303" s="2">
        <f>'HOUSE DATA'!C276+C303+G303</f>
        <v>0.5200000000000029</v>
      </c>
      <c r="I303" s="3" t="str">
        <f t="shared" si="38"/>
        <v>D</v>
      </c>
      <c r="J303" s="1" t="str">
        <f>'HOUSE DATA'!K276</f>
        <v>R</v>
      </c>
      <c r="K303" s="1" t="str">
        <f t="shared" si="39"/>
        <v>R → D</v>
      </c>
      <c r="L303" t="str">
        <f t="shared" si="40"/>
        <v>D+0.52</v>
      </c>
      <c r="M303">
        <f>COUNTIF($H$31:$H$465,"&gt;"&amp;H303)+COUNTIF($H$31:H303,H303)</f>
        <v>235</v>
      </c>
      <c r="N303" s="7">
        <f t="shared" si="41"/>
        <v>0.5200000000000029</v>
      </c>
      <c r="O303">
        <f>COUNTIF($N$31:$N$465,"&lt;"&amp;N303)+COUNTIF($N$31:N303,N303)</f>
        <v>5</v>
      </c>
      <c r="P303" s="10">
        <f>'HOUSE DATA'!M276</f>
        <v>-10.439999999999998</v>
      </c>
      <c r="Q303" t="str">
        <f>'HOUSE DATA'!N276</f>
        <v>2024 HOUSE / prior substitute</v>
      </c>
      <c r="R303" s="10">
        <f t="shared" si="42"/>
        <v>10.96</v>
      </c>
      <c r="S303" s="10">
        <f t="shared" si="43"/>
        <v>8.1507621019335641</v>
      </c>
      <c r="T303" s="10">
        <f t="shared" si="44"/>
        <v>2.8092378980664368</v>
      </c>
      <c r="U303" t="s">
        <v>73</v>
      </c>
      <c r="W303" t="s">
        <v>74</v>
      </c>
      <c r="X303" t="s">
        <v>75</v>
      </c>
    </row>
    <row r="304" spans="1:24" x14ac:dyDescent="0.2">
      <c r="A304" t="str">
        <f>'HOUSE DATA'!A277</f>
        <v>NY-02</v>
      </c>
      <c r="B304" s="10">
        <f>'HOUSE DATA'!B277</f>
        <v>-10.252617152799502</v>
      </c>
      <c r="C304" s="10">
        <f t="shared" si="36"/>
        <v>-0.29999999999999893</v>
      </c>
      <c r="D304" s="10">
        <f>2*('HOUSE DATA'!D277*('HOUSE DASHBOARD'!$B$14-42.4)+'HOUSE DATA'!E277*('HOUSE DASHBOARD'!$B$15-54.2)+'HOUSE DATA'!F277*('HOUSE DASHBOARD'!$B$16-85.4)+'HOUSE DATA'!G277*('HOUSE DASHBOARD'!$B$17-60.7)+'HOUSE DATA'!H277*('HOUSE DASHBOARD'!$B$18-53.5))/100</f>
        <v>0</v>
      </c>
      <c r="E304" s="10">
        <f>2*('HOUSE DATA'!I277*('HOUSE DASHBOARD'!$B$21-55.6)+(100-'HOUSE DATA'!I277)*('HOUSE DASHBOARD'!$B$22-44.9))/100</f>
        <v>0</v>
      </c>
      <c r="F304" s="10">
        <f>0</f>
        <v>0</v>
      </c>
      <c r="G304" s="10">
        <f t="shared" si="37"/>
        <v>0</v>
      </c>
      <c r="H304" s="2">
        <f>'HOUSE DATA'!C277+C304+G304</f>
        <v>-8.5800000000000054</v>
      </c>
      <c r="I304" s="3" t="str">
        <f t="shared" si="38"/>
        <v>R</v>
      </c>
      <c r="J304" s="1" t="str">
        <f>'HOUSE DATA'!K277</f>
        <v>R</v>
      </c>
      <c r="K304" s="1" t="str">
        <f t="shared" si="39"/>
        <v>—</v>
      </c>
      <c r="L304" t="str">
        <f t="shared" si="40"/>
        <v>R+8.58</v>
      </c>
      <c r="M304">
        <f>COUNTIF($H$31:$H$465,"&gt;"&amp;H304)+COUNTIF($H$31:H304,H304)</f>
        <v>286</v>
      </c>
      <c r="N304" s="7">
        <f t="shared" si="41"/>
        <v>8.5800000000000054</v>
      </c>
      <c r="O304">
        <f>COUNTIF($N$31:$N$465,"&lt;"&amp;N304)+COUNTIF($N$31:N304,N304)</f>
        <v>69</v>
      </c>
      <c r="P304" s="10">
        <f>'HOUSE DATA'!M277</f>
        <v>-19.540000000000006</v>
      </c>
      <c r="Q304" t="str">
        <f>'HOUSE DATA'!N277</f>
        <v>2024 HOUSE / prior substitute</v>
      </c>
      <c r="R304" s="10">
        <f t="shared" si="42"/>
        <v>10.96</v>
      </c>
      <c r="S304" s="10">
        <f t="shared" si="43"/>
        <v>9.2873828472005044</v>
      </c>
      <c r="T304" s="10">
        <f t="shared" si="44"/>
        <v>1.6726171527994964</v>
      </c>
      <c r="U304" t="s">
        <v>73</v>
      </c>
      <c r="W304" t="s">
        <v>74</v>
      </c>
      <c r="X304" t="s">
        <v>75</v>
      </c>
    </row>
    <row r="305" spans="1:24" x14ac:dyDescent="0.2">
      <c r="A305" t="str">
        <f>'HOUSE DATA'!A278</f>
        <v>NY-03</v>
      </c>
      <c r="B305" s="10">
        <f>'HOUSE DATA'!B278</f>
        <v>13.469718006520253</v>
      </c>
      <c r="C305" s="10">
        <f t="shared" si="36"/>
        <v>-0.29999999999999893</v>
      </c>
      <c r="D305" s="10">
        <f>2*('HOUSE DATA'!D278*('HOUSE DASHBOARD'!$B$14-42.4)+'HOUSE DATA'!E278*('HOUSE DASHBOARD'!$B$15-54.2)+'HOUSE DATA'!F278*('HOUSE DASHBOARD'!$B$16-85.4)+'HOUSE DATA'!G278*('HOUSE DASHBOARD'!$B$17-60.7)+'HOUSE DATA'!H278*('HOUSE DASHBOARD'!$B$18-53.5))/100</f>
        <v>0</v>
      </c>
      <c r="E305" s="10">
        <f>2*('HOUSE DATA'!I278*('HOUSE DASHBOARD'!$B$21-55.6)+(100-'HOUSE DATA'!I278)*('HOUSE DASHBOARD'!$B$22-44.9))/100</f>
        <v>0</v>
      </c>
      <c r="F305" s="10">
        <f>0</f>
        <v>0</v>
      </c>
      <c r="G305" s="10">
        <f t="shared" si="37"/>
        <v>0</v>
      </c>
      <c r="H305" s="2">
        <f>'HOUSE DATA'!C278+C305+G305</f>
        <v>14.540000000000013</v>
      </c>
      <c r="I305" s="3" t="str">
        <f t="shared" si="38"/>
        <v>D</v>
      </c>
      <c r="J305" s="1" t="str">
        <f>'HOUSE DATA'!K278</f>
        <v>D</v>
      </c>
      <c r="K305" s="1" t="str">
        <f t="shared" si="39"/>
        <v>—</v>
      </c>
      <c r="L305" t="str">
        <f t="shared" si="40"/>
        <v>D+14.54</v>
      </c>
      <c r="M305">
        <f>COUNTIF($H$31:$H$465,"&gt;"&amp;H305)+COUNTIF($H$31:H305,H305)</f>
        <v>200</v>
      </c>
      <c r="N305" s="7">
        <f t="shared" si="41"/>
        <v>14.540000000000013</v>
      </c>
      <c r="O305">
        <f>COUNTIF($N$31:$N$465,"&lt;"&amp;N305)+COUNTIF($N$31:N305,N305)</f>
        <v>129</v>
      </c>
      <c r="P305" s="10">
        <f>'HOUSE DATA'!M278</f>
        <v>3.5800000000000125</v>
      </c>
      <c r="Q305" t="str">
        <f>'HOUSE DATA'!N278</f>
        <v>2024 HOUSE / prior substitute</v>
      </c>
      <c r="R305" s="10">
        <f t="shared" si="42"/>
        <v>10.96</v>
      </c>
      <c r="S305" s="10">
        <f t="shared" si="43"/>
        <v>9.8897180065202406</v>
      </c>
      <c r="T305" s="10">
        <f t="shared" si="44"/>
        <v>1.0702819934797603</v>
      </c>
      <c r="U305" t="s">
        <v>73</v>
      </c>
      <c r="W305" t="s">
        <v>74</v>
      </c>
      <c r="X305" t="s">
        <v>75</v>
      </c>
    </row>
    <row r="306" spans="1:24" x14ac:dyDescent="0.2">
      <c r="A306" t="str">
        <f>'HOUSE DATA'!A279</f>
        <v>NY-04</v>
      </c>
      <c r="B306" s="10">
        <f>'HOUSE DATA'!B279</f>
        <v>11.879885780953352</v>
      </c>
      <c r="C306" s="10">
        <f t="shared" si="36"/>
        <v>-0.29999999999999893</v>
      </c>
      <c r="D306" s="10">
        <f>2*('HOUSE DATA'!D279*('HOUSE DASHBOARD'!$B$14-42.4)+'HOUSE DATA'!E279*('HOUSE DASHBOARD'!$B$15-54.2)+'HOUSE DATA'!F279*('HOUSE DASHBOARD'!$B$16-85.4)+'HOUSE DATA'!G279*('HOUSE DASHBOARD'!$B$17-60.7)+'HOUSE DATA'!H279*('HOUSE DASHBOARD'!$B$18-53.5))/100</f>
        <v>0</v>
      </c>
      <c r="E306" s="10">
        <f>2*('HOUSE DATA'!I279*('HOUSE DASHBOARD'!$B$21-55.6)+(100-'HOUSE DATA'!I279)*('HOUSE DASHBOARD'!$B$22-44.9))/100</f>
        <v>0</v>
      </c>
      <c r="F306" s="10">
        <f>0</f>
        <v>0</v>
      </c>
      <c r="G306" s="10">
        <f t="shared" si="37"/>
        <v>0</v>
      </c>
      <c r="H306" s="2">
        <f>'HOUSE DATA'!C279+C306+G306</f>
        <v>13.259999999999998</v>
      </c>
      <c r="I306" s="3" t="str">
        <f t="shared" si="38"/>
        <v>D</v>
      </c>
      <c r="J306" s="1" t="str">
        <f>'HOUSE DATA'!K279</f>
        <v>D</v>
      </c>
      <c r="K306" s="1" t="str">
        <f t="shared" si="39"/>
        <v>—</v>
      </c>
      <c r="L306" t="str">
        <f t="shared" si="40"/>
        <v>D+13.26</v>
      </c>
      <c r="M306">
        <f>COUNTIF($H$31:$H$465,"&gt;"&amp;H306)+COUNTIF($H$31:H306,H306)</f>
        <v>205</v>
      </c>
      <c r="N306" s="7">
        <f t="shared" si="41"/>
        <v>13.259999999999998</v>
      </c>
      <c r="O306">
        <f>COUNTIF($N$31:$N$465,"&lt;"&amp;N306)+COUNTIF($N$31:N306,N306)</f>
        <v>122</v>
      </c>
      <c r="P306" s="10">
        <f>'HOUSE DATA'!M279</f>
        <v>2.2999999999999972</v>
      </c>
      <c r="Q306" t="str">
        <f>'HOUSE DATA'!N279</f>
        <v>2024 HOUSE / prior substitute</v>
      </c>
      <c r="R306" s="10">
        <f t="shared" si="42"/>
        <v>10.96</v>
      </c>
      <c r="S306" s="10">
        <f t="shared" si="43"/>
        <v>9.5798857809533544</v>
      </c>
      <c r="T306" s="10">
        <f t="shared" si="44"/>
        <v>1.3801142190466464</v>
      </c>
      <c r="U306" t="s">
        <v>73</v>
      </c>
      <c r="W306" t="s">
        <v>74</v>
      </c>
      <c r="X306" t="s">
        <v>75</v>
      </c>
    </row>
    <row r="307" spans="1:24" x14ac:dyDescent="0.2">
      <c r="A307" t="str">
        <f>'HOUSE DATA'!A280</f>
        <v>NY-05</v>
      </c>
      <c r="B307" s="10">
        <f>'HOUSE DATA'!B280</f>
        <v>59.261038680858178</v>
      </c>
      <c r="C307" s="10">
        <f t="shared" si="36"/>
        <v>-0.29999999999999893</v>
      </c>
      <c r="D307" s="10">
        <f>2*('HOUSE DATA'!D280*('HOUSE DASHBOARD'!$B$14-42.4)+'HOUSE DATA'!E280*('HOUSE DASHBOARD'!$B$15-54.2)+'HOUSE DATA'!F280*('HOUSE DASHBOARD'!$B$16-85.4)+'HOUSE DATA'!G280*('HOUSE DASHBOARD'!$B$17-60.7)+'HOUSE DATA'!H280*('HOUSE DASHBOARD'!$B$18-53.5))/100</f>
        <v>0</v>
      </c>
      <c r="E307" s="10">
        <f>2*('HOUSE DATA'!I280*('HOUSE DASHBOARD'!$B$21-55.6)+(100-'HOUSE DATA'!I280)*('HOUSE DASHBOARD'!$B$22-44.9))/100</f>
        <v>0</v>
      </c>
      <c r="F307" s="10">
        <f>0</f>
        <v>0</v>
      </c>
      <c r="G307" s="10">
        <f t="shared" si="37"/>
        <v>0</v>
      </c>
      <c r="H307" s="2">
        <f>'HOUSE DATA'!C280+C307+G307</f>
        <v>56.819999999999993</v>
      </c>
      <c r="I307" s="3" t="str">
        <f t="shared" si="38"/>
        <v>D</v>
      </c>
      <c r="J307" s="1" t="str">
        <f>'HOUSE DATA'!K280</f>
        <v>D</v>
      </c>
      <c r="K307" s="1" t="str">
        <f t="shared" si="39"/>
        <v>—</v>
      </c>
      <c r="L307" t="str">
        <f t="shared" si="40"/>
        <v>D+56.82</v>
      </c>
      <c r="M307">
        <f>COUNTIF($H$31:$H$465,"&gt;"&amp;H307)+COUNTIF($H$31:H307,H307)</f>
        <v>40</v>
      </c>
      <c r="N307" s="7">
        <f t="shared" si="41"/>
        <v>56.819999999999993</v>
      </c>
      <c r="O307">
        <f>COUNTIF($N$31:$N$465,"&lt;"&amp;N307)+COUNTIF($N$31:N307,N307)</f>
        <v>388</v>
      </c>
      <c r="P307" s="10">
        <f>'HOUSE DATA'!M280</f>
        <v>45.859999999999992</v>
      </c>
      <c r="Q307" t="str">
        <f>'HOUSE DATA'!N280</f>
        <v>2024 HOUSE / prior substitute</v>
      </c>
      <c r="R307" s="10">
        <f t="shared" si="42"/>
        <v>10.96</v>
      </c>
      <c r="S307" s="10">
        <f t="shared" si="43"/>
        <v>13.401038680858186</v>
      </c>
      <c r="T307" s="10">
        <f t="shared" si="44"/>
        <v>-2.4410386808581848</v>
      </c>
      <c r="U307" t="s">
        <v>73</v>
      </c>
      <c r="W307" t="s">
        <v>74</v>
      </c>
      <c r="X307" t="s">
        <v>75</v>
      </c>
    </row>
    <row r="308" spans="1:24" x14ac:dyDescent="0.2">
      <c r="A308" t="str">
        <f>'HOUSE DATA'!A281</f>
        <v>NY-06</v>
      </c>
      <c r="B308" s="10">
        <f>'HOUSE DATA'!B281</f>
        <v>38.581485132543236</v>
      </c>
      <c r="C308" s="10">
        <f t="shared" si="36"/>
        <v>-0.29999999999999893</v>
      </c>
      <c r="D308" s="10">
        <f>2*('HOUSE DATA'!D281*('HOUSE DASHBOARD'!$B$14-42.4)+'HOUSE DATA'!E281*('HOUSE DASHBOARD'!$B$15-54.2)+'HOUSE DATA'!F281*('HOUSE DASHBOARD'!$B$16-85.4)+'HOUSE DATA'!G281*('HOUSE DASHBOARD'!$B$17-60.7)+'HOUSE DATA'!H281*('HOUSE DASHBOARD'!$B$18-53.5))/100</f>
        <v>0</v>
      </c>
      <c r="E308" s="10">
        <f>2*('HOUSE DATA'!I281*('HOUSE DASHBOARD'!$B$21-55.6)+(100-'HOUSE DATA'!I281)*('HOUSE DASHBOARD'!$B$22-44.9))/100</f>
        <v>0</v>
      </c>
      <c r="F308" s="10">
        <f>0</f>
        <v>0</v>
      </c>
      <c r="G308" s="10">
        <f t="shared" si="37"/>
        <v>0</v>
      </c>
      <c r="H308" s="2">
        <f>'HOUSE DATA'!C281+C308+G308</f>
        <v>34.400000000000006</v>
      </c>
      <c r="I308" s="3" t="str">
        <f t="shared" si="38"/>
        <v>D</v>
      </c>
      <c r="J308" s="1" t="str">
        <f>'HOUSE DATA'!K281</f>
        <v>D</v>
      </c>
      <c r="K308" s="1" t="str">
        <f t="shared" si="39"/>
        <v>—</v>
      </c>
      <c r="L308" t="str">
        <f t="shared" si="40"/>
        <v>D+34.40</v>
      </c>
      <c r="M308">
        <f>COUNTIF($H$31:$H$465,"&gt;"&amp;H308)+COUNTIF($H$31:H308,H308)</f>
        <v>106</v>
      </c>
      <c r="N308" s="7">
        <f t="shared" si="41"/>
        <v>34.400000000000006</v>
      </c>
      <c r="O308">
        <f>COUNTIF($N$31:$N$465,"&lt;"&amp;N308)+COUNTIF($N$31:N308,N308)</f>
        <v>302</v>
      </c>
      <c r="P308" s="10">
        <f>'HOUSE DATA'!M281</f>
        <v>23.440000000000005</v>
      </c>
      <c r="Q308" t="str">
        <f>'HOUSE DATA'!N281</f>
        <v>2024 HOUSE / prior substitute</v>
      </c>
      <c r="R308" s="10">
        <f t="shared" si="42"/>
        <v>10.96</v>
      </c>
      <c r="S308" s="10">
        <f t="shared" si="43"/>
        <v>15.141485132543231</v>
      </c>
      <c r="T308" s="10">
        <f t="shared" si="44"/>
        <v>-4.1814851325432301</v>
      </c>
      <c r="U308" t="s">
        <v>73</v>
      </c>
      <c r="W308" t="s">
        <v>74</v>
      </c>
      <c r="X308" t="s">
        <v>75</v>
      </c>
    </row>
    <row r="309" spans="1:24" x14ac:dyDescent="0.2">
      <c r="A309" t="str">
        <f>'HOUSE DATA'!A282</f>
        <v>NY-07</v>
      </c>
      <c r="B309" s="10">
        <f>'HOUSE DATA'!B282</f>
        <v>57.781983163844501</v>
      </c>
      <c r="C309" s="10">
        <f t="shared" si="36"/>
        <v>-0.29999999999999893</v>
      </c>
      <c r="D309" s="10">
        <f>2*('HOUSE DATA'!D282*('HOUSE DASHBOARD'!$B$14-42.4)+'HOUSE DATA'!E282*('HOUSE DASHBOARD'!$B$15-54.2)+'HOUSE DATA'!F282*('HOUSE DASHBOARD'!$B$16-85.4)+'HOUSE DATA'!G282*('HOUSE DASHBOARD'!$B$17-60.7)+'HOUSE DATA'!H282*('HOUSE DASHBOARD'!$B$18-53.5))/100</f>
        <v>0</v>
      </c>
      <c r="E309" s="10">
        <f>2*('HOUSE DATA'!I282*('HOUSE DASHBOARD'!$B$21-55.6)+(100-'HOUSE DATA'!I282)*('HOUSE DASHBOARD'!$B$22-44.9))/100</f>
        <v>0</v>
      </c>
      <c r="F309" s="10">
        <f>0</f>
        <v>0</v>
      </c>
      <c r="G309" s="10">
        <f t="shared" si="37"/>
        <v>0</v>
      </c>
      <c r="H309" s="2">
        <f>'HOUSE DATA'!C282+C309+G309</f>
        <v>56.440000000000005</v>
      </c>
      <c r="I309" s="3" t="str">
        <f t="shared" si="38"/>
        <v>D</v>
      </c>
      <c r="J309" s="1" t="str">
        <f>'HOUSE DATA'!K282</f>
        <v>D</v>
      </c>
      <c r="K309" s="1" t="str">
        <f t="shared" si="39"/>
        <v>—</v>
      </c>
      <c r="L309" t="str">
        <f t="shared" si="40"/>
        <v>D+56.44</v>
      </c>
      <c r="M309">
        <f>COUNTIF($H$31:$H$465,"&gt;"&amp;H309)+COUNTIF($H$31:H309,H309)</f>
        <v>43</v>
      </c>
      <c r="N309" s="7">
        <f t="shared" si="41"/>
        <v>56.440000000000005</v>
      </c>
      <c r="O309">
        <f>COUNTIF($N$31:$N$465,"&lt;"&amp;N309)+COUNTIF($N$31:N309,N309)</f>
        <v>386</v>
      </c>
      <c r="P309" s="10">
        <f>'HOUSE DATA'!M282</f>
        <v>45.89</v>
      </c>
      <c r="Q309" t="str">
        <f>'HOUSE DATA'!N282</f>
        <v>2024 PRESIDENT (open seat)</v>
      </c>
      <c r="R309" s="10">
        <f t="shared" si="42"/>
        <v>10.550000000000004</v>
      </c>
      <c r="S309" s="10">
        <f t="shared" si="43"/>
        <v>11.8919831638445</v>
      </c>
      <c r="T309" s="10">
        <f t="shared" si="44"/>
        <v>-1.3419831638444961</v>
      </c>
      <c r="U309" t="s">
        <v>73</v>
      </c>
      <c r="W309" t="s">
        <v>74</v>
      </c>
      <c r="X309" t="s">
        <v>75</v>
      </c>
    </row>
    <row r="310" spans="1:24" x14ac:dyDescent="0.2">
      <c r="A310" t="str">
        <f>'HOUSE DATA'!A283</f>
        <v>NY-08</v>
      </c>
      <c r="B310" s="10">
        <f>'HOUSE DATA'!B283</f>
        <v>64.472919953430065</v>
      </c>
      <c r="C310" s="10">
        <f t="shared" si="36"/>
        <v>-0.29999999999999893</v>
      </c>
      <c r="D310" s="10">
        <f>2*('HOUSE DATA'!D283*('HOUSE DASHBOARD'!$B$14-42.4)+'HOUSE DATA'!E283*('HOUSE DASHBOARD'!$B$15-54.2)+'HOUSE DATA'!F283*('HOUSE DASHBOARD'!$B$16-85.4)+'HOUSE DATA'!G283*('HOUSE DASHBOARD'!$B$17-60.7)+'HOUSE DATA'!H283*('HOUSE DASHBOARD'!$B$18-53.5))/100</f>
        <v>0</v>
      </c>
      <c r="E310" s="10">
        <f>2*('HOUSE DATA'!I283*('HOUSE DASHBOARD'!$B$21-55.6)+(100-'HOUSE DATA'!I283)*('HOUSE DASHBOARD'!$B$22-44.9))/100</f>
        <v>0</v>
      </c>
      <c r="F310" s="10">
        <f>0</f>
        <v>0</v>
      </c>
      <c r="G310" s="10">
        <f t="shared" si="37"/>
        <v>0</v>
      </c>
      <c r="H310" s="2">
        <f>'HOUSE DATA'!C283+C310+G310</f>
        <v>61.74</v>
      </c>
      <c r="I310" s="3" t="str">
        <f t="shared" si="38"/>
        <v>D</v>
      </c>
      <c r="J310" s="1" t="str">
        <f>'HOUSE DATA'!K283</f>
        <v>D</v>
      </c>
      <c r="K310" s="1" t="str">
        <f t="shared" si="39"/>
        <v>—</v>
      </c>
      <c r="L310" t="str">
        <f t="shared" si="40"/>
        <v>D+61.74</v>
      </c>
      <c r="M310">
        <f>COUNTIF($H$31:$H$465,"&gt;"&amp;H310)+COUNTIF($H$31:H310,H310)</f>
        <v>27</v>
      </c>
      <c r="N310" s="7">
        <f t="shared" si="41"/>
        <v>61.74</v>
      </c>
      <c r="O310">
        <f>COUNTIF($N$31:$N$465,"&lt;"&amp;N310)+COUNTIF($N$31:N310,N310)</f>
        <v>400</v>
      </c>
      <c r="P310" s="10">
        <f>'HOUSE DATA'!M283</f>
        <v>50.78</v>
      </c>
      <c r="Q310" t="str">
        <f>'HOUSE DATA'!N283</f>
        <v>2024 HOUSE / prior substitute</v>
      </c>
      <c r="R310" s="10">
        <f t="shared" si="42"/>
        <v>10.96</v>
      </c>
      <c r="S310" s="10">
        <f t="shared" si="43"/>
        <v>13.692919953430064</v>
      </c>
      <c r="T310" s="10">
        <f t="shared" si="44"/>
        <v>-2.7329199534300628</v>
      </c>
      <c r="U310" t="s">
        <v>73</v>
      </c>
      <c r="W310" t="s">
        <v>74</v>
      </c>
      <c r="X310" t="s">
        <v>75</v>
      </c>
    </row>
    <row r="311" spans="1:24" x14ac:dyDescent="0.2">
      <c r="A311" t="str">
        <f>'HOUSE DATA'!A284</f>
        <v>NY-09</v>
      </c>
      <c r="B311" s="10">
        <f>'HOUSE DATA'!B284</f>
        <v>60.865864605875821</v>
      </c>
      <c r="C311" s="10">
        <f t="shared" si="36"/>
        <v>-0.29999999999999893</v>
      </c>
      <c r="D311" s="10">
        <f>2*('HOUSE DATA'!D284*('HOUSE DASHBOARD'!$B$14-42.4)+'HOUSE DATA'!E284*('HOUSE DASHBOARD'!$B$15-54.2)+'HOUSE DATA'!F284*('HOUSE DASHBOARD'!$B$16-85.4)+'HOUSE DATA'!G284*('HOUSE DASHBOARD'!$B$17-60.7)+'HOUSE DATA'!H284*('HOUSE DASHBOARD'!$B$18-53.5))/100</f>
        <v>0</v>
      </c>
      <c r="E311" s="10">
        <f>2*('HOUSE DATA'!I284*('HOUSE DASHBOARD'!$B$21-55.6)+(100-'HOUSE DATA'!I284)*('HOUSE DASHBOARD'!$B$22-44.9))/100</f>
        <v>0</v>
      </c>
      <c r="F311" s="10">
        <f>0</f>
        <v>0</v>
      </c>
      <c r="G311" s="10">
        <f t="shared" si="37"/>
        <v>0</v>
      </c>
      <c r="H311" s="2">
        <f>'HOUSE DATA'!C284+C311+G311</f>
        <v>59.46</v>
      </c>
      <c r="I311" s="3" t="str">
        <f t="shared" si="38"/>
        <v>D</v>
      </c>
      <c r="J311" s="1" t="str">
        <f>'HOUSE DATA'!K284</f>
        <v>D</v>
      </c>
      <c r="K311" s="1" t="str">
        <f t="shared" si="39"/>
        <v>—</v>
      </c>
      <c r="L311" t="str">
        <f t="shared" si="40"/>
        <v>D+59.46</v>
      </c>
      <c r="M311">
        <f>COUNTIF($H$31:$H$465,"&gt;"&amp;H311)+COUNTIF($H$31:H311,H311)</f>
        <v>34</v>
      </c>
      <c r="N311" s="7">
        <f t="shared" si="41"/>
        <v>59.46</v>
      </c>
      <c r="O311">
        <f>COUNTIF($N$31:$N$465,"&lt;"&amp;N311)+COUNTIF($N$31:N311,N311)</f>
        <v>393</v>
      </c>
      <c r="P311" s="10">
        <f>'HOUSE DATA'!M284</f>
        <v>48.5</v>
      </c>
      <c r="Q311" t="str">
        <f>'HOUSE DATA'!N284</f>
        <v>2024 HOUSE / prior substitute</v>
      </c>
      <c r="R311" s="10">
        <f t="shared" si="42"/>
        <v>10.96</v>
      </c>
      <c r="S311" s="10">
        <f t="shared" si="43"/>
        <v>12.365864605875821</v>
      </c>
      <c r="T311" s="10">
        <f t="shared" si="44"/>
        <v>-1.40586460587582</v>
      </c>
      <c r="U311" t="s">
        <v>73</v>
      </c>
      <c r="W311" t="s">
        <v>74</v>
      </c>
      <c r="X311" t="s">
        <v>75</v>
      </c>
    </row>
    <row r="312" spans="1:24" x14ac:dyDescent="0.2">
      <c r="A312" t="str">
        <f>'HOUSE DATA'!A285</f>
        <v>NY-10</v>
      </c>
      <c r="B312" s="10">
        <f>'HOUSE DATA'!B285</f>
        <v>70.731579650364509</v>
      </c>
      <c r="C312" s="10">
        <f t="shared" si="36"/>
        <v>-0.29999999999999893</v>
      </c>
      <c r="D312" s="10">
        <f>2*('HOUSE DATA'!D285*('HOUSE DASHBOARD'!$B$14-42.4)+'HOUSE DATA'!E285*('HOUSE DASHBOARD'!$B$15-54.2)+'HOUSE DATA'!F285*('HOUSE DASHBOARD'!$B$16-85.4)+'HOUSE DATA'!G285*('HOUSE DASHBOARD'!$B$17-60.7)+'HOUSE DATA'!H285*('HOUSE DASHBOARD'!$B$18-53.5))/100</f>
        <v>0</v>
      </c>
      <c r="E312" s="10">
        <f>2*('HOUSE DATA'!I285*('HOUSE DASHBOARD'!$B$21-55.6)+(100-'HOUSE DATA'!I285)*('HOUSE DASHBOARD'!$B$22-44.9))/100</f>
        <v>0</v>
      </c>
      <c r="F312" s="10">
        <f>0</f>
        <v>0</v>
      </c>
      <c r="G312" s="10">
        <f t="shared" si="37"/>
        <v>0</v>
      </c>
      <c r="H312" s="2">
        <f>'HOUSE DATA'!C285+C312+G312</f>
        <v>70.989999999999995</v>
      </c>
      <c r="I312" s="3" t="str">
        <f t="shared" si="38"/>
        <v>D</v>
      </c>
      <c r="J312" s="1" t="str">
        <f>'HOUSE DATA'!K285</f>
        <v>D</v>
      </c>
      <c r="K312" s="1" t="str">
        <f t="shared" si="39"/>
        <v>—</v>
      </c>
      <c r="L312" t="str">
        <f t="shared" si="40"/>
        <v>D+70.99</v>
      </c>
      <c r="M312">
        <f>COUNTIF($H$31:$H$465,"&gt;"&amp;H312)+COUNTIF($H$31:H312,H312)</f>
        <v>13</v>
      </c>
      <c r="N312" s="7">
        <f t="shared" si="41"/>
        <v>70.989999999999995</v>
      </c>
      <c r="O312">
        <f>COUNTIF($N$31:$N$465,"&lt;"&amp;N312)+COUNTIF($N$31:N312,N312)</f>
        <v>413</v>
      </c>
      <c r="P312" s="10">
        <f>'HOUSE DATA'!M285</f>
        <v>60.44</v>
      </c>
      <c r="Q312" t="str">
        <f>'HOUSE DATA'!N285</f>
        <v>2024 PRESIDENT (open seat)</v>
      </c>
      <c r="R312" s="10">
        <f t="shared" si="42"/>
        <v>10.549999999999997</v>
      </c>
      <c r="S312" s="10">
        <f t="shared" si="43"/>
        <v>10.291579650364511</v>
      </c>
      <c r="T312" s="10">
        <f t="shared" si="44"/>
        <v>0.25842034963548599</v>
      </c>
      <c r="U312" t="s">
        <v>73</v>
      </c>
      <c r="W312" t="s">
        <v>74</v>
      </c>
      <c r="X312" t="s">
        <v>75</v>
      </c>
    </row>
    <row r="313" spans="1:24" x14ac:dyDescent="0.2">
      <c r="A313" t="str">
        <f>'HOUSE DATA'!A286</f>
        <v>NY-11</v>
      </c>
      <c r="B313" s="10">
        <f>'HOUSE DATA'!B286</f>
        <v>-16.809280910163125</v>
      </c>
      <c r="C313" s="10">
        <f t="shared" si="36"/>
        <v>-0.29999999999999893</v>
      </c>
      <c r="D313" s="10">
        <f>2*('HOUSE DATA'!D286*('HOUSE DASHBOARD'!$B$14-42.4)+'HOUSE DATA'!E286*('HOUSE DASHBOARD'!$B$15-54.2)+'HOUSE DATA'!F286*('HOUSE DASHBOARD'!$B$16-85.4)+'HOUSE DATA'!G286*('HOUSE DASHBOARD'!$B$17-60.7)+'HOUSE DATA'!H286*('HOUSE DASHBOARD'!$B$18-53.5))/100</f>
        <v>0</v>
      </c>
      <c r="E313" s="10">
        <f>2*('HOUSE DATA'!I286*('HOUSE DASHBOARD'!$B$21-55.6)+(100-'HOUSE DATA'!I286)*('HOUSE DASHBOARD'!$B$22-44.9))/100</f>
        <v>0</v>
      </c>
      <c r="F313" s="10">
        <f>0</f>
        <v>0</v>
      </c>
      <c r="G313" s="10">
        <f t="shared" si="37"/>
        <v>0</v>
      </c>
      <c r="H313" s="2">
        <f>'HOUSE DATA'!C286+C313+G313</f>
        <v>-17.239999999999995</v>
      </c>
      <c r="I313" s="3" t="str">
        <f t="shared" si="38"/>
        <v>R</v>
      </c>
      <c r="J313" s="1" t="str">
        <f>'HOUSE DATA'!K286</f>
        <v>R</v>
      </c>
      <c r="K313" s="1" t="str">
        <f t="shared" si="39"/>
        <v>—</v>
      </c>
      <c r="L313" t="str">
        <f t="shared" si="40"/>
        <v>R+17.24</v>
      </c>
      <c r="M313">
        <f>COUNTIF($H$31:$H$465,"&gt;"&amp;H313)+COUNTIF($H$31:H313,H313)</f>
        <v>341</v>
      </c>
      <c r="N313" s="7">
        <f t="shared" si="41"/>
        <v>17.239999999999995</v>
      </c>
      <c r="O313">
        <f>COUNTIF($N$31:$N$465,"&lt;"&amp;N313)+COUNTIF($N$31:N313,N313)</f>
        <v>153</v>
      </c>
      <c r="P313" s="10">
        <f>'HOUSE DATA'!M286</f>
        <v>-28.199999999999996</v>
      </c>
      <c r="Q313" t="str">
        <f>'HOUSE DATA'!N286</f>
        <v>2024 HOUSE / prior substitute</v>
      </c>
      <c r="R313" s="10">
        <f t="shared" si="42"/>
        <v>10.96</v>
      </c>
      <c r="S313" s="10">
        <f t="shared" si="43"/>
        <v>11.390719089836871</v>
      </c>
      <c r="T313" s="10">
        <f t="shared" si="44"/>
        <v>-0.43071908983687024</v>
      </c>
      <c r="U313" t="s">
        <v>73</v>
      </c>
      <c r="W313" t="s">
        <v>74</v>
      </c>
      <c r="X313" t="s">
        <v>75</v>
      </c>
    </row>
    <row r="314" spans="1:24" x14ac:dyDescent="0.2">
      <c r="A314" t="str">
        <f>'HOUSE DATA'!A287</f>
        <v>NY-12</v>
      </c>
      <c r="B314" s="10">
        <f>'HOUSE DATA'!B287</f>
        <v>72.130283180319623</v>
      </c>
      <c r="C314" s="10">
        <f t="shared" si="36"/>
        <v>-0.29999999999999893</v>
      </c>
      <c r="D314" s="10">
        <f>2*('HOUSE DATA'!D287*('HOUSE DASHBOARD'!$B$14-42.4)+'HOUSE DATA'!E287*('HOUSE DASHBOARD'!$B$15-54.2)+'HOUSE DATA'!F287*('HOUSE DASHBOARD'!$B$16-85.4)+'HOUSE DATA'!G287*('HOUSE DASHBOARD'!$B$17-60.7)+'HOUSE DATA'!H287*('HOUSE DASHBOARD'!$B$18-53.5))/100</f>
        <v>0</v>
      </c>
      <c r="E314" s="10">
        <f>2*('HOUSE DATA'!I287*('HOUSE DASHBOARD'!$B$21-55.6)+(100-'HOUSE DATA'!I287)*('HOUSE DASHBOARD'!$B$22-44.9))/100</f>
        <v>0</v>
      </c>
      <c r="F314" s="10">
        <f>0</f>
        <v>0</v>
      </c>
      <c r="G314" s="10">
        <f t="shared" si="37"/>
        <v>0</v>
      </c>
      <c r="H314" s="2">
        <f>'HOUSE DATA'!C287+C314+G314</f>
        <v>74.150000000000006</v>
      </c>
      <c r="I314" s="3" t="str">
        <f t="shared" si="38"/>
        <v>D</v>
      </c>
      <c r="J314" s="1" t="str">
        <f>'HOUSE DATA'!K287</f>
        <v>D</v>
      </c>
      <c r="K314" s="1" t="str">
        <f t="shared" si="39"/>
        <v>—</v>
      </c>
      <c r="L314" t="str">
        <f t="shared" si="40"/>
        <v>D+74.15</v>
      </c>
      <c r="M314">
        <f>COUNTIF($H$31:$H$465,"&gt;"&amp;H314)+COUNTIF($H$31:H314,H314)</f>
        <v>10</v>
      </c>
      <c r="N314" s="7">
        <f t="shared" si="41"/>
        <v>74.150000000000006</v>
      </c>
      <c r="O314">
        <f>COUNTIF($N$31:$N$465,"&lt;"&amp;N314)+COUNTIF($N$31:N314,N314)</f>
        <v>415</v>
      </c>
      <c r="P314" s="10">
        <f>'HOUSE DATA'!M287</f>
        <v>63.6</v>
      </c>
      <c r="Q314" t="str">
        <f>'HOUSE DATA'!N287</f>
        <v>2024 PRESIDENT (open seat)</v>
      </c>
      <c r="R314" s="10">
        <f t="shared" si="42"/>
        <v>10.550000000000004</v>
      </c>
      <c r="S314" s="10">
        <f t="shared" si="43"/>
        <v>8.5302831803196213</v>
      </c>
      <c r="T314" s="10">
        <f t="shared" si="44"/>
        <v>2.019716819680383</v>
      </c>
      <c r="U314" t="s">
        <v>73</v>
      </c>
      <c r="W314" t="s">
        <v>74</v>
      </c>
      <c r="X314" t="s">
        <v>75</v>
      </c>
    </row>
    <row r="315" spans="1:24" x14ac:dyDescent="0.2">
      <c r="A315" t="str">
        <f>'HOUSE DATA'!A288</f>
        <v>NY-13</v>
      </c>
      <c r="B315" s="10">
        <f>'HOUSE DATA'!B288</f>
        <v>74.930579673561496</v>
      </c>
      <c r="C315" s="10">
        <f t="shared" si="36"/>
        <v>-0.29999999999999893</v>
      </c>
      <c r="D315" s="10">
        <f>2*('HOUSE DATA'!D288*('HOUSE DASHBOARD'!$B$14-42.4)+'HOUSE DATA'!E288*('HOUSE DASHBOARD'!$B$15-54.2)+'HOUSE DATA'!F288*('HOUSE DASHBOARD'!$B$16-85.4)+'HOUSE DATA'!G288*('HOUSE DASHBOARD'!$B$17-60.7)+'HOUSE DATA'!H288*('HOUSE DASHBOARD'!$B$18-53.5))/100</f>
        <v>0</v>
      </c>
      <c r="E315" s="10">
        <f>2*('HOUSE DATA'!I288*('HOUSE DASHBOARD'!$B$21-55.6)+(100-'HOUSE DATA'!I288)*('HOUSE DASHBOARD'!$B$22-44.9))/100</f>
        <v>0</v>
      </c>
      <c r="F315" s="10">
        <f>0</f>
        <v>0</v>
      </c>
      <c r="G315" s="10">
        <f t="shared" si="37"/>
        <v>0</v>
      </c>
      <c r="H315" s="2">
        <f>'HOUSE DATA'!C288+C315+G315</f>
        <v>69.83</v>
      </c>
      <c r="I315" s="3" t="str">
        <f t="shared" si="38"/>
        <v>D</v>
      </c>
      <c r="J315" s="1" t="str">
        <f>'HOUSE DATA'!K288</f>
        <v>D</v>
      </c>
      <c r="K315" s="1" t="str">
        <f t="shared" si="39"/>
        <v>—</v>
      </c>
      <c r="L315" t="str">
        <f t="shared" si="40"/>
        <v>D+69.83</v>
      </c>
      <c r="M315">
        <f>COUNTIF($H$31:$H$465,"&gt;"&amp;H315)+COUNTIF($H$31:H315,H315)</f>
        <v>17</v>
      </c>
      <c r="N315" s="7">
        <f t="shared" si="41"/>
        <v>69.83</v>
      </c>
      <c r="O315">
        <f>COUNTIF($N$31:$N$465,"&lt;"&amp;N315)+COUNTIF($N$31:N315,N315)</f>
        <v>409</v>
      </c>
      <c r="P315" s="10">
        <f>'HOUSE DATA'!M288</f>
        <v>59.28</v>
      </c>
      <c r="Q315" t="str">
        <f>'HOUSE DATA'!N288</f>
        <v>2024 PRESIDENT (open seat)</v>
      </c>
      <c r="R315" s="10">
        <f t="shared" si="42"/>
        <v>10.549999999999997</v>
      </c>
      <c r="S315" s="10">
        <f t="shared" si="43"/>
        <v>15.650579673561495</v>
      </c>
      <c r="T315" s="10">
        <f t="shared" si="44"/>
        <v>-5.1005796735614979</v>
      </c>
      <c r="U315" t="s">
        <v>73</v>
      </c>
      <c r="W315" t="s">
        <v>74</v>
      </c>
      <c r="X315" t="s">
        <v>75</v>
      </c>
    </row>
    <row r="316" spans="1:24" x14ac:dyDescent="0.2">
      <c r="A316" t="str">
        <f>'HOUSE DATA'!A289</f>
        <v>NY-14</v>
      </c>
      <c r="B316" s="10">
        <f>'HOUSE DATA'!B289</f>
        <v>53.774087751520817</v>
      </c>
      <c r="C316" s="10">
        <f t="shared" si="36"/>
        <v>-0.29999999999999893</v>
      </c>
      <c r="D316" s="10">
        <f>2*('HOUSE DATA'!D289*('HOUSE DASHBOARD'!$B$14-42.4)+'HOUSE DATA'!E289*('HOUSE DASHBOARD'!$B$15-54.2)+'HOUSE DATA'!F289*('HOUSE DASHBOARD'!$B$16-85.4)+'HOUSE DATA'!G289*('HOUSE DASHBOARD'!$B$17-60.7)+'HOUSE DATA'!H289*('HOUSE DASHBOARD'!$B$18-53.5))/100</f>
        <v>0</v>
      </c>
      <c r="E316" s="10">
        <f>2*('HOUSE DATA'!I289*('HOUSE DASHBOARD'!$B$21-55.6)+(100-'HOUSE DATA'!I289)*('HOUSE DASHBOARD'!$B$22-44.9))/100</f>
        <v>0</v>
      </c>
      <c r="F316" s="10">
        <f>0</f>
        <v>0</v>
      </c>
      <c r="G316" s="10">
        <f t="shared" si="37"/>
        <v>0</v>
      </c>
      <c r="H316" s="2">
        <f>'HOUSE DATA'!C289+C316+G316</f>
        <v>49.359999999999992</v>
      </c>
      <c r="I316" s="3" t="str">
        <f t="shared" si="38"/>
        <v>D</v>
      </c>
      <c r="J316" s="1" t="str">
        <f>'HOUSE DATA'!K289</f>
        <v>D</v>
      </c>
      <c r="K316" s="1" t="str">
        <f t="shared" si="39"/>
        <v>—</v>
      </c>
      <c r="L316" t="str">
        <f t="shared" si="40"/>
        <v>D+49.36</v>
      </c>
      <c r="M316">
        <f>COUNTIF($H$31:$H$465,"&gt;"&amp;H316)+COUNTIF($H$31:H316,H316)</f>
        <v>60</v>
      </c>
      <c r="N316" s="7">
        <f t="shared" si="41"/>
        <v>49.359999999999992</v>
      </c>
      <c r="O316">
        <f>COUNTIF($N$31:$N$465,"&lt;"&amp;N316)+COUNTIF($N$31:N316,N316)</f>
        <v>366</v>
      </c>
      <c r="P316" s="10">
        <f>'HOUSE DATA'!M289</f>
        <v>38.399999999999991</v>
      </c>
      <c r="Q316" t="str">
        <f>'HOUSE DATA'!N289</f>
        <v>2024 HOUSE / prior substitute</v>
      </c>
      <c r="R316" s="10">
        <f t="shared" si="42"/>
        <v>10.96</v>
      </c>
      <c r="S316" s="10">
        <f t="shared" si="43"/>
        <v>15.374087751520825</v>
      </c>
      <c r="T316" s="10">
        <f t="shared" si="44"/>
        <v>-4.4140877515208246</v>
      </c>
      <c r="U316" t="s">
        <v>73</v>
      </c>
      <c r="W316" t="s">
        <v>74</v>
      </c>
      <c r="X316" t="s">
        <v>75</v>
      </c>
    </row>
    <row r="317" spans="1:24" x14ac:dyDescent="0.2">
      <c r="A317" t="str">
        <f>'HOUSE DATA'!A290</f>
        <v>NY-15</v>
      </c>
      <c r="B317" s="10">
        <f>'HOUSE DATA'!B290</f>
        <v>72.857222592082394</v>
      </c>
      <c r="C317" s="10">
        <f t="shared" si="36"/>
        <v>-0.29999999999999893</v>
      </c>
      <c r="D317" s="10">
        <f>2*('HOUSE DATA'!D290*('HOUSE DASHBOARD'!$B$14-42.4)+'HOUSE DATA'!E290*('HOUSE DASHBOARD'!$B$15-54.2)+'HOUSE DATA'!F290*('HOUSE DASHBOARD'!$B$16-85.4)+'HOUSE DATA'!G290*('HOUSE DASHBOARD'!$B$17-60.7)+'HOUSE DATA'!H290*('HOUSE DASHBOARD'!$B$18-53.5))/100</f>
        <v>0</v>
      </c>
      <c r="E317" s="10">
        <f>2*('HOUSE DATA'!I290*('HOUSE DASHBOARD'!$B$21-55.6)+(100-'HOUSE DATA'!I290)*('HOUSE DASHBOARD'!$B$22-44.9))/100</f>
        <v>0</v>
      </c>
      <c r="F317" s="10">
        <f>0</f>
        <v>0</v>
      </c>
      <c r="G317" s="10">
        <f t="shared" si="37"/>
        <v>0</v>
      </c>
      <c r="H317" s="2">
        <f>'HOUSE DATA'!C290+C317+G317</f>
        <v>67.679999999999993</v>
      </c>
      <c r="I317" s="3" t="str">
        <f t="shared" si="38"/>
        <v>D</v>
      </c>
      <c r="J317" s="1" t="str">
        <f>'HOUSE DATA'!K290</f>
        <v>D</v>
      </c>
      <c r="K317" s="1" t="str">
        <f t="shared" si="39"/>
        <v>—</v>
      </c>
      <c r="L317" t="str">
        <f t="shared" si="40"/>
        <v>D+67.68</v>
      </c>
      <c r="M317">
        <f>COUNTIF($H$31:$H$465,"&gt;"&amp;H317)+COUNTIF($H$31:H317,H317)</f>
        <v>20</v>
      </c>
      <c r="N317" s="7">
        <f t="shared" si="41"/>
        <v>67.679999999999993</v>
      </c>
      <c r="O317">
        <f>COUNTIF($N$31:$N$465,"&lt;"&amp;N317)+COUNTIF($N$31:N317,N317)</f>
        <v>406</v>
      </c>
      <c r="P317" s="10">
        <f>'HOUSE DATA'!M290</f>
        <v>56.72</v>
      </c>
      <c r="Q317" t="str">
        <f>'HOUSE DATA'!N290</f>
        <v>2024 HOUSE / prior substitute</v>
      </c>
      <c r="R317" s="10">
        <f t="shared" si="42"/>
        <v>10.959999999999994</v>
      </c>
      <c r="S317" s="10">
        <f t="shared" si="43"/>
        <v>16.137222592082395</v>
      </c>
      <c r="T317" s="10">
        <f t="shared" si="44"/>
        <v>-5.1772225920824013</v>
      </c>
      <c r="U317" t="s">
        <v>73</v>
      </c>
      <c r="W317" t="s">
        <v>74</v>
      </c>
      <c r="X317" t="s">
        <v>75</v>
      </c>
    </row>
    <row r="318" spans="1:24" x14ac:dyDescent="0.2">
      <c r="A318" t="str">
        <f>'HOUSE DATA'!A291</f>
        <v>NY-16</v>
      </c>
      <c r="B318" s="10">
        <f>'HOUSE DATA'!B291</f>
        <v>53.397359326397812</v>
      </c>
      <c r="C318" s="10">
        <f t="shared" si="36"/>
        <v>-0.29999999999999893</v>
      </c>
      <c r="D318" s="10">
        <f>2*('HOUSE DATA'!D291*('HOUSE DASHBOARD'!$B$14-42.4)+'HOUSE DATA'!E291*('HOUSE DASHBOARD'!$B$15-54.2)+'HOUSE DATA'!F291*('HOUSE DASHBOARD'!$B$16-85.4)+'HOUSE DATA'!G291*('HOUSE DASHBOARD'!$B$17-60.7)+'HOUSE DATA'!H291*('HOUSE DASHBOARD'!$B$18-53.5))/100</f>
        <v>0</v>
      </c>
      <c r="E318" s="10">
        <f>2*('HOUSE DATA'!I291*('HOUSE DASHBOARD'!$B$21-55.6)+(100-'HOUSE DATA'!I291)*('HOUSE DASHBOARD'!$B$22-44.9))/100</f>
        <v>0</v>
      </c>
      <c r="F318" s="10">
        <f>0</f>
        <v>0</v>
      </c>
      <c r="G318" s="10">
        <f t="shared" si="37"/>
        <v>0</v>
      </c>
      <c r="H318" s="2">
        <f>'HOUSE DATA'!C291+C318+G318</f>
        <v>54.12</v>
      </c>
      <c r="I318" s="3" t="str">
        <f t="shared" si="38"/>
        <v>D</v>
      </c>
      <c r="J318" s="1" t="str">
        <f>'HOUSE DATA'!K291</f>
        <v>D</v>
      </c>
      <c r="K318" s="1" t="str">
        <f t="shared" si="39"/>
        <v>—</v>
      </c>
      <c r="L318" t="str">
        <f t="shared" si="40"/>
        <v>D+54.12</v>
      </c>
      <c r="M318">
        <f>COUNTIF($H$31:$H$465,"&gt;"&amp;H318)+COUNTIF($H$31:H318,H318)</f>
        <v>46</v>
      </c>
      <c r="N318" s="7">
        <f t="shared" si="41"/>
        <v>54.12</v>
      </c>
      <c r="O318">
        <f>COUNTIF($N$31:$N$465,"&lt;"&amp;N318)+COUNTIF($N$31:N318,N318)</f>
        <v>380</v>
      </c>
      <c r="P318" s="10">
        <f>'HOUSE DATA'!M291</f>
        <v>43.16</v>
      </c>
      <c r="Q318" t="str">
        <f>'HOUSE DATA'!N291</f>
        <v>2024 HOUSE / prior substitute</v>
      </c>
      <c r="R318" s="10">
        <f t="shared" si="42"/>
        <v>10.96</v>
      </c>
      <c r="S318" s="10">
        <f t="shared" si="43"/>
        <v>10.237359326397815</v>
      </c>
      <c r="T318" s="10">
        <f t="shared" si="44"/>
        <v>0.72264067360218576</v>
      </c>
      <c r="U318" t="s">
        <v>73</v>
      </c>
      <c r="W318" t="s">
        <v>74</v>
      </c>
      <c r="X318" t="s">
        <v>75</v>
      </c>
    </row>
    <row r="319" spans="1:24" x14ac:dyDescent="0.2">
      <c r="A319" t="str">
        <f>'HOUSE DATA'!A292</f>
        <v>NY-17</v>
      </c>
      <c r="B319" s="10">
        <f>'HOUSE DATA'!B292</f>
        <v>2.2732032451990176</v>
      </c>
      <c r="C319" s="10">
        <f t="shared" si="36"/>
        <v>-0.29999999999999893</v>
      </c>
      <c r="D319" s="10">
        <f>2*('HOUSE DATA'!D292*('HOUSE DASHBOARD'!$B$14-42.4)+'HOUSE DATA'!E292*('HOUSE DASHBOARD'!$B$15-54.2)+'HOUSE DATA'!F292*('HOUSE DASHBOARD'!$B$16-85.4)+'HOUSE DATA'!G292*('HOUSE DASHBOARD'!$B$17-60.7)+'HOUSE DATA'!H292*('HOUSE DASHBOARD'!$B$18-53.5))/100</f>
        <v>0</v>
      </c>
      <c r="E319" s="10">
        <f>2*('HOUSE DATA'!I292*('HOUSE DASHBOARD'!$B$21-55.6)+(100-'HOUSE DATA'!I292)*('HOUSE DASHBOARD'!$B$22-44.9))/100</f>
        <v>0</v>
      </c>
      <c r="F319" s="10">
        <f>0</f>
        <v>0</v>
      </c>
      <c r="G319" s="10">
        <f t="shared" si="37"/>
        <v>0</v>
      </c>
      <c r="H319" s="2">
        <f>'HOUSE DATA'!C292+C319+G319</f>
        <v>4.5200000000000031</v>
      </c>
      <c r="I319" s="3" t="str">
        <f t="shared" si="38"/>
        <v>D</v>
      </c>
      <c r="J319" s="1" t="str">
        <f>'HOUSE DATA'!K292</f>
        <v>R</v>
      </c>
      <c r="K319" s="1" t="str">
        <f t="shared" si="39"/>
        <v>R → D</v>
      </c>
      <c r="L319" t="str">
        <f t="shared" si="40"/>
        <v>D+4.52</v>
      </c>
      <c r="M319">
        <f>COUNTIF($H$31:$H$465,"&gt;"&amp;H319)+COUNTIF($H$31:H319,H319)</f>
        <v>226</v>
      </c>
      <c r="N319" s="7">
        <f t="shared" si="41"/>
        <v>4.5200000000000031</v>
      </c>
      <c r="O319">
        <f>COUNTIF($N$31:$N$465,"&lt;"&amp;N319)+COUNTIF($N$31:N319,N319)</f>
        <v>39</v>
      </c>
      <c r="P319" s="10">
        <f>'HOUSE DATA'!M292</f>
        <v>-6.4399999999999977</v>
      </c>
      <c r="Q319" t="str">
        <f>'HOUSE DATA'!N292</f>
        <v>2024 HOUSE / prior substitute</v>
      </c>
      <c r="R319" s="10">
        <f t="shared" si="42"/>
        <v>10.96</v>
      </c>
      <c r="S319" s="10">
        <f t="shared" si="43"/>
        <v>8.7132032451990149</v>
      </c>
      <c r="T319" s="10">
        <f t="shared" si="44"/>
        <v>2.2467967548009855</v>
      </c>
      <c r="U319" t="s">
        <v>73</v>
      </c>
      <c r="W319" t="s">
        <v>74</v>
      </c>
      <c r="X319" t="s">
        <v>75</v>
      </c>
    </row>
    <row r="320" spans="1:24" x14ac:dyDescent="0.2">
      <c r="A320" t="str">
        <f>'HOUSE DATA'!A293</f>
        <v>NY-18</v>
      </c>
      <c r="B320" s="10">
        <f>'HOUSE DATA'!B293</f>
        <v>23.810337238730803</v>
      </c>
      <c r="C320" s="10">
        <f t="shared" si="36"/>
        <v>-0.29999999999999893</v>
      </c>
      <c r="D320" s="10">
        <f>2*('HOUSE DATA'!D293*('HOUSE DASHBOARD'!$B$14-42.4)+'HOUSE DATA'!E293*('HOUSE DASHBOARD'!$B$15-54.2)+'HOUSE DATA'!F293*('HOUSE DASHBOARD'!$B$16-85.4)+'HOUSE DATA'!G293*('HOUSE DASHBOARD'!$B$17-60.7)+'HOUSE DATA'!H293*('HOUSE DASHBOARD'!$B$18-53.5))/100</f>
        <v>0</v>
      </c>
      <c r="E320" s="10">
        <f>2*('HOUSE DATA'!I293*('HOUSE DASHBOARD'!$B$21-55.6)+(100-'HOUSE DATA'!I293)*('HOUSE DASHBOARD'!$B$22-44.9))/100</f>
        <v>0</v>
      </c>
      <c r="F320" s="10">
        <f>0</f>
        <v>0</v>
      </c>
      <c r="G320" s="10">
        <f t="shared" si="37"/>
        <v>0</v>
      </c>
      <c r="H320" s="2">
        <f>'HOUSE DATA'!C293+C320+G320</f>
        <v>25.300000000000004</v>
      </c>
      <c r="I320" s="3" t="str">
        <f t="shared" si="38"/>
        <v>D</v>
      </c>
      <c r="J320" s="1" t="str">
        <f>'HOUSE DATA'!K293</f>
        <v>D</v>
      </c>
      <c r="K320" s="1" t="str">
        <f t="shared" si="39"/>
        <v>—</v>
      </c>
      <c r="L320" t="str">
        <f t="shared" si="40"/>
        <v>D+25.30</v>
      </c>
      <c r="M320">
        <f>COUNTIF($H$31:$H$465,"&gt;"&amp;H320)+COUNTIF($H$31:H320,H320)</f>
        <v>142</v>
      </c>
      <c r="N320" s="7">
        <f t="shared" si="41"/>
        <v>25.300000000000004</v>
      </c>
      <c r="O320">
        <f>COUNTIF($N$31:$N$465,"&lt;"&amp;N320)+COUNTIF($N$31:N320,N320)</f>
        <v>241</v>
      </c>
      <c r="P320" s="10">
        <f>'HOUSE DATA'!M293</f>
        <v>14.340000000000003</v>
      </c>
      <c r="Q320" t="str">
        <f>'HOUSE DATA'!N293</f>
        <v>2024 HOUSE / prior substitute</v>
      </c>
      <c r="R320" s="10">
        <f t="shared" si="42"/>
        <v>10.96</v>
      </c>
      <c r="S320" s="10">
        <f t="shared" si="43"/>
        <v>9.4703372387307994</v>
      </c>
      <c r="T320" s="10">
        <f t="shared" si="44"/>
        <v>1.4896627612692015</v>
      </c>
      <c r="U320" t="s">
        <v>73</v>
      </c>
      <c r="W320" t="s">
        <v>74</v>
      </c>
      <c r="X320" t="s">
        <v>75</v>
      </c>
    </row>
    <row r="321" spans="1:24" x14ac:dyDescent="0.2">
      <c r="A321" t="str">
        <f>'HOUSE DATA'!A294</f>
        <v>NY-19</v>
      </c>
      <c r="B321" s="10">
        <f>'HOUSE DATA'!B294</f>
        <v>12.165979608374508</v>
      </c>
      <c r="C321" s="10">
        <f t="shared" si="36"/>
        <v>-0.29999999999999893</v>
      </c>
      <c r="D321" s="10">
        <f>2*('HOUSE DATA'!D294*('HOUSE DASHBOARD'!$B$14-42.4)+'HOUSE DATA'!E294*('HOUSE DASHBOARD'!$B$15-54.2)+'HOUSE DATA'!F294*('HOUSE DASHBOARD'!$B$16-85.4)+'HOUSE DATA'!G294*('HOUSE DASHBOARD'!$B$17-60.7)+'HOUSE DATA'!H294*('HOUSE DASHBOARD'!$B$18-53.5))/100</f>
        <v>0</v>
      </c>
      <c r="E321" s="10">
        <f>2*('HOUSE DATA'!I294*('HOUSE DASHBOARD'!$B$21-55.6)+(100-'HOUSE DATA'!I294)*('HOUSE DASHBOARD'!$B$22-44.9))/100</f>
        <v>0</v>
      </c>
      <c r="F321" s="10">
        <f>0</f>
        <v>0</v>
      </c>
      <c r="G321" s="10">
        <f t="shared" si="37"/>
        <v>0</v>
      </c>
      <c r="H321" s="2">
        <f>'HOUSE DATA'!C294+C321+G321</f>
        <v>13.18</v>
      </c>
      <c r="I321" s="3" t="str">
        <f t="shared" si="38"/>
        <v>D</v>
      </c>
      <c r="J321" s="1" t="str">
        <f>'HOUSE DATA'!K294</f>
        <v>D</v>
      </c>
      <c r="K321" s="1" t="str">
        <f t="shared" si="39"/>
        <v>—</v>
      </c>
      <c r="L321" t="str">
        <f t="shared" si="40"/>
        <v>D+13.18</v>
      </c>
      <c r="M321">
        <f>COUNTIF($H$31:$H$465,"&gt;"&amp;H321)+COUNTIF($H$31:H321,H321)</f>
        <v>206</v>
      </c>
      <c r="N321" s="7">
        <f t="shared" si="41"/>
        <v>13.18</v>
      </c>
      <c r="O321">
        <f>COUNTIF($N$31:$N$465,"&lt;"&amp;N321)+COUNTIF($N$31:N321,N321)</f>
        <v>121</v>
      </c>
      <c r="P321" s="10">
        <f>'HOUSE DATA'!M294</f>
        <v>2.2199999999999989</v>
      </c>
      <c r="Q321" t="str">
        <f>'HOUSE DATA'!N294</f>
        <v>2024 HOUSE / prior substitute</v>
      </c>
      <c r="R321" s="10">
        <f t="shared" si="42"/>
        <v>10.96</v>
      </c>
      <c r="S321" s="10">
        <f t="shared" si="43"/>
        <v>9.9459796083745093</v>
      </c>
      <c r="T321" s="10">
        <f t="shared" si="44"/>
        <v>1.0140203916254915</v>
      </c>
      <c r="U321" t="s">
        <v>73</v>
      </c>
      <c r="W321" t="s">
        <v>74</v>
      </c>
      <c r="X321" t="s">
        <v>75</v>
      </c>
    </row>
    <row r="322" spans="1:24" x14ac:dyDescent="0.2">
      <c r="A322" t="str">
        <f>'HOUSE DATA'!A295</f>
        <v>NY-20</v>
      </c>
      <c r="B322" s="10">
        <f>'HOUSE DATA'!B295</f>
        <v>31.482449562684927</v>
      </c>
      <c r="C322" s="10">
        <f t="shared" si="36"/>
        <v>-0.29999999999999893</v>
      </c>
      <c r="D322" s="10">
        <f>2*('HOUSE DATA'!D295*('HOUSE DASHBOARD'!$B$14-42.4)+'HOUSE DATA'!E295*('HOUSE DASHBOARD'!$B$15-54.2)+'HOUSE DATA'!F295*('HOUSE DASHBOARD'!$B$16-85.4)+'HOUSE DATA'!G295*('HOUSE DASHBOARD'!$B$17-60.7)+'HOUSE DATA'!H295*('HOUSE DASHBOARD'!$B$18-53.5))/100</f>
        <v>0</v>
      </c>
      <c r="E322" s="10">
        <f>2*('HOUSE DATA'!I295*('HOUSE DASHBOARD'!$B$21-55.6)+(100-'HOUSE DATA'!I295)*('HOUSE DASHBOARD'!$B$22-44.9))/100</f>
        <v>0</v>
      </c>
      <c r="F322" s="10">
        <f>0</f>
        <v>0</v>
      </c>
      <c r="G322" s="10">
        <f t="shared" si="37"/>
        <v>0</v>
      </c>
      <c r="H322" s="2">
        <f>'HOUSE DATA'!C295+C322+G322</f>
        <v>33.22</v>
      </c>
      <c r="I322" s="3" t="str">
        <f t="shared" si="38"/>
        <v>D</v>
      </c>
      <c r="J322" s="1" t="str">
        <f>'HOUSE DATA'!K295</f>
        <v>D</v>
      </c>
      <c r="K322" s="1" t="str">
        <f t="shared" si="39"/>
        <v>—</v>
      </c>
      <c r="L322" t="str">
        <f t="shared" si="40"/>
        <v>D+33.22</v>
      </c>
      <c r="M322">
        <f>COUNTIF($H$31:$H$465,"&gt;"&amp;H322)+COUNTIF($H$31:H322,H322)</f>
        <v>108</v>
      </c>
      <c r="N322" s="7">
        <f t="shared" si="41"/>
        <v>33.22</v>
      </c>
      <c r="O322">
        <f>COUNTIF($N$31:$N$465,"&lt;"&amp;N322)+COUNTIF($N$31:N322,N322)</f>
        <v>299</v>
      </c>
      <c r="P322" s="10">
        <f>'HOUSE DATA'!M295</f>
        <v>22.259999999999998</v>
      </c>
      <c r="Q322" t="str">
        <f>'HOUSE DATA'!N295</f>
        <v>2024 HOUSE / prior substitute</v>
      </c>
      <c r="R322" s="10">
        <f t="shared" si="42"/>
        <v>10.96</v>
      </c>
      <c r="S322" s="10">
        <f t="shared" si="43"/>
        <v>9.222449562684929</v>
      </c>
      <c r="T322" s="10">
        <f t="shared" si="44"/>
        <v>1.7375504373150719</v>
      </c>
      <c r="U322" t="s">
        <v>73</v>
      </c>
      <c r="W322" t="s">
        <v>74</v>
      </c>
      <c r="X322" t="s">
        <v>75</v>
      </c>
    </row>
    <row r="323" spans="1:24" x14ac:dyDescent="0.2">
      <c r="A323" t="str">
        <f>'HOUSE DATA'!A296</f>
        <v>NY-21</v>
      </c>
      <c r="B323" s="10">
        <f>'HOUSE DATA'!B296</f>
        <v>-10.925168095681041</v>
      </c>
      <c r="C323" s="10">
        <f t="shared" si="36"/>
        <v>-0.29999999999999893</v>
      </c>
      <c r="D323" s="10">
        <f>2*('HOUSE DATA'!D296*('HOUSE DASHBOARD'!$B$14-42.4)+'HOUSE DATA'!E296*('HOUSE DASHBOARD'!$B$15-54.2)+'HOUSE DATA'!F296*('HOUSE DASHBOARD'!$B$16-85.4)+'HOUSE DATA'!G296*('HOUSE DASHBOARD'!$B$17-60.7)+'HOUSE DATA'!H296*('HOUSE DASHBOARD'!$B$18-53.5))/100</f>
        <v>0</v>
      </c>
      <c r="E323" s="10">
        <f>2*('HOUSE DATA'!I296*('HOUSE DASHBOARD'!$B$21-55.6)+(100-'HOUSE DATA'!I296)*('HOUSE DASHBOARD'!$B$22-44.9))/100</f>
        <v>0</v>
      </c>
      <c r="F323" s="10">
        <f>0</f>
        <v>0</v>
      </c>
      <c r="G323" s="10">
        <f t="shared" si="37"/>
        <v>0</v>
      </c>
      <c r="H323" s="2">
        <f>'HOUSE DATA'!C296+C323+G323</f>
        <v>-10.099999999999998</v>
      </c>
      <c r="I323" s="3" t="str">
        <f t="shared" si="38"/>
        <v>R</v>
      </c>
      <c r="J323" s="1" t="str">
        <f>'HOUSE DATA'!K296</f>
        <v>R</v>
      </c>
      <c r="K323" s="1" t="str">
        <f t="shared" si="39"/>
        <v>—</v>
      </c>
      <c r="L323" t="str">
        <f t="shared" si="40"/>
        <v>R+10.10</v>
      </c>
      <c r="M323">
        <f>COUNTIF($H$31:$H$465,"&gt;"&amp;H323)+COUNTIF($H$31:H323,H323)</f>
        <v>299</v>
      </c>
      <c r="N323" s="7">
        <f t="shared" si="41"/>
        <v>10.099999999999998</v>
      </c>
      <c r="O323">
        <f>COUNTIF($N$31:$N$465,"&lt;"&amp;N323)+COUNTIF($N$31:N323,N323)</f>
        <v>87</v>
      </c>
      <c r="P323" s="10">
        <f>'HOUSE DATA'!M296</f>
        <v>-20.65</v>
      </c>
      <c r="Q323" t="str">
        <f>'HOUSE DATA'!N296</f>
        <v>2024 PRESIDENT (open seat)</v>
      </c>
      <c r="R323" s="10">
        <f t="shared" si="42"/>
        <v>10.55</v>
      </c>
      <c r="S323" s="10">
        <f t="shared" si="43"/>
        <v>9.7248319043189575</v>
      </c>
      <c r="T323" s="10">
        <f t="shared" si="44"/>
        <v>0.82516809568104321</v>
      </c>
      <c r="U323" t="s">
        <v>73</v>
      </c>
      <c r="W323" t="s">
        <v>74</v>
      </c>
      <c r="X323" t="s">
        <v>75</v>
      </c>
    </row>
    <row r="324" spans="1:24" x14ac:dyDescent="0.2">
      <c r="A324" t="str">
        <f>'HOUSE DATA'!A297</f>
        <v>NY-22</v>
      </c>
      <c r="B324" s="10">
        <f>'HOUSE DATA'!B297</f>
        <v>19.061503040166457</v>
      </c>
      <c r="C324" s="10">
        <f t="shared" si="36"/>
        <v>-0.29999999999999893</v>
      </c>
      <c r="D324" s="10">
        <f>2*('HOUSE DATA'!D297*('HOUSE DASHBOARD'!$B$14-42.4)+'HOUSE DATA'!E297*('HOUSE DASHBOARD'!$B$15-54.2)+'HOUSE DATA'!F297*('HOUSE DASHBOARD'!$B$16-85.4)+'HOUSE DATA'!G297*('HOUSE DASHBOARD'!$B$17-60.7)+'HOUSE DATA'!H297*('HOUSE DASHBOARD'!$B$18-53.5))/100</f>
        <v>0</v>
      </c>
      <c r="E324" s="10">
        <f>2*('HOUSE DATA'!I297*('HOUSE DASHBOARD'!$B$21-55.6)+(100-'HOUSE DATA'!I297)*('HOUSE DASHBOARD'!$B$22-44.9))/100</f>
        <v>0</v>
      </c>
      <c r="F324" s="10">
        <f>0</f>
        <v>0</v>
      </c>
      <c r="G324" s="10">
        <f t="shared" si="37"/>
        <v>0</v>
      </c>
      <c r="H324" s="2">
        <f>'HOUSE DATA'!C297+C324+G324</f>
        <v>20.079999999999991</v>
      </c>
      <c r="I324" s="3" t="str">
        <f t="shared" si="38"/>
        <v>D</v>
      </c>
      <c r="J324" s="1" t="str">
        <f>'HOUSE DATA'!K297</f>
        <v>D</v>
      </c>
      <c r="K324" s="1" t="str">
        <f t="shared" si="39"/>
        <v>—</v>
      </c>
      <c r="L324" t="str">
        <f t="shared" si="40"/>
        <v>D+20.08</v>
      </c>
      <c r="M324">
        <f>COUNTIF($H$31:$H$465,"&gt;"&amp;H324)+COUNTIF($H$31:H324,H324)</f>
        <v>170</v>
      </c>
      <c r="N324" s="7">
        <f t="shared" si="41"/>
        <v>20.079999999999991</v>
      </c>
      <c r="O324">
        <f>COUNTIF($N$31:$N$465,"&lt;"&amp;N324)+COUNTIF($N$31:N324,N324)</f>
        <v>187</v>
      </c>
      <c r="P324" s="10">
        <f>'HOUSE DATA'!M297</f>
        <v>9.1199999999999903</v>
      </c>
      <c r="Q324" t="str">
        <f>'HOUSE DATA'!N297</f>
        <v>2024 HOUSE / prior substitute</v>
      </c>
      <c r="R324" s="10">
        <f t="shared" si="42"/>
        <v>10.96</v>
      </c>
      <c r="S324" s="10">
        <f t="shared" si="43"/>
        <v>9.9415030401664666</v>
      </c>
      <c r="T324" s="10">
        <f t="shared" si="44"/>
        <v>1.0184969598335343</v>
      </c>
      <c r="U324" t="s">
        <v>73</v>
      </c>
      <c r="W324" t="s">
        <v>74</v>
      </c>
      <c r="X324" t="s">
        <v>75</v>
      </c>
    </row>
    <row r="325" spans="1:24" x14ac:dyDescent="0.2">
      <c r="A325" t="str">
        <f>'HOUSE DATA'!A298</f>
        <v>NY-23</v>
      </c>
      <c r="B325" s="10">
        <f>'HOUSE DATA'!B298</f>
        <v>-22.0015078264096</v>
      </c>
      <c r="C325" s="10">
        <f t="shared" si="36"/>
        <v>-0.29999999999999893</v>
      </c>
      <c r="D325" s="10">
        <f>2*('HOUSE DATA'!D298*('HOUSE DASHBOARD'!$B$14-42.4)+'HOUSE DATA'!E298*('HOUSE DASHBOARD'!$B$15-54.2)+'HOUSE DATA'!F298*('HOUSE DASHBOARD'!$B$16-85.4)+'HOUSE DATA'!G298*('HOUSE DASHBOARD'!$B$17-60.7)+'HOUSE DATA'!H298*('HOUSE DASHBOARD'!$B$18-53.5))/100</f>
        <v>0</v>
      </c>
      <c r="E325" s="10">
        <f>2*('HOUSE DATA'!I298*('HOUSE DASHBOARD'!$B$21-55.6)+(100-'HOUSE DATA'!I298)*('HOUSE DASHBOARD'!$B$22-44.9))/100</f>
        <v>0</v>
      </c>
      <c r="F325" s="10">
        <f>0</f>
        <v>0</v>
      </c>
      <c r="G325" s="10">
        <f t="shared" si="37"/>
        <v>0</v>
      </c>
      <c r="H325" s="2">
        <f>'HOUSE DATA'!C298+C325+G325</f>
        <v>-20.660000000000004</v>
      </c>
      <c r="I325" s="3" t="str">
        <f t="shared" si="38"/>
        <v>R</v>
      </c>
      <c r="J325" s="1" t="str">
        <f>'HOUSE DATA'!K298</f>
        <v>R</v>
      </c>
      <c r="K325" s="1" t="str">
        <f t="shared" si="39"/>
        <v>—</v>
      </c>
      <c r="L325" t="str">
        <f t="shared" si="40"/>
        <v>R+20.66</v>
      </c>
      <c r="M325">
        <f>COUNTIF($H$31:$H$465,"&gt;"&amp;H325)+COUNTIF($H$31:H325,H325)</f>
        <v>359</v>
      </c>
      <c r="N325" s="7">
        <f t="shared" si="41"/>
        <v>20.660000000000004</v>
      </c>
      <c r="O325">
        <f>COUNTIF($N$31:$N$465,"&lt;"&amp;N325)+COUNTIF($N$31:N325,N325)</f>
        <v>193</v>
      </c>
      <c r="P325" s="10">
        <f>'HOUSE DATA'!M298</f>
        <v>-31.620000000000005</v>
      </c>
      <c r="Q325" t="str">
        <f>'HOUSE DATA'!N298</f>
        <v>2024 HOUSE / prior substitute</v>
      </c>
      <c r="R325" s="10">
        <f t="shared" si="42"/>
        <v>10.96</v>
      </c>
      <c r="S325" s="10">
        <f t="shared" si="43"/>
        <v>9.6184921735904041</v>
      </c>
      <c r="T325" s="10">
        <f t="shared" si="44"/>
        <v>1.3415078264095968</v>
      </c>
      <c r="U325" t="s">
        <v>73</v>
      </c>
      <c r="W325" t="s">
        <v>74</v>
      </c>
      <c r="X325" t="s">
        <v>75</v>
      </c>
    </row>
    <row r="326" spans="1:24" x14ac:dyDescent="0.2">
      <c r="A326" t="str">
        <f>'HOUSE DATA'!A299</f>
        <v>NY-24</v>
      </c>
      <c r="B326" s="10">
        <f>'HOUSE DATA'!B299</f>
        <v>-21.584160449355544</v>
      </c>
      <c r="C326" s="10">
        <f t="shared" si="36"/>
        <v>-0.29999999999999893</v>
      </c>
      <c r="D326" s="10">
        <f>2*('HOUSE DATA'!D299*('HOUSE DASHBOARD'!$B$14-42.4)+'HOUSE DATA'!E299*('HOUSE DASHBOARD'!$B$15-54.2)+'HOUSE DATA'!F299*('HOUSE DASHBOARD'!$B$16-85.4)+'HOUSE DATA'!G299*('HOUSE DASHBOARD'!$B$17-60.7)+'HOUSE DATA'!H299*('HOUSE DASHBOARD'!$B$18-53.5))/100</f>
        <v>0</v>
      </c>
      <c r="E326" s="10">
        <f>2*('HOUSE DATA'!I299*('HOUSE DASHBOARD'!$B$21-55.6)+(100-'HOUSE DATA'!I299)*('HOUSE DASHBOARD'!$B$22-44.9))/100</f>
        <v>0</v>
      </c>
      <c r="F326" s="10">
        <f>0</f>
        <v>0</v>
      </c>
      <c r="G326" s="10">
        <f t="shared" si="37"/>
        <v>0</v>
      </c>
      <c r="H326" s="2">
        <f>'HOUSE DATA'!C299+C326+G326</f>
        <v>-20.380000000000003</v>
      </c>
      <c r="I326" s="3" t="str">
        <f t="shared" si="38"/>
        <v>R</v>
      </c>
      <c r="J326" s="1" t="str">
        <f>'HOUSE DATA'!K299</f>
        <v>R</v>
      </c>
      <c r="K326" s="1" t="str">
        <f t="shared" si="39"/>
        <v>—</v>
      </c>
      <c r="L326" t="str">
        <f t="shared" si="40"/>
        <v>R+20.38</v>
      </c>
      <c r="M326">
        <f>COUNTIF($H$31:$H$465,"&gt;"&amp;H326)+COUNTIF($H$31:H326,H326)</f>
        <v>358</v>
      </c>
      <c r="N326" s="7">
        <f t="shared" si="41"/>
        <v>20.380000000000003</v>
      </c>
      <c r="O326">
        <f>COUNTIF($N$31:$N$465,"&lt;"&amp;N326)+COUNTIF($N$31:N326,N326)</f>
        <v>192</v>
      </c>
      <c r="P326" s="10">
        <f>'HOUSE DATA'!M299</f>
        <v>-31.340000000000003</v>
      </c>
      <c r="Q326" t="str">
        <f>'HOUSE DATA'!N299</f>
        <v>2024 HOUSE / prior substitute</v>
      </c>
      <c r="R326" s="10">
        <f t="shared" si="42"/>
        <v>10.96</v>
      </c>
      <c r="S326" s="10">
        <f t="shared" si="43"/>
        <v>9.7558395506444597</v>
      </c>
      <c r="T326" s="10">
        <f t="shared" si="44"/>
        <v>1.2041604493555411</v>
      </c>
      <c r="U326" t="s">
        <v>73</v>
      </c>
      <c r="W326" t="s">
        <v>74</v>
      </c>
      <c r="X326" t="s">
        <v>75</v>
      </c>
    </row>
    <row r="327" spans="1:24" x14ac:dyDescent="0.2">
      <c r="A327" t="str">
        <f>'HOUSE DATA'!A300</f>
        <v>NY-25</v>
      </c>
      <c r="B327" s="10">
        <f>'HOUSE DATA'!B300</f>
        <v>32.089282502093091</v>
      </c>
      <c r="C327" s="10">
        <f t="shared" si="36"/>
        <v>-0.29999999999999893</v>
      </c>
      <c r="D327" s="10">
        <f>2*('HOUSE DATA'!D300*('HOUSE DASHBOARD'!$B$14-42.4)+'HOUSE DATA'!E300*('HOUSE DASHBOARD'!$B$15-54.2)+'HOUSE DATA'!F300*('HOUSE DASHBOARD'!$B$16-85.4)+'HOUSE DATA'!G300*('HOUSE DASHBOARD'!$B$17-60.7)+'HOUSE DATA'!H300*('HOUSE DASHBOARD'!$B$18-53.5))/100</f>
        <v>0</v>
      </c>
      <c r="E327" s="10">
        <f>2*('HOUSE DATA'!I300*('HOUSE DASHBOARD'!$B$21-55.6)+(100-'HOUSE DATA'!I300)*('HOUSE DASHBOARD'!$B$22-44.9))/100</f>
        <v>0</v>
      </c>
      <c r="F327" s="10">
        <f>0</f>
        <v>0</v>
      </c>
      <c r="G327" s="10">
        <f t="shared" si="37"/>
        <v>0</v>
      </c>
      <c r="H327" s="2">
        <f>'HOUSE DATA'!C300+C327+G327</f>
        <v>32.599999999999994</v>
      </c>
      <c r="I327" s="3" t="str">
        <f t="shared" si="38"/>
        <v>D</v>
      </c>
      <c r="J327" s="1" t="str">
        <f>'HOUSE DATA'!K300</f>
        <v>D</v>
      </c>
      <c r="K327" s="1" t="str">
        <f t="shared" si="39"/>
        <v>—</v>
      </c>
      <c r="L327" t="str">
        <f t="shared" si="40"/>
        <v>D+32.60</v>
      </c>
      <c r="M327">
        <f>COUNTIF($H$31:$H$465,"&gt;"&amp;H327)+COUNTIF($H$31:H327,H327)</f>
        <v>110</v>
      </c>
      <c r="N327" s="7">
        <f t="shared" si="41"/>
        <v>32.599999999999994</v>
      </c>
      <c r="O327">
        <f>COUNTIF($N$31:$N$465,"&lt;"&amp;N327)+COUNTIF($N$31:N327,N327)</f>
        <v>295</v>
      </c>
      <c r="P327" s="10">
        <f>'HOUSE DATA'!M300</f>
        <v>21.639999999999993</v>
      </c>
      <c r="Q327" t="str">
        <f>'HOUSE DATA'!N300</f>
        <v>2024 HOUSE / prior substitute</v>
      </c>
      <c r="R327" s="10">
        <f t="shared" si="42"/>
        <v>10.96</v>
      </c>
      <c r="S327" s="10">
        <f t="shared" si="43"/>
        <v>10.449282502093098</v>
      </c>
      <c r="T327" s="10">
        <f t="shared" si="44"/>
        <v>0.51071749790690291</v>
      </c>
      <c r="U327" t="s">
        <v>73</v>
      </c>
      <c r="W327" t="s">
        <v>74</v>
      </c>
      <c r="X327" t="s">
        <v>75</v>
      </c>
    </row>
    <row r="328" spans="1:24" x14ac:dyDescent="0.2">
      <c r="A328" t="str">
        <f>'HOUSE DATA'!A301</f>
        <v>NY-26</v>
      </c>
      <c r="B328" s="10">
        <f>'HOUSE DATA'!B301</f>
        <v>41.16007004489655</v>
      </c>
      <c r="C328" s="10">
        <f t="shared" si="36"/>
        <v>-0.29999999999999893</v>
      </c>
      <c r="D328" s="10">
        <f>2*('HOUSE DATA'!D301*('HOUSE DASHBOARD'!$B$14-42.4)+'HOUSE DATA'!E301*('HOUSE DASHBOARD'!$B$15-54.2)+'HOUSE DATA'!F301*('HOUSE DASHBOARD'!$B$16-85.4)+'HOUSE DATA'!G301*('HOUSE DASHBOARD'!$B$17-60.7)+'HOUSE DATA'!H301*('HOUSE DASHBOARD'!$B$18-53.5))/100</f>
        <v>0</v>
      </c>
      <c r="E328" s="10">
        <f>2*('HOUSE DATA'!I301*('HOUSE DASHBOARD'!$B$21-55.6)+(100-'HOUSE DATA'!I301)*('HOUSE DASHBOARD'!$B$22-44.9))/100</f>
        <v>0</v>
      </c>
      <c r="F328" s="10">
        <f>0</f>
        <v>0</v>
      </c>
      <c r="G328" s="10">
        <f t="shared" si="37"/>
        <v>0</v>
      </c>
      <c r="H328" s="2">
        <f>'HOUSE DATA'!C301+C328+G328</f>
        <v>41.29999999999999</v>
      </c>
      <c r="I328" s="3" t="str">
        <f t="shared" si="38"/>
        <v>D</v>
      </c>
      <c r="J328" s="1" t="str">
        <f>'HOUSE DATA'!K301</f>
        <v>D</v>
      </c>
      <c r="K328" s="1" t="str">
        <f t="shared" si="39"/>
        <v>—</v>
      </c>
      <c r="L328" t="str">
        <f t="shared" si="40"/>
        <v>D+41.30</v>
      </c>
      <c r="M328">
        <f>COUNTIF($H$31:$H$465,"&gt;"&amp;H328)+COUNTIF($H$31:H328,H328)</f>
        <v>85</v>
      </c>
      <c r="N328" s="7">
        <f t="shared" si="41"/>
        <v>41.29999999999999</v>
      </c>
      <c r="O328">
        <f>COUNTIF($N$31:$N$465,"&lt;"&amp;N328)+COUNTIF($N$31:N328,N328)</f>
        <v>338</v>
      </c>
      <c r="P328" s="10">
        <f>'HOUSE DATA'!M301</f>
        <v>30.339999999999989</v>
      </c>
      <c r="Q328" t="str">
        <f>'HOUSE DATA'!N301</f>
        <v>2024 HOUSE / prior substitute</v>
      </c>
      <c r="R328" s="10">
        <f t="shared" si="42"/>
        <v>10.96</v>
      </c>
      <c r="S328" s="10">
        <f t="shared" si="43"/>
        <v>10.820070044896561</v>
      </c>
      <c r="T328" s="10">
        <f t="shared" si="44"/>
        <v>0.13992995510344031</v>
      </c>
      <c r="U328" t="s">
        <v>73</v>
      </c>
      <c r="W328" t="s">
        <v>74</v>
      </c>
      <c r="X328" t="s">
        <v>75</v>
      </c>
    </row>
    <row r="329" spans="1:24" x14ac:dyDescent="0.2">
      <c r="A329" t="str">
        <f>'HOUSE DATA'!A302</f>
        <v>OH-01</v>
      </c>
      <c r="B329" s="10">
        <f>'HOUSE DATA'!B302</f>
        <v>9.2558033222446898</v>
      </c>
      <c r="C329" s="10">
        <f t="shared" si="36"/>
        <v>-0.29999999999999893</v>
      </c>
      <c r="D329" s="10">
        <f>2*('HOUSE DATA'!D302*('HOUSE DASHBOARD'!$B$14-42.4)+'HOUSE DATA'!E302*('HOUSE DASHBOARD'!$B$15-54.2)+'HOUSE DATA'!F302*('HOUSE DASHBOARD'!$B$16-85.4)+'HOUSE DATA'!G302*('HOUSE DASHBOARD'!$B$17-60.7)+'HOUSE DATA'!H302*('HOUSE DASHBOARD'!$B$18-53.5))/100</f>
        <v>0</v>
      </c>
      <c r="E329" s="10">
        <f>2*('HOUSE DATA'!I302*('HOUSE DASHBOARD'!$B$21-55.6)+(100-'HOUSE DATA'!I302)*('HOUSE DASHBOARD'!$B$22-44.9))/100</f>
        <v>0</v>
      </c>
      <c r="F329" s="10">
        <f>0</f>
        <v>0</v>
      </c>
      <c r="G329" s="10">
        <f t="shared" si="37"/>
        <v>0</v>
      </c>
      <c r="H329" s="2">
        <f>'HOUSE DATA'!C302+C329+G329</f>
        <v>10.559999999999995</v>
      </c>
      <c r="I329" s="3" t="str">
        <f t="shared" si="38"/>
        <v>D</v>
      </c>
      <c r="J329" s="1" t="str">
        <f>'HOUSE DATA'!K302</f>
        <v>D</v>
      </c>
      <c r="K329" s="1" t="str">
        <f t="shared" si="39"/>
        <v>—</v>
      </c>
      <c r="L329" t="str">
        <f t="shared" si="40"/>
        <v>D+10.56</v>
      </c>
      <c r="M329">
        <f>COUNTIF($H$31:$H$465,"&gt;"&amp;H329)+COUNTIF($H$31:H329,H329)</f>
        <v>210</v>
      </c>
      <c r="N329" s="7">
        <f t="shared" si="41"/>
        <v>10.559999999999995</v>
      </c>
      <c r="O329">
        <f>COUNTIF($N$31:$N$465,"&lt;"&amp;N329)+COUNTIF($N$31:N329,N329)</f>
        <v>96</v>
      </c>
      <c r="P329" s="10">
        <f>'HOUSE DATA'!M302</f>
        <v>-0.40000000000000568</v>
      </c>
      <c r="Q329" t="str">
        <f>'HOUSE DATA'!N302</f>
        <v>2024 HOUSE / prior substitute</v>
      </c>
      <c r="R329" s="10">
        <f t="shared" si="42"/>
        <v>10.96</v>
      </c>
      <c r="S329" s="10">
        <f t="shared" si="43"/>
        <v>9.6558033222446955</v>
      </c>
      <c r="T329" s="10">
        <f t="shared" si="44"/>
        <v>1.3041966777553053</v>
      </c>
      <c r="U329" t="s">
        <v>73</v>
      </c>
      <c r="W329" t="s">
        <v>74</v>
      </c>
      <c r="X329" t="s">
        <v>75</v>
      </c>
    </row>
    <row r="330" spans="1:24" x14ac:dyDescent="0.2">
      <c r="A330" t="str">
        <f>'HOUSE DATA'!A303</f>
        <v>OH-02</v>
      </c>
      <c r="B330" s="10">
        <f>'HOUSE DATA'!B303</f>
        <v>-31.435737325698373</v>
      </c>
      <c r="C330" s="10">
        <f t="shared" si="36"/>
        <v>-0.29999999999999893</v>
      </c>
      <c r="D330" s="10">
        <f>2*('HOUSE DATA'!D303*('HOUSE DASHBOARD'!$B$14-42.4)+'HOUSE DATA'!E303*('HOUSE DASHBOARD'!$B$15-54.2)+'HOUSE DATA'!F303*('HOUSE DASHBOARD'!$B$16-85.4)+'HOUSE DATA'!G303*('HOUSE DASHBOARD'!$B$17-60.7)+'HOUSE DATA'!H303*('HOUSE DASHBOARD'!$B$18-53.5))/100</f>
        <v>0</v>
      </c>
      <c r="E330" s="10">
        <f>2*('HOUSE DATA'!I303*('HOUSE DASHBOARD'!$B$21-55.6)+(100-'HOUSE DATA'!I303)*('HOUSE DASHBOARD'!$B$22-44.9))/100</f>
        <v>0</v>
      </c>
      <c r="F330" s="10">
        <f>0</f>
        <v>0</v>
      </c>
      <c r="G330" s="10">
        <f t="shared" si="37"/>
        <v>0</v>
      </c>
      <c r="H330" s="2">
        <f>'HOUSE DATA'!C303+C330+G330</f>
        <v>-30.440000000000005</v>
      </c>
      <c r="I330" s="3" t="str">
        <f t="shared" si="38"/>
        <v>R</v>
      </c>
      <c r="J330" s="1" t="str">
        <f>'HOUSE DATA'!K303</f>
        <v>R</v>
      </c>
      <c r="K330" s="1" t="str">
        <f t="shared" si="39"/>
        <v>—</v>
      </c>
      <c r="L330" t="str">
        <f t="shared" si="40"/>
        <v>R+30.44</v>
      </c>
      <c r="M330">
        <f>COUNTIF($H$31:$H$465,"&gt;"&amp;H330)+COUNTIF($H$31:H330,H330)</f>
        <v>403</v>
      </c>
      <c r="N330" s="7">
        <f t="shared" si="41"/>
        <v>30.440000000000005</v>
      </c>
      <c r="O330">
        <f>COUNTIF($N$31:$N$465,"&lt;"&amp;N330)+COUNTIF($N$31:N330,N330)</f>
        <v>280</v>
      </c>
      <c r="P330" s="10">
        <f>'HOUSE DATA'!M303</f>
        <v>-41.400000000000006</v>
      </c>
      <c r="Q330" t="str">
        <f>'HOUSE DATA'!N303</f>
        <v>2024 HOUSE / prior substitute</v>
      </c>
      <c r="R330" s="10">
        <f t="shared" si="42"/>
        <v>10.96</v>
      </c>
      <c r="S330" s="10">
        <f t="shared" si="43"/>
        <v>9.9642626743016329</v>
      </c>
      <c r="T330" s="10">
        <f t="shared" si="44"/>
        <v>0.99573732569836793</v>
      </c>
      <c r="U330" t="s">
        <v>73</v>
      </c>
      <c r="W330" t="s">
        <v>74</v>
      </c>
      <c r="X330" t="s">
        <v>75</v>
      </c>
    </row>
    <row r="331" spans="1:24" x14ac:dyDescent="0.2">
      <c r="A331" t="str">
        <f>'HOUSE DATA'!A304</f>
        <v>OH-03</v>
      </c>
      <c r="B331" s="10">
        <f>'HOUSE DATA'!B304</f>
        <v>52.185604532718202</v>
      </c>
      <c r="C331" s="10">
        <f t="shared" si="36"/>
        <v>-0.29999999999999893</v>
      </c>
      <c r="D331" s="10">
        <f>2*('HOUSE DATA'!D304*('HOUSE DASHBOARD'!$B$14-42.4)+'HOUSE DATA'!E304*('HOUSE DASHBOARD'!$B$15-54.2)+'HOUSE DATA'!F304*('HOUSE DASHBOARD'!$B$16-85.4)+'HOUSE DATA'!G304*('HOUSE DASHBOARD'!$B$17-60.7)+'HOUSE DATA'!H304*('HOUSE DASHBOARD'!$B$18-53.5))/100</f>
        <v>0</v>
      </c>
      <c r="E331" s="10">
        <f>2*('HOUSE DATA'!I304*('HOUSE DASHBOARD'!$B$21-55.6)+(100-'HOUSE DATA'!I304)*('HOUSE DASHBOARD'!$B$22-44.9))/100</f>
        <v>0</v>
      </c>
      <c r="F331" s="10">
        <f>0</f>
        <v>0</v>
      </c>
      <c r="G331" s="10">
        <f t="shared" si="37"/>
        <v>0</v>
      </c>
      <c r="H331" s="2">
        <f>'HOUSE DATA'!C304+C331+G331</f>
        <v>52.360000000000007</v>
      </c>
      <c r="I331" s="3" t="str">
        <f t="shared" si="38"/>
        <v>D</v>
      </c>
      <c r="J331" s="1" t="str">
        <f>'HOUSE DATA'!K304</f>
        <v>D</v>
      </c>
      <c r="K331" s="1" t="str">
        <f t="shared" si="39"/>
        <v>—</v>
      </c>
      <c r="L331" t="str">
        <f t="shared" si="40"/>
        <v>D+52.36</v>
      </c>
      <c r="M331">
        <f>COUNTIF($H$31:$H$465,"&gt;"&amp;H331)+COUNTIF($H$31:H331,H331)</f>
        <v>51</v>
      </c>
      <c r="N331" s="7">
        <f t="shared" si="41"/>
        <v>52.360000000000007</v>
      </c>
      <c r="O331">
        <f>COUNTIF($N$31:$N$465,"&lt;"&amp;N331)+COUNTIF($N$31:N331,N331)</f>
        <v>375</v>
      </c>
      <c r="P331" s="10">
        <f>'HOUSE DATA'!M304</f>
        <v>41.400000000000006</v>
      </c>
      <c r="Q331" t="str">
        <f>'HOUSE DATA'!N304</f>
        <v>2024 HOUSE / prior substitute</v>
      </c>
      <c r="R331" s="10">
        <f t="shared" si="42"/>
        <v>10.96</v>
      </c>
      <c r="S331" s="10">
        <f t="shared" si="43"/>
        <v>10.785604532718196</v>
      </c>
      <c r="T331" s="10">
        <f t="shared" si="44"/>
        <v>0.17439546728180488</v>
      </c>
      <c r="U331" t="s">
        <v>73</v>
      </c>
      <c r="W331" t="s">
        <v>74</v>
      </c>
      <c r="X331" t="s">
        <v>75</v>
      </c>
    </row>
    <row r="332" spans="1:24" x14ac:dyDescent="0.2">
      <c r="A332" t="str">
        <f>'HOUSE DATA'!A305</f>
        <v>OH-04</v>
      </c>
      <c r="B332" s="10">
        <f>'HOUSE DATA'!B305</f>
        <v>-34.29229471265343</v>
      </c>
      <c r="C332" s="10">
        <f t="shared" si="36"/>
        <v>-0.29999999999999893</v>
      </c>
      <c r="D332" s="10">
        <f>2*('HOUSE DATA'!D305*('HOUSE DASHBOARD'!$B$14-42.4)+'HOUSE DATA'!E305*('HOUSE DASHBOARD'!$B$15-54.2)+'HOUSE DATA'!F305*('HOUSE DASHBOARD'!$B$16-85.4)+'HOUSE DATA'!G305*('HOUSE DASHBOARD'!$B$17-60.7)+'HOUSE DATA'!H305*('HOUSE DASHBOARD'!$B$18-53.5))/100</f>
        <v>0</v>
      </c>
      <c r="E332" s="10">
        <f>2*('HOUSE DATA'!I305*('HOUSE DASHBOARD'!$B$21-55.6)+(100-'HOUSE DATA'!I305)*('HOUSE DASHBOARD'!$B$22-44.9))/100</f>
        <v>0</v>
      </c>
      <c r="F332" s="10">
        <f>0</f>
        <v>0</v>
      </c>
      <c r="G332" s="10">
        <f t="shared" si="37"/>
        <v>0</v>
      </c>
      <c r="H332" s="2">
        <f>'HOUSE DATA'!C305+C332+G332</f>
        <v>-32.6708926780341</v>
      </c>
      <c r="I332" s="3" t="str">
        <f t="shared" si="38"/>
        <v>R</v>
      </c>
      <c r="J332" s="1" t="str">
        <f>'HOUSE DATA'!K305</f>
        <v>R</v>
      </c>
      <c r="K332" s="1" t="str">
        <f t="shared" si="39"/>
        <v>—</v>
      </c>
      <c r="L332" t="str">
        <f t="shared" si="40"/>
        <v>R+32.67</v>
      </c>
      <c r="M332">
        <f>COUNTIF($H$31:$H$465,"&gt;"&amp;H332)+COUNTIF($H$31:H332,H332)</f>
        <v>408</v>
      </c>
      <c r="N332" s="7">
        <f t="shared" si="41"/>
        <v>32.6708926780341</v>
      </c>
      <c r="O332">
        <f>COUNTIF($N$31:$N$465,"&lt;"&amp;N332)+COUNTIF($N$31:N332,N332)</f>
        <v>296</v>
      </c>
      <c r="P332" s="10">
        <f>'HOUSE DATA'!M305</f>
        <v>-43.630892678034101</v>
      </c>
      <c r="Q332" t="str">
        <f>'HOUSE DATA'!N305</f>
        <v>2024 HOUSE / prior substitute</v>
      </c>
      <c r="R332" s="10">
        <f t="shared" si="42"/>
        <v>10.96</v>
      </c>
      <c r="S332" s="10">
        <f t="shared" si="43"/>
        <v>9.3385979653806714</v>
      </c>
      <c r="T332" s="10">
        <f t="shared" si="44"/>
        <v>1.6214020346193294</v>
      </c>
      <c r="U332" t="s">
        <v>73</v>
      </c>
      <c r="W332" t="s">
        <v>74</v>
      </c>
      <c r="X332" t="s">
        <v>75</v>
      </c>
    </row>
    <row r="333" spans="1:24" x14ac:dyDescent="0.2">
      <c r="A333" t="str">
        <f>'HOUSE DATA'!A306</f>
        <v>OH-05</v>
      </c>
      <c r="B333" s="10">
        <f>'HOUSE DATA'!B306</f>
        <v>-16.845172753607461</v>
      </c>
      <c r="C333" s="10">
        <f t="shared" si="36"/>
        <v>-0.29999999999999893</v>
      </c>
      <c r="D333" s="10">
        <f>2*('HOUSE DATA'!D306*('HOUSE DASHBOARD'!$B$14-42.4)+'HOUSE DATA'!E306*('HOUSE DASHBOARD'!$B$15-54.2)+'HOUSE DATA'!F306*('HOUSE DASHBOARD'!$B$16-85.4)+'HOUSE DATA'!G306*('HOUSE DASHBOARD'!$B$17-60.7)+'HOUSE DATA'!H306*('HOUSE DASHBOARD'!$B$18-53.5))/100</f>
        <v>0</v>
      </c>
      <c r="E333" s="10">
        <f>2*('HOUSE DATA'!I306*('HOUSE DASHBOARD'!$B$21-55.6)+(100-'HOUSE DATA'!I306)*('HOUSE DASHBOARD'!$B$22-44.9))/100</f>
        <v>0</v>
      </c>
      <c r="F333" s="10">
        <f>0</f>
        <v>0</v>
      </c>
      <c r="G333" s="10">
        <f t="shared" si="37"/>
        <v>0</v>
      </c>
      <c r="H333" s="2">
        <f>'HOUSE DATA'!C306+C333+G333</f>
        <v>-16.075175879396987</v>
      </c>
      <c r="I333" s="3" t="str">
        <f t="shared" si="38"/>
        <v>R</v>
      </c>
      <c r="J333" s="1" t="str">
        <f>'HOUSE DATA'!K306</f>
        <v>R</v>
      </c>
      <c r="K333" s="1" t="str">
        <f t="shared" si="39"/>
        <v>—</v>
      </c>
      <c r="L333" t="str">
        <f t="shared" si="40"/>
        <v>R+16.08</v>
      </c>
      <c r="M333">
        <f>COUNTIF($H$31:$H$465,"&gt;"&amp;H333)+COUNTIF($H$31:H333,H333)</f>
        <v>337</v>
      </c>
      <c r="N333" s="7">
        <f t="shared" si="41"/>
        <v>16.075175879396987</v>
      </c>
      <c r="O333">
        <f>COUNTIF($N$31:$N$465,"&lt;"&amp;N333)+COUNTIF($N$31:N333,N333)</f>
        <v>145</v>
      </c>
      <c r="P333" s="10">
        <f>'HOUSE DATA'!M306</f>
        <v>-27.035175879396988</v>
      </c>
      <c r="Q333" t="str">
        <f>'HOUSE DATA'!N306</f>
        <v>2024 HOUSE / prior substitute</v>
      </c>
      <c r="R333" s="10">
        <f t="shared" si="42"/>
        <v>10.96</v>
      </c>
      <c r="S333" s="10">
        <f t="shared" si="43"/>
        <v>10.190003125789527</v>
      </c>
      <c r="T333" s="10">
        <f t="shared" si="44"/>
        <v>0.76999687421047369</v>
      </c>
      <c r="U333" t="s">
        <v>73</v>
      </c>
      <c r="W333" t="s">
        <v>74</v>
      </c>
      <c r="X333" t="s">
        <v>75</v>
      </c>
    </row>
    <row r="334" spans="1:24" x14ac:dyDescent="0.2">
      <c r="A334" t="str">
        <f>'HOUSE DATA'!A307</f>
        <v>OH-06</v>
      </c>
      <c r="B334" s="10">
        <f>'HOUSE DATA'!B307</f>
        <v>-23.882368058270078</v>
      </c>
      <c r="C334" s="10">
        <f t="shared" si="36"/>
        <v>-0.29999999999999893</v>
      </c>
      <c r="D334" s="10">
        <f>2*('HOUSE DATA'!D307*('HOUSE DASHBOARD'!$B$14-42.4)+'HOUSE DATA'!E307*('HOUSE DASHBOARD'!$B$15-54.2)+'HOUSE DATA'!F307*('HOUSE DASHBOARD'!$B$16-85.4)+'HOUSE DATA'!G307*('HOUSE DASHBOARD'!$B$17-60.7)+'HOUSE DATA'!H307*('HOUSE DASHBOARD'!$B$18-53.5))/100</f>
        <v>0</v>
      </c>
      <c r="E334" s="10">
        <f>2*('HOUSE DATA'!I307*('HOUSE DASHBOARD'!$B$21-55.6)+(100-'HOUSE DATA'!I307)*('HOUSE DASHBOARD'!$B$22-44.9))/100</f>
        <v>0</v>
      </c>
      <c r="F334" s="10">
        <f>0</f>
        <v>0</v>
      </c>
      <c r="G334" s="10">
        <f t="shared" si="37"/>
        <v>0</v>
      </c>
      <c r="H334" s="2">
        <f>'HOUSE DATA'!C307+C334+G334</f>
        <v>-23.443209628886663</v>
      </c>
      <c r="I334" s="3" t="str">
        <f t="shared" si="38"/>
        <v>R</v>
      </c>
      <c r="J334" s="1" t="str">
        <f>'HOUSE DATA'!K307</f>
        <v>R</v>
      </c>
      <c r="K334" s="1" t="str">
        <f t="shared" si="39"/>
        <v>—</v>
      </c>
      <c r="L334" t="str">
        <f t="shared" si="40"/>
        <v>R+23.44</v>
      </c>
      <c r="M334">
        <f>COUNTIF($H$31:$H$465,"&gt;"&amp;H334)+COUNTIF($H$31:H334,H334)</f>
        <v>376</v>
      </c>
      <c r="N334" s="7">
        <f t="shared" si="41"/>
        <v>23.443209628886663</v>
      </c>
      <c r="O334">
        <f>COUNTIF($N$31:$N$465,"&lt;"&amp;N334)+COUNTIF($N$31:N334,N334)</f>
        <v>219</v>
      </c>
      <c r="P334" s="10">
        <f>'HOUSE DATA'!M307</f>
        <v>-34.403209628886664</v>
      </c>
      <c r="Q334" t="str">
        <f>'HOUSE DATA'!N307</f>
        <v>2024 HOUSE / prior substitute</v>
      </c>
      <c r="R334" s="10">
        <f t="shared" si="42"/>
        <v>10.96</v>
      </c>
      <c r="S334" s="10">
        <f t="shared" si="43"/>
        <v>10.520841570616586</v>
      </c>
      <c r="T334" s="10">
        <f t="shared" si="44"/>
        <v>0.43915842938341498</v>
      </c>
      <c r="U334" t="s">
        <v>73</v>
      </c>
      <c r="W334" t="s">
        <v>74</v>
      </c>
      <c r="X334" t="s">
        <v>75</v>
      </c>
    </row>
    <row r="335" spans="1:24" x14ac:dyDescent="0.2">
      <c r="A335" t="str">
        <f>'HOUSE DATA'!A308</f>
        <v>OH-07</v>
      </c>
      <c r="B335" s="10">
        <f>'HOUSE DATA'!B308</f>
        <v>-2.4606430008721816</v>
      </c>
      <c r="C335" s="10">
        <f t="shared" si="36"/>
        <v>-0.29999999999999893</v>
      </c>
      <c r="D335" s="10">
        <f>2*('HOUSE DATA'!D308*('HOUSE DASHBOARD'!$B$14-42.4)+'HOUSE DATA'!E308*('HOUSE DASHBOARD'!$B$15-54.2)+'HOUSE DATA'!F308*('HOUSE DASHBOARD'!$B$16-85.4)+'HOUSE DATA'!G308*('HOUSE DASHBOARD'!$B$17-60.7)+'HOUSE DATA'!H308*('HOUSE DASHBOARD'!$B$18-53.5))/100</f>
        <v>0</v>
      </c>
      <c r="E335" s="10">
        <f>2*('HOUSE DATA'!I308*('HOUSE DASHBOARD'!$B$21-55.6)+(100-'HOUSE DATA'!I308)*('HOUSE DASHBOARD'!$B$22-44.9))/100</f>
        <v>0</v>
      </c>
      <c r="F335" s="10">
        <f>0</f>
        <v>0</v>
      </c>
      <c r="G335" s="10">
        <f t="shared" si="37"/>
        <v>0</v>
      </c>
      <c r="H335" s="2">
        <f>'HOUSE DATA'!C308+C335+G335</f>
        <v>-0.12870967741935874</v>
      </c>
      <c r="I335" s="3" t="str">
        <f t="shared" si="38"/>
        <v>R</v>
      </c>
      <c r="J335" s="1" t="str">
        <f>'HOUSE DATA'!K308</f>
        <v>R</v>
      </c>
      <c r="K335" s="1" t="str">
        <f t="shared" si="39"/>
        <v>—</v>
      </c>
      <c r="L335" t="str">
        <f t="shared" si="40"/>
        <v>R+0.13</v>
      </c>
      <c r="M335">
        <f>COUNTIF($H$31:$H$465,"&gt;"&amp;H335)+COUNTIF($H$31:H335,H335)</f>
        <v>236</v>
      </c>
      <c r="N335" s="7">
        <f t="shared" si="41"/>
        <v>0.12870967741935874</v>
      </c>
      <c r="O335">
        <f>COUNTIF($N$31:$N$465,"&lt;"&amp;N335)+COUNTIF($N$31:N335,N335)</f>
        <v>1</v>
      </c>
      <c r="P335" s="10">
        <f>'HOUSE DATA'!M308</f>
        <v>-11.088709677419359</v>
      </c>
      <c r="Q335" t="str">
        <f>'HOUSE DATA'!N308</f>
        <v>2024 HOUSE / prior substitute</v>
      </c>
      <c r="R335" s="10">
        <f t="shared" si="42"/>
        <v>10.96</v>
      </c>
      <c r="S335" s="10">
        <f t="shared" si="43"/>
        <v>8.6280666765471778</v>
      </c>
      <c r="T335" s="10">
        <f t="shared" si="44"/>
        <v>2.331933323452823</v>
      </c>
      <c r="U335" t="s">
        <v>73</v>
      </c>
      <c r="W335" t="s">
        <v>74</v>
      </c>
      <c r="X335" t="s">
        <v>75</v>
      </c>
    </row>
    <row r="336" spans="1:24" x14ac:dyDescent="0.2">
      <c r="A336" t="str">
        <f>'HOUSE DATA'!A309</f>
        <v>OH-08</v>
      </c>
      <c r="B336" s="10">
        <f>'HOUSE DATA'!B309</f>
        <v>-7.3286712637351412</v>
      </c>
      <c r="C336" s="10">
        <f t="shared" si="36"/>
        <v>-0.29999999999999893</v>
      </c>
      <c r="D336" s="10">
        <f>2*('HOUSE DATA'!D309*('HOUSE DASHBOARD'!$B$14-42.4)+'HOUSE DATA'!E309*('HOUSE DASHBOARD'!$B$15-54.2)+'HOUSE DATA'!F309*('HOUSE DASHBOARD'!$B$16-85.4)+'HOUSE DATA'!G309*('HOUSE DASHBOARD'!$B$17-60.7)+'HOUSE DATA'!H309*('HOUSE DASHBOARD'!$B$18-53.5))/100</f>
        <v>0</v>
      </c>
      <c r="E336" s="10">
        <f>2*('HOUSE DATA'!I309*('HOUSE DASHBOARD'!$B$21-55.6)+(100-'HOUSE DATA'!I309)*('HOUSE DASHBOARD'!$B$22-44.9))/100</f>
        <v>0</v>
      </c>
      <c r="F336" s="10">
        <f>0</f>
        <v>0</v>
      </c>
      <c r="G336" s="10">
        <f t="shared" si="37"/>
        <v>0</v>
      </c>
      <c r="H336" s="2">
        <f>'HOUSE DATA'!C309+C336+G336</f>
        <v>-6.0399999999999991</v>
      </c>
      <c r="I336" s="3" t="str">
        <f t="shared" si="38"/>
        <v>R</v>
      </c>
      <c r="J336" s="1" t="str">
        <f>'HOUSE DATA'!K309</f>
        <v>R</v>
      </c>
      <c r="K336" s="1" t="str">
        <f t="shared" si="39"/>
        <v>—</v>
      </c>
      <c r="L336" t="str">
        <f t="shared" si="40"/>
        <v>R+6.04</v>
      </c>
      <c r="M336">
        <f>COUNTIF($H$31:$H$465,"&gt;"&amp;H336)+COUNTIF($H$31:H336,H336)</f>
        <v>271</v>
      </c>
      <c r="N336" s="7">
        <f t="shared" si="41"/>
        <v>6.0399999999999991</v>
      </c>
      <c r="O336">
        <f>COUNTIF($N$31:$N$465,"&lt;"&amp;N336)+COUNTIF($N$31:N336,N336)</f>
        <v>48</v>
      </c>
      <c r="P336" s="10">
        <f>'HOUSE DATA'!M309</f>
        <v>-17</v>
      </c>
      <c r="Q336" t="str">
        <f>'HOUSE DATA'!N309</f>
        <v>2024 HOUSE / prior substitute</v>
      </c>
      <c r="R336" s="10">
        <f t="shared" si="42"/>
        <v>10.96</v>
      </c>
      <c r="S336" s="10">
        <f t="shared" si="43"/>
        <v>9.6713287362648579</v>
      </c>
      <c r="T336" s="10">
        <f t="shared" si="44"/>
        <v>1.2886712637351421</v>
      </c>
      <c r="U336" t="s">
        <v>73</v>
      </c>
      <c r="W336" t="s">
        <v>74</v>
      </c>
      <c r="X336" t="s">
        <v>75</v>
      </c>
    </row>
    <row r="337" spans="1:24" x14ac:dyDescent="0.2">
      <c r="A337" t="str">
        <f>'HOUSE DATA'!A310</f>
        <v>OH-09</v>
      </c>
      <c r="B337" s="10">
        <f>'HOUSE DATA'!B310</f>
        <v>5.285949217254486</v>
      </c>
      <c r="C337" s="10">
        <f t="shared" si="36"/>
        <v>-0.29999999999999893</v>
      </c>
      <c r="D337" s="10">
        <f>2*('HOUSE DATA'!D310*('HOUSE DASHBOARD'!$B$14-42.4)+'HOUSE DATA'!E310*('HOUSE DASHBOARD'!$B$15-54.2)+'HOUSE DATA'!F310*('HOUSE DASHBOARD'!$B$16-85.4)+'HOUSE DATA'!G310*('HOUSE DASHBOARD'!$B$17-60.7)+'HOUSE DATA'!H310*('HOUSE DASHBOARD'!$B$18-53.5))/100</f>
        <v>0</v>
      </c>
      <c r="E337" s="10">
        <f>2*('HOUSE DATA'!I310*('HOUSE DASHBOARD'!$B$21-55.6)+(100-'HOUSE DATA'!I310)*('HOUSE DASHBOARD'!$B$22-44.9))/100</f>
        <v>0</v>
      </c>
      <c r="F337" s="10">
        <f>0</f>
        <v>0</v>
      </c>
      <c r="G337" s="10">
        <f t="shared" si="37"/>
        <v>0</v>
      </c>
      <c r="H337" s="2">
        <f>'HOUSE DATA'!C310+C337+G337</f>
        <v>5.5658091286307041</v>
      </c>
      <c r="I337" s="3" t="str">
        <f t="shared" si="38"/>
        <v>D</v>
      </c>
      <c r="J337" s="1" t="str">
        <f>'HOUSE DATA'!K310</f>
        <v>D</v>
      </c>
      <c r="K337" s="1" t="str">
        <f t="shared" si="39"/>
        <v>—</v>
      </c>
      <c r="L337" t="str">
        <f t="shared" si="40"/>
        <v>D+5.57</v>
      </c>
      <c r="M337">
        <f>COUNTIF($H$31:$H$465,"&gt;"&amp;H337)+COUNTIF($H$31:H337,H337)</f>
        <v>224</v>
      </c>
      <c r="N337" s="7">
        <f t="shared" si="41"/>
        <v>5.5658091286307041</v>
      </c>
      <c r="O337">
        <f>COUNTIF($N$31:$N$465,"&lt;"&amp;N337)+COUNTIF($N$31:N337,N337)</f>
        <v>46</v>
      </c>
      <c r="P337" s="10">
        <f>'HOUSE DATA'!M310</f>
        <v>-5.3941908713692968</v>
      </c>
      <c r="Q337" t="str">
        <f>'HOUSE DATA'!N310</f>
        <v>2024 HOUSE / prior substitute</v>
      </c>
      <c r="R337" s="10">
        <f t="shared" si="42"/>
        <v>10.96</v>
      </c>
      <c r="S337" s="10">
        <f t="shared" si="43"/>
        <v>10.680140088623784</v>
      </c>
      <c r="T337" s="10">
        <f t="shared" si="44"/>
        <v>0.27985991137621813</v>
      </c>
      <c r="U337" t="s">
        <v>73</v>
      </c>
      <c r="W337" t="s">
        <v>74</v>
      </c>
      <c r="X337" t="s">
        <v>75</v>
      </c>
    </row>
    <row r="338" spans="1:24" x14ac:dyDescent="0.2">
      <c r="A338" t="str">
        <f>'HOUSE DATA'!A311</f>
        <v>OH-10</v>
      </c>
      <c r="B338" s="10">
        <f>'HOUSE DATA'!B311</f>
        <v>-9.878489137620317</v>
      </c>
      <c r="C338" s="10">
        <f t="shared" si="36"/>
        <v>-0.29999999999999893</v>
      </c>
      <c r="D338" s="10">
        <f>2*('HOUSE DATA'!D311*('HOUSE DASHBOARD'!$B$14-42.4)+'HOUSE DATA'!E311*('HOUSE DASHBOARD'!$B$15-54.2)+'HOUSE DATA'!F311*('HOUSE DASHBOARD'!$B$16-85.4)+'HOUSE DATA'!G311*('HOUSE DASHBOARD'!$B$17-60.7)+'HOUSE DATA'!H311*('HOUSE DASHBOARD'!$B$18-53.5))/100</f>
        <v>0</v>
      </c>
      <c r="E338" s="10">
        <f>2*('HOUSE DATA'!I311*('HOUSE DASHBOARD'!$B$21-55.6)+(100-'HOUSE DATA'!I311)*('HOUSE DASHBOARD'!$B$22-44.9))/100</f>
        <v>0</v>
      </c>
      <c r="F338" s="10">
        <f>0</f>
        <v>0</v>
      </c>
      <c r="G338" s="10">
        <f t="shared" si="37"/>
        <v>0</v>
      </c>
      <c r="H338" s="2">
        <f>'HOUSE DATA'!C311+C338+G338</f>
        <v>-9.4103703703703658</v>
      </c>
      <c r="I338" s="3" t="str">
        <f t="shared" si="38"/>
        <v>R</v>
      </c>
      <c r="J338" s="1" t="str">
        <f>'HOUSE DATA'!K311</f>
        <v>R</v>
      </c>
      <c r="K338" s="1" t="str">
        <f t="shared" si="39"/>
        <v>—</v>
      </c>
      <c r="L338" t="str">
        <f t="shared" si="40"/>
        <v>R+9.41</v>
      </c>
      <c r="M338">
        <f>COUNTIF($H$31:$H$465,"&gt;"&amp;H338)+COUNTIF($H$31:H338,H338)</f>
        <v>294</v>
      </c>
      <c r="N338" s="7">
        <f t="shared" si="41"/>
        <v>9.4103703703703658</v>
      </c>
      <c r="O338">
        <f>COUNTIF($N$31:$N$465,"&lt;"&amp;N338)+COUNTIF($N$31:N338,N338)</f>
        <v>79</v>
      </c>
      <c r="P338" s="10">
        <f>'HOUSE DATA'!M311</f>
        <v>-20.370370370370367</v>
      </c>
      <c r="Q338" t="str">
        <f>'HOUSE DATA'!N311</f>
        <v>2024 HOUSE / prior substitute</v>
      </c>
      <c r="R338" s="10">
        <f t="shared" si="42"/>
        <v>10.96</v>
      </c>
      <c r="S338" s="10">
        <f t="shared" si="43"/>
        <v>10.49188123275005</v>
      </c>
      <c r="T338" s="10">
        <f t="shared" si="44"/>
        <v>0.46811876724995116</v>
      </c>
      <c r="U338" t="s">
        <v>73</v>
      </c>
      <c r="W338" t="s">
        <v>74</v>
      </c>
      <c r="X338" t="s">
        <v>75</v>
      </c>
    </row>
    <row r="339" spans="1:24" x14ac:dyDescent="0.2">
      <c r="A339" t="str">
        <f>'HOUSE DATA'!A312</f>
        <v>OH-11</v>
      </c>
      <c r="B339" s="10">
        <f>'HOUSE DATA'!B312</f>
        <v>72.737892171441871</v>
      </c>
      <c r="C339" s="10">
        <f t="shared" si="36"/>
        <v>-0.29999999999999893</v>
      </c>
      <c r="D339" s="10">
        <f>2*('HOUSE DATA'!D312*('HOUSE DASHBOARD'!$B$14-42.4)+'HOUSE DATA'!E312*('HOUSE DASHBOARD'!$B$15-54.2)+'HOUSE DATA'!F312*('HOUSE DASHBOARD'!$B$16-85.4)+'HOUSE DATA'!G312*('HOUSE DASHBOARD'!$B$17-60.7)+'HOUSE DATA'!H312*('HOUSE DASHBOARD'!$B$18-53.5))/100</f>
        <v>0</v>
      </c>
      <c r="E339" s="10">
        <f>2*('HOUSE DATA'!I312*('HOUSE DASHBOARD'!$B$21-55.6)+(100-'HOUSE DATA'!I312)*('HOUSE DASHBOARD'!$B$22-44.9))/100</f>
        <v>0</v>
      </c>
      <c r="F339" s="10">
        <f>0</f>
        <v>0</v>
      </c>
      <c r="G339" s="10">
        <f t="shared" si="37"/>
        <v>0</v>
      </c>
      <c r="H339" s="2">
        <f>'HOUSE DATA'!C312+C339+G339</f>
        <v>70.919141981613876</v>
      </c>
      <c r="I339" s="3" t="str">
        <f t="shared" si="38"/>
        <v>D</v>
      </c>
      <c r="J339" s="1" t="str">
        <f>'HOUSE DATA'!K312</f>
        <v>D</v>
      </c>
      <c r="K339" s="1" t="str">
        <f t="shared" si="39"/>
        <v>—</v>
      </c>
      <c r="L339" t="str">
        <f t="shared" si="40"/>
        <v>D+70.92</v>
      </c>
      <c r="M339">
        <f>COUNTIF($H$31:$H$465,"&gt;"&amp;H339)+COUNTIF($H$31:H339,H339)</f>
        <v>14</v>
      </c>
      <c r="N339" s="7">
        <f t="shared" si="41"/>
        <v>70.919141981613876</v>
      </c>
      <c r="O339">
        <f>COUNTIF($N$31:$N$465,"&lt;"&amp;N339)+COUNTIF($N$31:N339,N339)</f>
        <v>412</v>
      </c>
      <c r="P339" s="10">
        <f>'HOUSE DATA'!M312</f>
        <v>59.959141981613882</v>
      </c>
      <c r="Q339" t="str">
        <f>'HOUSE DATA'!N312</f>
        <v>2024 HOUSE / prior substitute</v>
      </c>
      <c r="R339" s="10">
        <f t="shared" si="42"/>
        <v>10.959999999999994</v>
      </c>
      <c r="S339" s="10">
        <f t="shared" si="43"/>
        <v>12.778750189827988</v>
      </c>
      <c r="T339" s="10">
        <f t="shared" si="44"/>
        <v>-1.8187501898279947</v>
      </c>
      <c r="U339" t="s">
        <v>73</v>
      </c>
      <c r="W339" t="s">
        <v>74</v>
      </c>
      <c r="X339" t="s">
        <v>75</v>
      </c>
    </row>
    <row r="340" spans="1:24" x14ac:dyDescent="0.2">
      <c r="A340" t="str">
        <f>'HOUSE DATA'!A313</f>
        <v>OH-12</v>
      </c>
      <c r="B340" s="10">
        <f>'HOUSE DATA'!B313</f>
        <v>-24.975128445211983</v>
      </c>
      <c r="C340" s="10">
        <f t="shared" si="36"/>
        <v>-0.29999999999999893</v>
      </c>
      <c r="D340" s="10">
        <f>2*('HOUSE DATA'!D313*('HOUSE DASHBOARD'!$B$14-42.4)+'HOUSE DATA'!E313*('HOUSE DASHBOARD'!$B$15-54.2)+'HOUSE DATA'!F313*('HOUSE DASHBOARD'!$B$16-85.4)+'HOUSE DATA'!G313*('HOUSE DASHBOARD'!$B$17-60.7)+'HOUSE DATA'!H313*('HOUSE DASHBOARD'!$B$18-53.5))/100</f>
        <v>0</v>
      </c>
      <c r="E340" s="10">
        <f>2*('HOUSE DATA'!I313*('HOUSE DASHBOARD'!$B$21-55.6)+(100-'HOUSE DATA'!I313)*('HOUSE DASHBOARD'!$B$22-44.9))/100</f>
        <v>0</v>
      </c>
      <c r="F340" s="10">
        <f>0</f>
        <v>0</v>
      </c>
      <c r="G340" s="10">
        <f t="shared" si="37"/>
        <v>0</v>
      </c>
      <c r="H340" s="2">
        <f>'HOUSE DATA'!C313+C340+G340</f>
        <v>-23.439999999999998</v>
      </c>
      <c r="I340" s="3" t="str">
        <f t="shared" si="38"/>
        <v>R</v>
      </c>
      <c r="J340" s="1" t="str">
        <f>'HOUSE DATA'!K313</f>
        <v>R</v>
      </c>
      <c r="K340" s="1" t="str">
        <f t="shared" si="39"/>
        <v>—</v>
      </c>
      <c r="L340" t="str">
        <f t="shared" si="40"/>
        <v>R+23.44</v>
      </c>
      <c r="M340">
        <f>COUNTIF($H$31:$H$465,"&gt;"&amp;H340)+COUNTIF($H$31:H340,H340)</f>
        <v>375</v>
      </c>
      <c r="N340" s="7">
        <f t="shared" si="41"/>
        <v>23.439999999999998</v>
      </c>
      <c r="O340">
        <f>COUNTIF($N$31:$N$465,"&lt;"&amp;N340)+COUNTIF($N$31:N340,N340)</f>
        <v>218</v>
      </c>
      <c r="P340" s="10">
        <f>'HOUSE DATA'!M313</f>
        <v>-34.4</v>
      </c>
      <c r="Q340" t="str">
        <f>'HOUSE DATA'!N313</f>
        <v>2024 HOUSE / prior substitute</v>
      </c>
      <c r="R340" s="10">
        <f t="shared" si="42"/>
        <v>10.96</v>
      </c>
      <c r="S340" s="10">
        <f t="shared" si="43"/>
        <v>9.424871554788016</v>
      </c>
      <c r="T340" s="10">
        <f t="shared" si="44"/>
        <v>1.5351284452119849</v>
      </c>
      <c r="U340" t="s">
        <v>73</v>
      </c>
      <c r="W340" t="s">
        <v>74</v>
      </c>
      <c r="X340" t="s">
        <v>75</v>
      </c>
    </row>
    <row r="341" spans="1:24" x14ac:dyDescent="0.2">
      <c r="A341" t="str">
        <f>'HOUSE DATA'!A314</f>
        <v>OH-13</v>
      </c>
      <c r="B341" s="10">
        <f>'HOUSE DATA'!B314</f>
        <v>15.192549421309032</v>
      </c>
      <c r="C341" s="10">
        <f t="shared" si="36"/>
        <v>-0.29999999999999893</v>
      </c>
      <c r="D341" s="10">
        <f>2*('HOUSE DATA'!D314*('HOUSE DASHBOARD'!$B$14-42.4)+'HOUSE DATA'!E314*('HOUSE DASHBOARD'!$B$15-54.2)+'HOUSE DATA'!F314*('HOUSE DASHBOARD'!$B$16-85.4)+'HOUSE DATA'!G314*('HOUSE DASHBOARD'!$B$17-60.7)+'HOUSE DATA'!H314*('HOUSE DASHBOARD'!$B$18-53.5))/100</f>
        <v>0</v>
      </c>
      <c r="E341" s="10">
        <f>2*('HOUSE DATA'!I314*('HOUSE DASHBOARD'!$B$21-55.6)+(100-'HOUSE DATA'!I314)*('HOUSE DASHBOARD'!$B$22-44.9))/100</f>
        <v>0</v>
      </c>
      <c r="F341" s="10">
        <f>0</f>
        <v>0</v>
      </c>
      <c r="G341" s="10">
        <f t="shared" si="37"/>
        <v>0</v>
      </c>
      <c r="H341" s="2">
        <f>'HOUSE DATA'!C314+C341+G341</f>
        <v>15.959999999999999</v>
      </c>
      <c r="I341" s="3" t="str">
        <f t="shared" si="38"/>
        <v>D</v>
      </c>
      <c r="J341" s="1" t="str">
        <f>'HOUSE DATA'!K314</f>
        <v>D</v>
      </c>
      <c r="K341" s="1" t="str">
        <f t="shared" si="39"/>
        <v>—</v>
      </c>
      <c r="L341" t="str">
        <f t="shared" si="40"/>
        <v>D+15.96</v>
      </c>
      <c r="M341">
        <f>COUNTIF($H$31:$H$465,"&gt;"&amp;H341)+COUNTIF($H$31:H341,H341)</f>
        <v>193</v>
      </c>
      <c r="N341" s="7">
        <f t="shared" si="41"/>
        <v>15.959999999999999</v>
      </c>
      <c r="O341">
        <f>COUNTIF($N$31:$N$465,"&lt;"&amp;N341)+COUNTIF($N$31:N341,N341)</f>
        <v>142</v>
      </c>
      <c r="P341" s="10">
        <f>'HOUSE DATA'!M314</f>
        <v>5</v>
      </c>
      <c r="Q341" t="str">
        <f>'HOUSE DATA'!N314</f>
        <v>2024 HOUSE / prior substitute</v>
      </c>
      <c r="R341" s="10">
        <f t="shared" si="42"/>
        <v>10.959999999999999</v>
      </c>
      <c r="S341" s="10">
        <f t="shared" si="43"/>
        <v>10.192549421309032</v>
      </c>
      <c r="T341" s="10">
        <f t="shared" si="44"/>
        <v>0.76745057869096733</v>
      </c>
      <c r="U341" t="s">
        <v>73</v>
      </c>
      <c r="W341" t="s">
        <v>74</v>
      </c>
      <c r="X341" t="s">
        <v>75</v>
      </c>
    </row>
    <row r="342" spans="1:24" x14ac:dyDescent="0.2">
      <c r="A342" t="str">
        <f>'HOUSE DATA'!A315</f>
        <v>OH-14</v>
      </c>
      <c r="B342" s="10">
        <f>'HOUSE DATA'!B315</f>
        <v>-19.366873199010342</v>
      </c>
      <c r="C342" s="10">
        <f t="shared" si="36"/>
        <v>-0.29999999999999893</v>
      </c>
      <c r="D342" s="10">
        <f>2*('HOUSE DATA'!D315*('HOUSE DASHBOARD'!$B$14-42.4)+'HOUSE DATA'!E315*('HOUSE DASHBOARD'!$B$15-54.2)+'HOUSE DATA'!F315*('HOUSE DASHBOARD'!$B$16-85.4)+'HOUSE DATA'!G315*('HOUSE DASHBOARD'!$B$17-60.7)+'HOUSE DATA'!H315*('HOUSE DASHBOARD'!$B$18-53.5))/100</f>
        <v>0</v>
      </c>
      <c r="E342" s="10">
        <f>2*('HOUSE DATA'!I315*('HOUSE DASHBOARD'!$B$21-55.6)+(100-'HOUSE DATA'!I315)*('HOUSE DASHBOARD'!$B$22-44.9))/100</f>
        <v>0</v>
      </c>
      <c r="F342" s="10">
        <f>0</f>
        <v>0</v>
      </c>
      <c r="G342" s="10">
        <f t="shared" si="37"/>
        <v>0</v>
      </c>
      <c r="H342" s="2">
        <f>'HOUSE DATA'!C315+C342+G342</f>
        <v>-18.240000000000009</v>
      </c>
      <c r="I342" s="3" t="str">
        <f t="shared" si="38"/>
        <v>R</v>
      </c>
      <c r="J342" s="1" t="str">
        <f>'HOUSE DATA'!K315</f>
        <v>R</v>
      </c>
      <c r="K342" s="1" t="str">
        <f t="shared" si="39"/>
        <v>—</v>
      </c>
      <c r="L342" t="str">
        <f t="shared" si="40"/>
        <v>R+18.24</v>
      </c>
      <c r="M342">
        <f>COUNTIF($H$31:$H$465,"&gt;"&amp;H342)+COUNTIF($H$31:H342,H342)</f>
        <v>347</v>
      </c>
      <c r="N342" s="7">
        <f t="shared" si="41"/>
        <v>18.240000000000009</v>
      </c>
      <c r="O342">
        <f>COUNTIF($N$31:$N$465,"&lt;"&amp;N342)+COUNTIF($N$31:N342,N342)</f>
        <v>165</v>
      </c>
      <c r="P342" s="10">
        <f>'HOUSE DATA'!M315</f>
        <v>-29.20000000000001</v>
      </c>
      <c r="Q342" t="str">
        <f>'HOUSE DATA'!N315</f>
        <v>2024 HOUSE / prior substitute</v>
      </c>
      <c r="R342" s="10">
        <f t="shared" si="42"/>
        <v>10.96</v>
      </c>
      <c r="S342" s="10">
        <f t="shared" si="43"/>
        <v>9.8331268009896675</v>
      </c>
      <c r="T342" s="10">
        <f t="shared" si="44"/>
        <v>1.1268731990103333</v>
      </c>
      <c r="U342" t="s">
        <v>73</v>
      </c>
      <c r="W342" t="s">
        <v>74</v>
      </c>
      <c r="X342" t="s">
        <v>75</v>
      </c>
    </row>
    <row r="343" spans="1:24" x14ac:dyDescent="0.2">
      <c r="A343" t="str">
        <f>'HOUSE DATA'!A316</f>
        <v>OH-15</v>
      </c>
      <c r="B343" s="10">
        <f>'HOUSE DATA'!B316</f>
        <v>-3.4705724435613909</v>
      </c>
      <c r="C343" s="10">
        <f t="shared" si="36"/>
        <v>-0.29999999999999893</v>
      </c>
      <c r="D343" s="10">
        <f>2*('HOUSE DATA'!D316*('HOUSE DASHBOARD'!$B$14-42.4)+'HOUSE DATA'!E316*('HOUSE DASHBOARD'!$B$15-54.2)+'HOUSE DATA'!F316*('HOUSE DASHBOARD'!$B$16-85.4)+'HOUSE DATA'!G316*('HOUSE DASHBOARD'!$B$17-60.7)+'HOUSE DATA'!H316*('HOUSE DASHBOARD'!$B$18-53.5))/100</f>
        <v>0</v>
      </c>
      <c r="E343" s="10">
        <f>2*('HOUSE DATA'!I316*('HOUSE DASHBOARD'!$B$21-55.6)+(100-'HOUSE DATA'!I316)*('HOUSE DASHBOARD'!$B$22-44.9))/100</f>
        <v>0</v>
      </c>
      <c r="F343" s="10">
        <f>0</f>
        <v>0</v>
      </c>
      <c r="G343" s="10">
        <f t="shared" si="37"/>
        <v>0</v>
      </c>
      <c r="H343" s="2">
        <f>'HOUSE DATA'!C316+C343+G343</f>
        <v>-2.3533133133133077</v>
      </c>
      <c r="I343" s="3" t="str">
        <f t="shared" si="38"/>
        <v>R</v>
      </c>
      <c r="J343" s="1" t="str">
        <f>'HOUSE DATA'!K316</f>
        <v>R</v>
      </c>
      <c r="K343" s="1" t="str">
        <f t="shared" si="39"/>
        <v>—</v>
      </c>
      <c r="L343" t="str">
        <f t="shared" si="40"/>
        <v>R+2.35</v>
      </c>
      <c r="M343">
        <f>COUNTIF($H$31:$H$465,"&gt;"&amp;H343)+COUNTIF($H$31:H343,H343)</f>
        <v>251</v>
      </c>
      <c r="N343" s="7">
        <f t="shared" si="41"/>
        <v>2.3533133133133077</v>
      </c>
      <c r="O343">
        <f>COUNTIF($N$31:$N$465,"&lt;"&amp;N343)+COUNTIF($N$31:N343,N343)</f>
        <v>23</v>
      </c>
      <c r="P343" s="10">
        <f>'HOUSE DATA'!M316</f>
        <v>-13.313313313313309</v>
      </c>
      <c r="Q343" t="str">
        <f>'HOUSE DATA'!N316</f>
        <v>2024 HOUSE / prior substitute</v>
      </c>
      <c r="R343" s="10">
        <f t="shared" si="42"/>
        <v>10.96</v>
      </c>
      <c r="S343" s="10">
        <f t="shared" si="43"/>
        <v>9.8427408697519176</v>
      </c>
      <c r="T343" s="10">
        <f t="shared" si="44"/>
        <v>1.1172591302480832</v>
      </c>
      <c r="U343" t="s">
        <v>73</v>
      </c>
      <c r="W343" t="s">
        <v>74</v>
      </c>
      <c r="X343" t="s">
        <v>75</v>
      </c>
    </row>
    <row r="344" spans="1:24" x14ac:dyDescent="0.2">
      <c r="A344" t="str">
        <f>'HOUSE DATA'!A317</f>
        <v>OK-01</v>
      </c>
      <c r="B344" s="10">
        <f>'HOUSE DATA'!B317</f>
        <v>-10.743349092495873</v>
      </c>
      <c r="C344" s="10">
        <f t="shared" si="36"/>
        <v>-0.29999999999999893</v>
      </c>
      <c r="D344" s="10">
        <f>2*('HOUSE DATA'!D317*('HOUSE DASHBOARD'!$B$14-42.4)+'HOUSE DATA'!E317*('HOUSE DASHBOARD'!$B$15-54.2)+'HOUSE DATA'!F317*('HOUSE DASHBOARD'!$B$16-85.4)+'HOUSE DATA'!G317*('HOUSE DASHBOARD'!$B$17-60.7)+'HOUSE DATA'!H317*('HOUSE DASHBOARD'!$B$18-53.5))/100</f>
        <v>0</v>
      </c>
      <c r="E344" s="10">
        <f>2*('HOUSE DATA'!I317*('HOUSE DASHBOARD'!$B$21-55.6)+(100-'HOUSE DATA'!I317)*('HOUSE DASHBOARD'!$B$22-44.9))/100</f>
        <v>0</v>
      </c>
      <c r="F344" s="10">
        <f>0</f>
        <v>0</v>
      </c>
      <c r="G344" s="10">
        <f t="shared" si="37"/>
        <v>0</v>
      </c>
      <c r="H344" s="2">
        <f>'HOUSE DATA'!C317+C344+G344</f>
        <v>-10.98</v>
      </c>
      <c r="I344" s="3" t="str">
        <f t="shared" si="38"/>
        <v>R</v>
      </c>
      <c r="J344" s="1" t="str">
        <f>'HOUSE DATA'!K317</f>
        <v>R</v>
      </c>
      <c r="K344" s="1" t="str">
        <f t="shared" si="39"/>
        <v>—</v>
      </c>
      <c r="L344" t="str">
        <f t="shared" si="40"/>
        <v>R+10.98</v>
      </c>
      <c r="M344">
        <f>COUNTIF($H$31:$H$465,"&gt;"&amp;H344)+COUNTIF($H$31:H344,H344)</f>
        <v>310</v>
      </c>
      <c r="N344" s="7">
        <f t="shared" si="41"/>
        <v>10.98</v>
      </c>
      <c r="O344">
        <f>COUNTIF($N$31:$N$465,"&lt;"&amp;N344)+COUNTIF($N$31:N344,N344)</f>
        <v>101</v>
      </c>
      <c r="P344" s="10">
        <f>'HOUSE DATA'!M317</f>
        <v>-21.53</v>
      </c>
      <c r="Q344" t="str">
        <f>'HOUSE DATA'!N317</f>
        <v>2024 PRESIDENT (open seat)</v>
      </c>
      <c r="R344" s="10">
        <f t="shared" si="42"/>
        <v>10.55</v>
      </c>
      <c r="S344" s="10">
        <f t="shared" si="43"/>
        <v>10.786650907504129</v>
      </c>
      <c r="T344" s="10">
        <f t="shared" si="44"/>
        <v>-0.23665090750412787</v>
      </c>
      <c r="U344" t="s">
        <v>73</v>
      </c>
      <c r="W344" t="s">
        <v>74</v>
      </c>
      <c r="X344" t="s">
        <v>75</v>
      </c>
    </row>
    <row r="345" spans="1:24" x14ac:dyDescent="0.2">
      <c r="A345" t="str">
        <f>'HOUSE DATA'!A318</f>
        <v>OK-02</v>
      </c>
      <c r="B345" s="10">
        <f>'HOUSE DATA'!B318</f>
        <v>-44.039797604000896</v>
      </c>
      <c r="C345" s="10">
        <f t="shared" si="36"/>
        <v>-0.29999999999999893</v>
      </c>
      <c r="D345" s="10">
        <f>2*('HOUSE DATA'!D318*('HOUSE DASHBOARD'!$B$14-42.4)+'HOUSE DATA'!E318*('HOUSE DASHBOARD'!$B$15-54.2)+'HOUSE DATA'!F318*('HOUSE DASHBOARD'!$B$16-85.4)+'HOUSE DATA'!G318*('HOUSE DASHBOARD'!$B$17-60.7)+'HOUSE DATA'!H318*('HOUSE DASHBOARD'!$B$18-53.5))/100</f>
        <v>0</v>
      </c>
      <c r="E345" s="10">
        <f>2*('HOUSE DATA'!I318*('HOUSE DASHBOARD'!$B$21-55.6)+(100-'HOUSE DATA'!I318)*('HOUSE DASHBOARD'!$B$22-44.9))/100</f>
        <v>0</v>
      </c>
      <c r="F345" s="10">
        <f>0</f>
        <v>0</v>
      </c>
      <c r="G345" s="10">
        <f t="shared" si="37"/>
        <v>0</v>
      </c>
      <c r="H345" s="2">
        <f>'HOUSE DATA'!C318+C345+G345</f>
        <v>-44.179999999999993</v>
      </c>
      <c r="I345" s="3" t="str">
        <f t="shared" si="38"/>
        <v>R</v>
      </c>
      <c r="J345" s="1" t="str">
        <f>'HOUSE DATA'!K318</f>
        <v>R</v>
      </c>
      <c r="K345" s="1" t="str">
        <f t="shared" si="39"/>
        <v>—</v>
      </c>
      <c r="L345" t="str">
        <f t="shared" si="40"/>
        <v>R+44.18</v>
      </c>
      <c r="M345">
        <f>COUNTIF($H$31:$H$465,"&gt;"&amp;H345)+COUNTIF($H$31:H345,H345)</f>
        <v>430</v>
      </c>
      <c r="N345" s="7">
        <f t="shared" si="41"/>
        <v>44.179999999999993</v>
      </c>
      <c r="O345">
        <f>COUNTIF($N$31:$N$465,"&lt;"&amp;N345)+COUNTIF($N$31:N345,N345)</f>
        <v>346</v>
      </c>
      <c r="P345" s="10">
        <f>'HOUSE DATA'!M318</f>
        <v>-55.139999999999993</v>
      </c>
      <c r="Q345" t="str">
        <f>'HOUSE DATA'!N318</f>
        <v>2024 HOUSE / prior substitute</v>
      </c>
      <c r="R345" s="10">
        <f t="shared" si="42"/>
        <v>10.96</v>
      </c>
      <c r="S345" s="10">
        <f t="shared" si="43"/>
        <v>11.100202395999098</v>
      </c>
      <c r="T345" s="10">
        <f t="shared" si="44"/>
        <v>-0.14020239599909701</v>
      </c>
      <c r="U345" t="s">
        <v>73</v>
      </c>
      <c r="W345" t="s">
        <v>74</v>
      </c>
      <c r="X345" t="s">
        <v>75</v>
      </c>
    </row>
    <row r="346" spans="1:24" x14ac:dyDescent="0.2">
      <c r="A346" t="str">
        <f>'HOUSE DATA'!A319</f>
        <v>OK-03</v>
      </c>
      <c r="B346" s="10">
        <f>'HOUSE DATA'!B319</f>
        <v>-35.186045548623071</v>
      </c>
      <c r="C346" s="10">
        <f t="shared" si="36"/>
        <v>-0.29999999999999893</v>
      </c>
      <c r="D346" s="10">
        <f>2*('HOUSE DATA'!D319*('HOUSE DASHBOARD'!$B$14-42.4)+'HOUSE DATA'!E319*('HOUSE DASHBOARD'!$B$15-54.2)+'HOUSE DATA'!F319*('HOUSE DASHBOARD'!$B$16-85.4)+'HOUSE DATA'!G319*('HOUSE DASHBOARD'!$B$17-60.7)+'HOUSE DATA'!H319*('HOUSE DASHBOARD'!$B$18-53.5))/100</f>
        <v>0</v>
      </c>
      <c r="E346" s="10">
        <f>2*('HOUSE DATA'!I319*('HOUSE DASHBOARD'!$B$21-55.6)+(100-'HOUSE DATA'!I319)*('HOUSE DASHBOARD'!$B$22-44.9))/100</f>
        <v>0</v>
      </c>
      <c r="F346" s="10">
        <f>0</f>
        <v>0</v>
      </c>
      <c r="G346" s="10">
        <f t="shared" si="37"/>
        <v>0</v>
      </c>
      <c r="H346" s="2">
        <f>'HOUSE DATA'!C319+C346+G346</f>
        <v>-35.979999999999997</v>
      </c>
      <c r="I346" s="3" t="str">
        <f t="shared" si="38"/>
        <v>R</v>
      </c>
      <c r="J346" s="1" t="str">
        <f>'HOUSE DATA'!K319</f>
        <v>R</v>
      </c>
      <c r="K346" s="1" t="str">
        <f t="shared" si="39"/>
        <v>—</v>
      </c>
      <c r="L346" t="str">
        <f t="shared" si="40"/>
        <v>R+35.98</v>
      </c>
      <c r="M346">
        <f>COUNTIF($H$31:$H$465,"&gt;"&amp;H346)+COUNTIF($H$31:H346,H346)</f>
        <v>417</v>
      </c>
      <c r="N346" s="7">
        <f t="shared" si="41"/>
        <v>35.979999999999997</v>
      </c>
      <c r="O346">
        <f>COUNTIF($N$31:$N$465,"&lt;"&amp;N346)+COUNTIF($N$31:N346,N346)</f>
        <v>316</v>
      </c>
      <c r="P346" s="10">
        <f>'HOUSE DATA'!M319</f>
        <v>-46.94</v>
      </c>
      <c r="Q346" t="str">
        <f>'HOUSE DATA'!N319</f>
        <v>2024 HOUSE / prior substitute</v>
      </c>
      <c r="R346" s="10">
        <f t="shared" si="42"/>
        <v>10.96</v>
      </c>
      <c r="S346" s="10">
        <f t="shared" si="43"/>
        <v>11.753954451376927</v>
      </c>
      <c r="T346" s="10">
        <f t="shared" si="44"/>
        <v>-0.79395445137692633</v>
      </c>
      <c r="U346" t="s">
        <v>73</v>
      </c>
      <c r="W346" t="s">
        <v>74</v>
      </c>
      <c r="X346" t="s">
        <v>75</v>
      </c>
    </row>
    <row r="347" spans="1:24" x14ac:dyDescent="0.2">
      <c r="A347" t="str">
        <f>'HOUSE DATA'!A320</f>
        <v>OK-04</v>
      </c>
      <c r="B347" s="10">
        <f>'HOUSE DATA'!B320</f>
        <v>-28.606076671750419</v>
      </c>
      <c r="C347" s="10">
        <f t="shared" si="36"/>
        <v>-0.29999999999999893</v>
      </c>
      <c r="D347" s="10">
        <f>2*('HOUSE DATA'!D320*('HOUSE DASHBOARD'!$B$14-42.4)+'HOUSE DATA'!E320*('HOUSE DASHBOARD'!$B$15-54.2)+'HOUSE DATA'!F320*('HOUSE DASHBOARD'!$B$16-85.4)+'HOUSE DATA'!G320*('HOUSE DASHBOARD'!$B$17-60.7)+'HOUSE DATA'!H320*('HOUSE DASHBOARD'!$B$18-53.5))/100</f>
        <v>0</v>
      </c>
      <c r="E347" s="10">
        <f>2*('HOUSE DATA'!I320*('HOUSE DASHBOARD'!$B$21-55.6)+(100-'HOUSE DATA'!I320)*('HOUSE DASHBOARD'!$B$22-44.9))/100</f>
        <v>0</v>
      </c>
      <c r="F347" s="10">
        <f>0</f>
        <v>0</v>
      </c>
      <c r="G347" s="10">
        <f t="shared" si="37"/>
        <v>0</v>
      </c>
      <c r="H347" s="2">
        <f>'HOUSE DATA'!C320+C347+G347</f>
        <v>-28.579999999999991</v>
      </c>
      <c r="I347" s="3" t="str">
        <f t="shared" si="38"/>
        <v>R</v>
      </c>
      <c r="J347" s="1" t="str">
        <f>'HOUSE DATA'!K320</f>
        <v>R</v>
      </c>
      <c r="K347" s="1" t="str">
        <f t="shared" si="39"/>
        <v>—</v>
      </c>
      <c r="L347" t="str">
        <f t="shared" si="40"/>
        <v>R+28.58</v>
      </c>
      <c r="M347">
        <f>COUNTIF($H$31:$H$465,"&gt;"&amp;H347)+COUNTIF($H$31:H347,H347)</f>
        <v>396</v>
      </c>
      <c r="N347" s="7">
        <f t="shared" si="41"/>
        <v>28.579999999999991</v>
      </c>
      <c r="O347">
        <f>COUNTIF($N$31:$N$465,"&lt;"&amp;N347)+COUNTIF($N$31:N347,N347)</f>
        <v>268</v>
      </c>
      <c r="P347" s="10">
        <f>'HOUSE DATA'!M320</f>
        <v>-39.539999999999992</v>
      </c>
      <c r="Q347" t="str">
        <f>'HOUSE DATA'!N320</f>
        <v>2024 HOUSE / prior substitute</v>
      </c>
      <c r="R347" s="10">
        <f t="shared" si="42"/>
        <v>10.96</v>
      </c>
      <c r="S347" s="10">
        <f t="shared" si="43"/>
        <v>10.933923328249573</v>
      </c>
      <c r="T347" s="10">
        <f t="shared" si="44"/>
        <v>2.6076671750427494E-2</v>
      </c>
      <c r="U347" t="s">
        <v>73</v>
      </c>
      <c r="W347" t="s">
        <v>74</v>
      </c>
      <c r="X347" t="s">
        <v>75</v>
      </c>
    </row>
    <row r="348" spans="1:24" x14ac:dyDescent="0.2">
      <c r="A348" t="str">
        <f>'HOUSE DATA'!A321</f>
        <v>OK-05</v>
      </c>
      <c r="B348" s="10">
        <f>'HOUSE DATA'!B321</f>
        <v>-10.989335297229381</v>
      </c>
      <c r="C348" s="10">
        <f t="shared" si="36"/>
        <v>-0.29999999999999893</v>
      </c>
      <c r="D348" s="10">
        <f>2*('HOUSE DATA'!D321*('HOUSE DASHBOARD'!$B$14-42.4)+'HOUSE DATA'!E321*('HOUSE DASHBOARD'!$B$15-54.2)+'HOUSE DATA'!F321*('HOUSE DASHBOARD'!$B$16-85.4)+'HOUSE DATA'!G321*('HOUSE DASHBOARD'!$B$17-60.7)+'HOUSE DATA'!H321*('HOUSE DASHBOARD'!$B$18-53.5))/100</f>
        <v>0</v>
      </c>
      <c r="E348" s="10">
        <f>2*('HOUSE DATA'!I321*('HOUSE DASHBOARD'!$B$21-55.6)+(100-'HOUSE DATA'!I321)*('HOUSE DASHBOARD'!$B$22-44.9))/100</f>
        <v>0</v>
      </c>
      <c r="F348" s="10">
        <f>0</f>
        <v>0</v>
      </c>
      <c r="G348" s="10">
        <f t="shared" si="37"/>
        <v>0</v>
      </c>
      <c r="H348" s="2">
        <f>'HOUSE DATA'!C321+C348+G348</f>
        <v>-10.419999999999995</v>
      </c>
      <c r="I348" s="3" t="str">
        <f t="shared" si="38"/>
        <v>R</v>
      </c>
      <c r="J348" s="1" t="str">
        <f>'HOUSE DATA'!K321</f>
        <v>R</v>
      </c>
      <c r="K348" s="1" t="str">
        <f t="shared" si="39"/>
        <v>—</v>
      </c>
      <c r="L348" t="str">
        <f t="shared" si="40"/>
        <v>R+10.42</v>
      </c>
      <c r="M348">
        <f>COUNTIF($H$31:$H$465,"&gt;"&amp;H348)+COUNTIF($H$31:H348,H348)</f>
        <v>306</v>
      </c>
      <c r="N348" s="7">
        <f t="shared" si="41"/>
        <v>10.419999999999995</v>
      </c>
      <c r="O348">
        <f>COUNTIF($N$31:$N$465,"&lt;"&amp;N348)+COUNTIF($N$31:N348,N348)</f>
        <v>95</v>
      </c>
      <c r="P348" s="10">
        <f>'HOUSE DATA'!M321</f>
        <v>-21.379999999999995</v>
      </c>
      <c r="Q348" t="str">
        <f>'HOUSE DATA'!N321</f>
        <v>2024 HOUSE / prior substitute</v>
      </c>
      <c r="R348" s="10">
        <f t="shared" si="42"/>
        <v>10.96</v>
      </c>
      <c r="S348" s="10">
        <f t="shared" si="43"/>
        <v>10.390664702770614</v>
      </c>
      <c r="T348" s="10">
        <f t="shared" si="44"/>
        <v>0.56933529722938658</v>
      </c>
      <c r="U348" t="s">
        <v>73</v>
      </c>
      <c r="W348" t="s">
        <v>74</v>
      </c>
      <c r="X348" t="s">
        <v>75</v>
      </c>
    </row>
    <row r="349" spans="1:24" x14ac:dyDescent="0.2">
      <c r="A349" t="str">
        <f>'HOUSE DATA'!A322</f>
        <v>OR-01</v>
      </c>
      <c r="B349" s="10">
        <f>'HOUSE DATA'!B322</f>
        <v>51.063346618389183</v>
      </c>
      <c r="C349" s="10">
        <f t="shared" si="36"/>
        <v>-0.29999999999999893</v>
      </c>
      <c r="D349" s="10">
        <f>2*('HOUSE DATA'!D322*('HOUSE DASHBOARD'!$B$14-42.4)+'HOUSE DATA'!E322*('HOUSE DASHBOARD'!$B$15-54.2)+'HOUSE DATA'!F322*('HOUSE DASHBOARD'!$B$16-85.4)+'HOUSE DATA'!G322*('HOUSE DASHBOARD'!$B$17-60.7)+'HOUSE DATA'!H322*('HOUSE DASHBOARD'!$B$18-53.5))/100</f>
        <v>0</v>
      </c>
      <c r="E349" s="10">
        <f>2*('HOUSE DATA'!I322*('HOUSE DASHBOARD'!$B$21-55.6)+(100-'HOUSE DATA'!I322)*('HOUSE DASHBOARD'!$B$22-44.9))/100</f>
        <v>0</v>
      </c>
      <c r="F349" s="10">
        <f>0</f>
        <v>0</v>
      </c>
      <c r="G349" s="10">
        <f t="shared" si="37"/>
        <v>0</v>
      </c>
      <c r="H349" s="2">
        <f>'HOUSE DATA'!C322+C349+G349</f>
        <v>52.860000000000007</v>
      </c>
      <c r="I349" s="3" t="str">
        <f t="shared" si="38"/>
        <v>D</v>
      </c>
      <c r="J349" s="1" t="str">
        <f>'HOUSE DATA'!K322</f>
        <v>D</v>
      </c>
      <c r="K349" s="1" t="str">
        <f t="shared" si="39"/>
        <v>—</v>
      </c>
      <c r="L349" t="str">
        <f t="shared" si="40"/>
        <v>D+52.86</v>
      </c>
      <c r="M349">
        <f>COUNTIF($H$31:$H$465,"&gt;"&amp;H349)+COUNTIF($H$31:H349,H349)</f>
        <v>49</v>
      </c>
      <c r="N349" s="7">
        <f t="shared" si="41"/>
        <v>52.860000000000007</v>
      </c>
      <c r="O349">
        <f>COUNTIF($N$31:$N$465,"&lt;"&amp;N349)+COUNTIF($N$31:N349,N349)</f>
        <v>377</v>
      </c>
      <c r="P349" s="10">
        <f>'HOUSE DATA'!M322</f>
        <v>41.900000000000006</v>
      </c>
      <c r="Q349" t="str">
        <f>'HOUSE DATA'!N322</f>
        <v>2024 HOUSE / prior substitute</v>
      </c>
      <c r="R349" s="10">
        <f t="shared" si="42"/>
        <v>10.96</v>
      </c>
      <c r="S349" s="10">
        <f t="shared" si="43"/>
        <v>9.163346618389177</v>
      </c>
      <c r="T349" s="10">
        <f t="shared" si="44"/>
        <v>1.7966533816108239</v>
      </c>
      <c r="U349" t="s">
        <v>73</v>
      </c>
      <c r="W349" t="s">
        <v>74</v>
      </c>
      <c r="X349" t="s">
        <v>75</v>
      </c>
    </row>
    <row r="350" spans="1:24" x14ac:dyDescent="0.2">
      <c r="A350" t="str">
        <f>'HOUSE DATA'!A323</f>
        <v>OR-02</v>
      </c>
      <c r="B350" s="10">
        <f>'HOUSE DATA'!B323</f>
        <v>-21.520419598231772</v>
      </c>
      <c r="C350" s="10">
        <f t="shared" si="36"/>
        <v>-0.29999999999999893</v>
      </c>
      <c r="D350" s="10">
        <f>2*('HOUSE DATA'!D323*('HOUSE DASHBOARD'!$B$14-42.4)+'HOUSE DATA'!E323*('HOUSE DASHBOARD'!$B$15-54.2)+'HOUSE DATA'!F323*('HOUSE DASHBOARD'!$B$16-85.4)+'HOUSE DATA'!G323*('HOUSE DASHBOARD'!$B$17-60.7)+'HOUSE DATA'!H323*('HOUSE DASHBOARD'!$B$18-53.5))/100</f>
        <v>0</v>
      </c>
      <c r="E350" s="10">
        <f>2*('HOUSE DATA'!I323*('HOUSE DASHBOARD'!$B$21-55.6)+(100-'HOUSE DATA'!I323)*('HOUSE DASHBOARD'!$B$22-44.9))/100</f>
        <v>0</v>
      </c>
      <c r="F350" s="10">
        <f>0</f>
        <v>0</v>
      </c>
      <c r="G350" s="10">
        <f t="shared" si="37"/>
        <v>0</v>
      </c>
      <c r="H350" s="2">
        <f>'HOUSE DATA'!C323+C350+G350</f>
        <v>-21.179999999999993</v>
      </c>
      <c r="I350" s="3" t="str">
        <f t="shared" si="38"/>
        <v>R</v>
      </c>
      <c r="J350" s="1" t="str">
        <f>'HOUSE DATA'!K323</f>
        <v>R</v>
      </c>
      <c r="K350" s="1" t="str">
        <f t="shared" si="39"/>
        <v>—</v>
      </c>
      <c r="L350" t="str">
        <f t="shared" si="40"/>
        <v>R+21.18</v>
      </c>
      <c r="M350">
        <f>COUNTIF($H$31:$H$465,"&gt;"&amp;H350)+COUNTIF($H$31:H350,H350)</f>
        <v>365</v>
      </c>
      <c r="N350" s="7">
        <f t="shared" si="41"/>
        <v>21.179999999999993</v>
      </c>
      <c r="O350">
        <f>COUNTIF($N$31:$N$465,"&lt;"&amp;N350)+COUNTIF($N$31:N350,N350)</f>
        <v>201</v>
      </c>
      <c r="P350" s="10">
        <f>'HOUSE DATA'!M323</f>
        <v>-32.139999999999993</v>
      </c>
      <c r="Q350" t="str">
        <f>'HOUSE DATA'!N323</f>
        <v>2024 HOUSE / prior substitute</v>
      </c>
      <c r="R350" s="10">
        <f t="shared" si="42"/>
        <v>10.96</v>
      </c>
      <c r="S350" s="10">
        <f t="shared" si="43"/>
        <v>10.619580401768221</v>
      </c>
      <c r="T350" s="10">
        <f t="shared" si="44"/>
        <v>0.34041959823177947</v>
      </c>
      <c r="U350" t="s">
        <v>73</v>
      </c>
      <c r="W350" t="s">
        <v>74</v>
      </c>
      <c r="X350" t="s">
        <v>75</v>
      </c>
    </row>
    <row r="351" spans="1:24" x14ac:dyDescent="0.2">
      <c r="A351" t="str">
        <f>'HOUSE DATA'!A324</f>
        <v>OR-03</v>
      </c>
      <c r="B351" s="10">
        <f>'HOUSE DATA'!B324</f>
        <v>55.565298996288156</v>
      </c>
      <c r="C351" s="10">
        <f t="shared" ref="C351:C414" si="45">$D$5</f>
        <v>-0.29999999999999893</v>
      </c>
      <c r="D351" s="10">
        <f>2*('HOUSE DATA'!D324*('HOUSE DASHBOARD'!$B$14-42.4)+'HOUSE DATA'!E324*('HOUSE DASHBOARD'!$B$15-54.2)+'HOUSE DATA'!F324*('HOUSE DASHBOARD'!$B$16-85.4)+'HOUSE DATA'!G324*('HOUSE DASHBOARD'!$B$17-60.7)+'HOUSE DATA'!H324*('HOUSE DASHBOARD'!$B$18-53.5))/100</f>
        <v>0</v>
      </c>
      <c r="E351" s="10">
        <f>2*('HOUSE DATA'!I324*('HOUSE DASHBOARD'!$B$21-55.6)+(100-'HOUSE DATA'!I324)*('HOUSE DASHBOARD'!$B$22-44.9))/100</f>
        <v>0</v>
      </c>
      <c r="F351" s="10">
        <f>0</f>
        <v>0</v>
      </c>
      <c r="G351" s="10">
        <f t="shared" ref="G351:G414" si="46">(D351+E351)/2</f>
        <v>0</v>
      </c>
      <c r="H351" s="2">
        <f>'HOUSE DATA'!C324+C351+G351</f>
        <v>56.68</v>
      </c>
      <c r="I351" s="3" t="str">
        <f t="shared" ref="I351:I414" si="47">IF(V351="D","D",IF(V351="R","R",IF(H351&gt;=0,"D","R")))</f>
        <v>D</v>
      </c>
      <c r="J351" s="1" t="str">
        <f>'HOUSE DATA'!K324</f>
        <v>D</v>
      </c>
      <c r="K351" s="1" t="str">
        <f t="shared" ref="K351:K414" si="48">IF(I351=J351,"—",J351&amp;" → "&amp;I351)</f>
        <v>—</v>
      </c>
      <c r="L351" t="str">
        <f t="shared" ref="L351:L414" si="49">IF(V351="D","D — BALLOT LOCK",IF(V351="R","R — BALLOT LOCK",IF(H351&gt;=0,"D+"&amp;TEXT(H351,"0.00"),"R+"&amp;TEXT(-H351,"0.00"))))</f>
        <v>D+56.68</v>
      </c>
      <c r="M351">
        <f>COUNTIF($H$31:$H$465,"&gt;"&amp;H351)+COUNTIF($H$31:H351,H351)</f>
        <v>41</v>
      </c>
      <c r="N351" s="7">
        <f t="shared" ref="N351:N414" si="50">IF(V351&lt;&gt;"",100,ABS(H351))</f>
        <v>56.68</v>
      </c>
      <c r="O351">
        <f>COUNTIF($N$31:$N$465,"&lt;"&amp;N351)+COUNTIF($N$31:N351,N351)</f>
        <v>387</v>
      </c>
      <c r="P351" s="10">
        <f>'HOUSE DATA'!M324</f>
        <v>45.72</v>
      </c>
      <c r="Q351" t="str">
        <f>'HOUSE DATA'!N324</f>
        <v>2024 HOUSE / prior substitute</v>
      </c>
      <c r="R351" s="10">
        <f t="shared" ref="R351:R414" si="51">H351-P351</f>
        <v>10.96</v>
      </c>
      <c r="S351" s="10">
        <f t="shared" ref="S351:S414" si="52">B351-P351</f>
        <v>9.8452989962881574</v>
      </c>
      <c r="T351" s="10">
        <f t="shared" ref="T351:T414" si="53">H351-B351</f>
        <v>1.1147010037118434</v>
      </c>
      <c r="U351" t="s">
        <v>73</v>
      </c>
      <c r="W351" t="s">
        <v>74</v>
      </c>
      <c r="X351" t="s">
        <v>75</v>
      </c>
    </row>
    <row r="352" spans="1:24" x14ac:dyDescent="0.2">
      <c r="A352" t="str">
        <f>'HOUSE DATA'!A325</f>
        <v>OR-04</v>
      </c>
      <c r="B352" s="10">
        <f>'HOUSE DATA'!B325</f>
        <v>18.530722074223277</v>
      </c>
      <c r="C352" s="10">
        <f t="shared" si="45"/>
        <v>-0.29999999999999893</v>
      </c>
      <c r="D352" s="10">
        <f>2*('HOUSE DATA'!D325*('HOUSE DASHBOARD'!$B$14-42.4)+'HOUSE DATA'!E325*('HOUSE DASHBOARD'!$B$15-54.2)+'HOUSE DATA'!F325*('HOUSE DASHBOARD'!$B$16-85.4)+'HOUSE DATA'!G325*('HOUSE DASHBOARD'!$B$17-60.7)+'HOUSE DATA'!H325*('HOUSE DASHBOARD'!$B$18-53.5))/100</f>
        <v>0</v>
      </c>
      <c r="E352" s="10">
        <f>2*('HOUSE DATA'!I325*('HOUSE DASHBOARD'!$B$21-55.6)+(100-'HOUSE DATA'!I325)*('HOUSE DASHBOARD'!$B$22-44.9))/100</f>
        <v>0</v>
      </c>
      <c r="F352" s="10">
        <f>0</f>
        <v>0</v>
      </c>
      <c r="G352" s="10">
        <f t="shared" si="46"/>
        <v>0</v>
      </c>
      <c r="H352" s="2">
        <f>'HOUSE DATA'!C325+C352+G352</f>
        <v>19.079999999999998</v>
      </c>
      <c r="I352" s="3" t="str">
        <f t="shared" si="47"/>
        <v>D</v>
      </c>
      <c r="J352" s="1" t="str">
        <f>'HOUSE DATA'!K325</f>
        <v>D</v>
      </c>
      <c r="K352" s="1" t="str">
        <f t="shared" si="48"/>
        <v>—</v>
      </c>
      <c r="L352" t="str">
        <f t="shared" si="49"/>
        <v>D+19.08</v>
      </c>
      <c r="M352">
        <f>COUNTIF($H$31:$H$465,"&gt;"&amp;H352)+COUNTIF($H$31:H352,H352)</f>
        <v>177</v>
      </c>
      <c r="N352" s="7">
        <f t="shared" si="50"/>
        <v>19.079999999999998</v>
      </c>
      <c r="O352">
        <f>COUNTIF($N$31:$N$465,"&lt;"&amp;N352)+COUNTIF($N$31:N352,N352)</f>
        <v>176</v>
      </c>
      <c r="P352" s="10">
        <f>'HOUSE DATA'!M325</f>
        <v>8.1199999999999974</v>
      </c>
      <c r="Q352" t="str">
        <f>'HOUSE DATA'!N325</f>
        <v>2024 HOUSE / prior substitute</v>
      </c>
      <c r="R352" s="10">
        <f t="shared" si="51"/>
        <v>10.96</v>
      </c>
      <c r="S352" s="10">
        <f t="shared" si="52"/>
        <v>10.41072207422328</v>
      </c>
      <c r="T352" s="10">
        <f t="shared" si="53"/>
        <v>0.54927792577672108</v>
      </c>
      <c r="U352" t="s">
        <v>73</v>
      </c>
      <c r="W352" t="s">
        <v>74</v>
      </c>
      <c r="X352" t="s">
        <v>75</v>
      </c>
    </row>
    <row r="353" spans="1:24" x14ac:dyDescent="0.2">
      <c r="A353" t="str">
        <f>'HOUSE DATA'!A326</f>
        <v>OR-05</v>
      </c>
      <c r="B353" s="10">
        <f>'HOUSE DATA'!B326</f>
        <v>11.439199055473178</v>
      </c>
      <c r="C353" s="10">
        <f t="shared" si="45"/>
        <v>-0.29999999999999893</v>
      </c>
      <c r="D353" s="10">
        <f>2*('HOUSE DATA'!D326*('HOUSE DASHBOARD'!$B$14-42.4)+'HOUSE DATA'!E326*('HOUSE DASHBOARD'!$B$15-54.2)+'HOUSE DATA'!F326*('HOUSE DASHBOARD'!$B$16-85.4)+'HOUSE DATA'!G326*('HOUSE DASHBOARD'!$B$17-60.7)+'HOUSE DATA'!H326*('HOUSE DASHBOARD'!$B$18-53.5))/100</f>
        <v>0</v>
      </c>
      <c r="E353" s="10">
        <f>2*('HOUSE DATA'!I326*('HOUSE DASHBOARD'!$B$21-55.6)+(100-'HOUSE DATA'!I326)*('HOUSE DASHBOARD'!$B$22-44.9))/100</f>
        <v>0</v>
      </c>
      <c r="F353" s="10">
        <f>0</f>
        <v>0</v>
      </c>
      <c r="G353" s="10">
        <f t="shared" si="46"/>
        <v>0</v>
      </c>
      <c r="H353" s="2">
        <f>'HOUSE DATA'!C326+C353+G353</f>
        <v>13.900000000000006</v>
      </c>
      <c r="I353" s="3" t="str">
        <f t="shared" si="47"/>
        <v>D</v>
      </c>
      <c r="J353" s="1" t="str">
        <f>'HOUSE DATA'!K326</f>
        <v>D</v>
      </c>
      <c r="K353" s="1" t="str">
        <f t="shared" si="48"/>
        <v>—</v>
      </c>
      <c r="L353" t="str">
        <f t="shared" si="49"/>
        <v>D+13.90</v>
      </c>
      <c r="M353">
        <f>COUNTIF($H$31:$H$465,"&gt;"&amp;H353)+COUNTIF($H$31:H353,H353)</f>
        <v>202</v>
      </c>
      <c r="N353" s="7">
        <f t="shared" si="50"/>
        <v>13.900000000000006</v>
      </c>
      <c r="O353">
        <f>COUNTIF($N$31:$N$465,"&lt;"&amp;N353)+COUNTIF($N$31:N353,N353)</f>
        <v>125</v>
      </c>
      <c r="P353" s="10">
        <f>'HOUSE DATA'!M326</f>
        <v>2.9400000000000048</v>
      </c>
      <c r="Q353" t="str">
        <f>'HOUSE DATA'!N326</f>
        <v>2024 HOUSE / prior substitute</v>
      </c>
      <c r="R353" s="10">
        <f t="shared" si="51"/>
        <v>10.96</v>
      </c>
      <c r="S353" s="10">
        <f t="shared" si="52"/>
        <v>8.4991990554731736</v>
      </c>
      <c r="T353" s="10">
        <f t="shared" si="53"/>
        <v>2.4608009445268273</v>
      </c>
      <c r="U353" t="s">
        <v>73</v>
      </c>
      <c r="W353" t="s">
        <v>74</v>
      </c>
      <c r="X353" t="s">
        <v>75</v>
      </c>
    </row>
    <row r="354" spans="1:24" x14ac:dyDescent="0.2">
      <c r="A354" t="str">
        <f>'HOUSE DATA'!A327</f>
        <v>OR-06</v>
      </c>
      <c r="B354" s="10">
        <f>'HOUSE DATA'!B327</f>
        <v>16.743550324222795</v>
      </c>
      <c r="C354" s="10">
        <f t="shared" si="45"/>
        <v>-0.29999999999999893</v>
      </c>
      <c r="D354" s="10">
        <f>2*('HOUSE DATA'!D327*('HOUSE DASHBOARD'!$B$14-42.4)+'HOUSE DATA'!E327*('HOUSE DASHBOARD'!$B$15-54.2)+'HOUSE DATA'!F327*('HOUSE DASHBOARD'!$B$16-85.4)+'HOUSE DATA'!G327*('HOUSE DASHBOARD'!$B$17-60.7)+'HOUSE DATA'!H327*('HOUSE DASHBOARD'!$B$18-53.5))/100</f>
        <v>0</v>
      </c>
      <c r="E354" s="10">
        <f>2*('HOUSE DATA'!I327*('HOUSE DASHBOARD'!$B$21-55.6)+(100-'HOUSE DATA'!I327)*('HOUSE DASHBOARD'!$B$22-44.9))/100</f>
        <v>0</v>
      </c>
      <c r="F354" s="10">
        <f>0</f>
        <v>0</v>
      </c>
      <c r="G354" s="10">
        <f t="shared" si="46"/>
        <v>0</v>
      </c>
      <c r="H354" s="2">
        <f>'HOUSE DATA'!C327+C354+G354</f>
        <v>17.82</v>
      </c>
      <c r="I354" s="3" t="str">
        <f t="shared" si="47"/>
        <v>D</v>
      </c>
      <c r="J354" s="1" t="str">
        <f>'HOUSE DATA'!K327</f>
        <v>D</v>
      </c>
      <c r="K354" s="1" t="str">
        <f t="shared" si="48"/>
        <v>—</v>
      </c>
      <c r="L354" t="str">
        <f t="shared" si="49"/>
        <v>D+17.82</v>
      </c>
      <c r="M354">
        <f>COUNTIF($H$31:$H$465,"&gt;"&amp;H354)+COUNTIF($H$31:H354,H354)</f>
        <v>185</v>
      </c>
      <c r="N354" s="7">
        <f t="shared" si="50"/>
        <v>17.82</v>
      </c>
      <c r="O354">
        <f>COUNTIF($N$31:$N$465,"&lt;"&amp;N354)+COUNTIF($N$31:N354,N354)</f>
        <v>158</v>
      </c>
      <c r="P354" s="10">
        <f>'HOUSE DATA'!M327</f>
        <v>6.8599999999999994</v>
      </c>
      <c r="Q354" t="str">
        <f>'HOUSE DATA'!N327</f>
        <v>2024 HOUSE / prior substitute</v>
      </c>
      <c r="R354" s="10">
        <f t="shared" si="51"/>
        <v>10.96</v>
      </c>
      <c r="S354" s="10">
        <f t="shared" si="52"/>
        <v>9.8835503242227958</v>
      </c>
      <c r="T354" s="10">
        <f t="shared" si="53"/>
        <v>1.0764496757772051</v>
      </c>
      <c r="U354" t="s">
        <v>73</v>
      </c>
      <c r="W354" t="s">
        <v>74</v>
      </c>
      <c r="X354" t="s">
        <v>75</v>
      </c>
    </row>
    <row r="355" spans="1:24" x14ac:dyDescent="0.2">
      <c r="A355" t="str">
        <f>'HOUSE DATA'!A328</f>
        <v>PA-01</v>
      </c>
      <c r="B355" s="10">
        <f>'HOUSE DATA'!B328</f>
        <v>-5.0164351067820361</v>
      </c>
      <c r="C355" s="10">
        <f t="shared" si="45"/>
        <v>-0.29999999999999893</v>
      </c>
      <c r="D355" s="10">
        <f>2*('HOUSE DATA'!D328*('HOUSE DASHBOARD'!$B$14-42.4)+'HOUSE DATA'!E328*('HOUSE DASHBOARD'!$B$15-54.2)+'HOUSE DATA'!F328*('HOUSE DASHBOARD'!$B$16-85.4)+'HOUSE DATA'!G328*('HOUSE DASHBOARD'!$B$17-60.7)+'HOUSE DATA'!H328*('HOUSE DASHBOARD'!$B$18-53.5))/100</f>
        <v>0</v>
      </c>
      <c r="E355" s="10">
        <f>2*('HOUSE DATA'!I328*('HOUSE DASHBOARD'!$B$21-55.6)+(100-'HOUSE DATA'!I328)*('HOUSE DASHBOARD'!$B$22-44.9))/100</f>
        <v>0</v>
      </c>
      <c r="F355" s="10">
        <f>0</f>
        <v>0</v>
      </c>
      <c r="G355" s="10">
        <f t="shared" si="46"/>
        <v>0</v>
      </c>
      <c r="H355" s="2">
        <f>'HOUSE DATA'!C328+C355+G355</f>
        <v>-1.8399999999999894</v>
      </c>
      <c r="I355" s="3" t="str">
        <f t="shared" si="47"/>
        <v>R</v>
      </c>
      <c r="J355" s="1" t="str">
        <f>'HOUSE DATA'!K328</f>
        <v>R</v>
      </c>
      <c r="K355" s="1" t="str">
        <f t="shared" si="48"/>
        <v>—</v>
      </c>
      <c r="L355" t="str">
        <f t="shared" si="49"/>
        <v>R+1.84</v>
      </c>
      <c r="M355">
        <f>COUNTIF($H$31:$H$465,"&gt;"&amp;H355)+COUNTIF($H$31:H355,H355)</f>
        <v>245</v>
      </c>
      <c r="N355" s="7">
        <f t="shared" si="50"/>
        <v>1.8399999999999894</v>
      </c>
      <c r="O355">
        <f>COUNTIF($N$31:$N$465,"&lt;"&amp;N355)+COUNTIF($N$31:N355,N355)</f>
        <v>15</v>
      </c>
      <c r="P355" s="10">
        <f>'HOUSE DATA'!M328</f>
        <v>-12.79999999999999</v>
      </c>
      <c r="Q355" t="str">
        <f>'HOUSE DATA'!N328</f>
        <v>2024 HOUSE / prior substitute</v>
      </c>
      <c r="R355" s="10">
        <f t="shared" si="51"/>
        <v>10.96</v>
      </c>
      <c r="S355" s="10">
        <f t="shared" si="52"/>
        <v>7.783564893217954</v>
      </c>
      <c r="T355" s="10">
        <f t="shared" si="53"/>
        <v>3.1764351067820469</v>
      </c>
      <c r="U355" t="s">
        <v>73</v>
      </c>
      <c r="W355" t="s">
        <v>74</v>
      </c>
      <c r="X355" t="s">
        <v>75</v>
      </c>
    </row>
    <row r="356" spans="1:24" x14ac:dyDescent="0.2">
      <c r="A356" t="str">
        <f>'HOUSE DATA'!A329</f>
        <v>PA-02</v>
      </c>
      <c r="B356" s="10">
        <f>'HOUSE DATA'!B329</f>
        <v>56.849231356908078</v>
      </c>
      <c r="C356" s="10">
        <f t="shared" si="45"/>
        <v>-0.29999999999999893</v>
      </c>
      <c r="D356" s="10">
        <f>2*('HOUSE DATA'!D329*('HOUSE DASHBOARD'!$B$14-42.4)+'HOUSE DATA'!E329*('HOUSE DASHBOARD'!$B$15-54.2)+'HOUSE DATA'!F329*('HOUSE DASHBOARD'!$B$16-85.4)+'HOUSE DATA'!G329*('HOUSE DASHBOARD'!$B$17-60.7)+'HOUSE DATA'!H329*('HOUSE DASHBOARD'!$B$18-53.5))/100</f>
        <v>0</v>
      </c>
      <c r="E356" s="10">
        <f>2*('HOUSE DATA'!I329*('HOUSE DASHBOARD'!$B$21-55.6)+(100-'HOUSE DATA'!I329)*('HOUSE DASHBOARD'!$B$22-44.9))/100</f>
        <v>0</v>
      </c>
      <c r="F356" s="10">
        <f>0</f>
        <v>0</v>
      </c>
      <c r="G356" s="10">
        <f t="shared" si="46"/>
        <v>0</v>
      </c>
      <c r="H356" s="2">
        <f>'HOUSE DATA'!C329+C356+G356</f>
        <v>53.88000000000001</v>
      </c>
      <c r="I356" s="3" t="str">
        <f t="shared" si="47"/>
        <v>D</v>
      </c>
      <c r="J356" s="1" t="str">
        <f>'HOUSE DATA'!K329</f>
        <v>D</v>
      </c>
      <c r="K356" s="1" t="str">
        <f t="shared" si="48"/>
        <v>—</v>
      </c>
      <c r="L356" t="str">
        <f t="shared" si="49"/>
        <v>D+53.88</v>
      </c>
      <c r="M356">
        <f>COUNTIF($H$31:$H$465,"&gt;"&amp;H356)+COUNTIF($H$31:H356,H356)</f>
        <v>47</v>
      </c>
      <c r="N356" s="7">
        <f t="shared" si="50"/>
        <v>53.88000000000001</v>
      </c>
      <c r="O356">
        <f>COUNTIF($N$31:$N$465,"&lt;"&amp;N356)+COUNTIF($N$31:N356,N356)</f>
        <v>379</v>
      </c>
      <c r="P356" s="10">
        <f>'HOUSE DATA'!M329</f>
        <v>42.920000000000009</v>
      </c>
      <c r="Q356" t="str">
        <f>'HOUSE DATA'!N329</f>
        <v>2024 HOUSE / prior substitute</v>
      </c>
      <c r="R356" s="10">
        <f t="shared" si="51"/>
        <v>10.96</v>
      </c>
      <c r="S356" s="10">
        <f t="shared" si="52"/>
        <v>13.929231356908069</v>
      </c>
      <c r="T356" s="10">
        <f t="shared" si="53"/>
        <v>-2.9692313569080682</v>
      </c>
      <c r="U356" t="s">
        <v>73</v>
      </c>
      <c r="W356" t="s">
        <v>74</v>
      </c>
      <c r="X356" t="s">
        <v>75</v>
      </c>
    </row>
    <row r="357" spans="1:24" x14ac:dyDescent="0.2">
      <c r="A357" t="str">
        <f>'HOUSE DATA'!A330</f>
        <v>PA-03</v>
      </c>
      <c r="B357" s="10">
        <f>'HOUSE DATA'!B330</f>
        <v>89.916108504934314</v>
      </c>
      <c r="C357" s="10">
        <f t="shared" si="45"/>
        <v>-0.29999999999999893</v>
      </c>
      <c r="D357" s="10">
        <f>2*('HOUSE DATA'!D330*('HOUSE DASHBOARD'!$B$14-42.4)+'HOUSE DATA'!E330*('HOUSE DASHBOARD'!$B$15-54.2)+'HOUSE DATA'!F330*('HOUSE DASHBOARD'!$B$16-85.4)+'HOUSE DATA'!G330*('HOUSE DASHBOARD'!$B$17-60.7)+'HOUSE DATA'!H330*('HOUSE DASHBOARD'!$B$18-53.5))/100</f>
        <v>0</v>
      </c>
      <c r="E357" s="10">
        <f>2*('HOUSE DATA'!I330*('HOUSE DASHBOARD'!$B$21-55.6)+(100-'HOUSE DATA'!I330)*('HOUSE DASHBOARD'!$B$22-44.9))/100</f>
        <v>0</v>
      </c>
      <c r="F357" s="10">
        <f>0</f>
        <v>0</v>
      </c>
      <c r="G357" s="10">
        <f t="shared" si="46"/>
        <v>0</v>
      </c>
      <c r="H357" s="2">
        <f>'HOUSE DATA'!C330+C357+G357</f>
        <v>87.86999999999999</v>
      </c>
      <c r="I357" s="3" t="str">
        <f t="shared" si="47"/>
        <v>D</v>
      </c>
      <c r="J357" s="1" t="str">
        <f>'HOUSE DATA'!K330</f>
        <v>D</v>
      </c>
      <c r="K357" s="1" t="str">
        <f t="shared" si="48"/>
        <v>—</v>
      </c>
      <c r="L357" t="str">
        <f t="shared" si="49"/>
        <v>D+87.87</v>
      </c>
      <c r="M357">
        <f>COUNTIF($H$31:$H$465,"&gt;"&amp;H357)+COUNTIF($H$31:H357,H357)</f>
        <v>3</v>
      </c>
      <c r="N357" s="7">
        <f t="shared" si="50"/>
        <v>87.86999999999999</v>
      </c>
      <c r="O357">
        <f>COUNTIF($N$31:$N$465,"&lt;"&amp;N357)+COUNTIF($N$31:N357,N357)</f>
        <v>420</v>
      </c>
      <c r="P357" s="10">
        <f>'HOUSE DATA'!M330</f>
        <v>77.319999999999993</v>
      </c>
      <c r="Q357" t="str">
        <f>'HOUSE DATA'!N330</f>
        <v>2024 PRESIDENT (open seat)</v>
      </c>
      <c r="R357" s="10">
        <f t="shared" si="51"/>
        <v>10.549999999999997</v>
      </c>
      <c r="S357" s="10">
        <f t="shared" si="52"/>
        <v>12.596108504934321</v>
      </c>
      <c r="T357" s="10">
        <f t="shared" si="53"/>
        <v>-2.0461085049343239</v>
      </c>
      <c r="U357" t="s">
        <v>87</v>
      </c>
      <c r="W357" t="s">
        <v>88</v>
      </c>
      <c r="X357" t="s">
        <v>89</v>
      </c>
    </row>
    <row r="358" spans="1:24" x14ac:dyDescent="0.2">
      <c r="A358" t="str">
        <f>'HOUSE DATA'!A331</f>
        <v>PA-04</v>
      </c>
      <c r="B358" s="10">
        <f>'HOUSE DATA'!B331</f>
        <v>25.924327333361681</v>
      </c>
      <c r="C358" s="10">
        <f t="shared" si="45"/>
        <v>-0.29999999999999893</v>
      </c>
      <c r="D358" s="10">
        <f>2*('HOUSE DATA'!D331*('HOUSE DASHBOARD'!$B$14-42.4)+'HOUSE DATA'!E331*('HOUSE DASHBOARD'!$B$15-54.2)+'HOUSE DATA'!F331*('HOUSE DASHBOARD'!$B$16-85.4)+'HOUSE DATA'!G331*('HOUSE DASHBOARD'!$B$17-60.7)+'HOUSE DATA'!H331*('HOUSE DASHBOARD'!$B$18-53.5))/100</f>
        <v>0</v>
      </c>
      <c r="E358" s="10">
        <f>2*('HOUSE DATA'!I331*('HOUSE DASHBOARD'!$B$21-55.6)+(100-'HOUSE DATA'!I331)*('HOUSE DASHBOARD'!$B$22-44.9))/100</f>
        <v>0</v>
      </c>
      <c r="F358" s="10">
        <f>0</f>
        <v>0</v>
      </c>
      <c r="G358" s="10">
        <f t="shared" si="46"/>
        <v>0</v>
      </c>
      <c r="H358" s="2">
        <f>'HOUSE DATA'!C331+C358+G358</f>
        <v>29.1</v>
      </c>
      <c r="I358" s="3" t="str">
        <f t="shared" si="47"/>
        <v>D</v>
      </c>
      <c r="J358" s="1" t="str">
        <f>'HOUSE DATA'!K331</f>
        <v>D</v>
      </c>
      <c r="K358" s="1" t="str">
        <f t="shared" si="48"/>
        <v>—</v>
      </c>
      <c r="L358" t="str">
        <f t="shared" si="49"/>
        <v>D+29.10</v>
      </c>
      <c r="M358">
        <f>COUNTIF($H$31:$H$465,"&gt;"&amp;H358)+COUNTIF($H$31:H358,H358)</f>
        <v>124</v>
      </c>
      <c r="N358" s="7">
        <f t="shared" si="50"/>
        <v>29.1</v>
      </c>
      <c r="O358">
        <f>COUNTIF($N$31:$N$465,"&lt;"&amp;N358)+COUNTIF($N$31:N358,N358)</f>
        <v>272</v>
      </c>
      <c r="P358" s="10">
        <f>'HOUSE DATA'!M331</f>
        <v>18.14</v>
      </c>
      <c r="Q358" t="str">
        <f>'HOUSE DATA'!N331</f>
        <v>2024 HOUSE / prior substitute</v>
      </c>
      <c r="R358" s="10">
        <f t="shared" si="51"/>
        <v>10.96</v>
      </c>
      <c r="S358" s="10">
        <f t="shared" si="52"/>
        <v>7.7843273333616807</v>
      </c>
      <c r="T358" s="10">
        <f t="shared" si="53"/>
        <v>3.1756726666383202</v>
      </c>
      <c r="U358" t="s">
        <v>73</v>
      </c>
      <c r="W358" t="s">
        <v>74</v>
      </c>
      <c r="X358" t="s">
        <v>75</v>
      </c>
    </row>
    <row r="359" spans="1:24" x14ac:dyDescent="0.2">
      <c r="A359" t="str">
        <f>'HOUSE DATA'!A332</f>
        <v>PA-05</v>
      </c>
      <c r="B359" s="10">
        <f>'HOUSE DATA'!B332</f>
        <v>40.544011738143688</v>
      </c>
      <c r="C359" s="10">
        <f t="shared" si="45"/>
        <v>-0.29999999999999893</v>
      </c>
      <c r="D359" s="10">
        <f>2*('HOUSE DATA'!D332*('HOUSE DASHBOARD'!$B$14-42.4)+'HOUSE DATA'!E332*('HOUSE DASHBOARD'!$B$15-54.2)+'HOUSE DATA'!F332*('HOUSE DASHBOARD'!$B$16-85.4)+'HOUSE DATA'!G332*('HOUSE DASHBOARD'!$B$17-60.7)+'HOUSE DATA'!H332*('HOUSE DASHBOARD'!$B$18-53.5))/100</f>
        <v>0</v>
      </c>
      <c r="E359" s="10">
        <f>2*('HOUSE DATA'!I332*('HOUSE DASHBOARD'!$B$21-55.6)+(100-'HOUSE DATA'!I332)*('HOUSE DASHBOARD'!$B$22-44.9))/100</f>
        <v>0</v>
      </c>
      <c r="F359" s="10">
        <f>0</f>
        <v>0</v>
      </c>
      <c r="G359" s="10">
        <f t="shared" si="46"/>
        <v>0</v>
      </c>
      <c r="H359" s="2">
        <f>'HOUSE DATA'!C332+C359+G359</f>
        <v>41.540000000000006</v>
      </c>
      <c r="I359" s="3" t="str">
        <f t="shared" si="47"/>
        <v>D</v>
      </c>
      <c r="J359" s="1" t="str">
        <f>'HOUSE DATA'!K332</f>
        <v>D</v>
      </c>
      <c r="K359" s="1" t="str">
        <f t="shared" si="48"/>
        <v>—</v>
      </c>
      <c r="L359" t="str">
        <f t="shared" si="49"/>
        <v>D+41.54</v>
      </c>
      <c r="M359">
        <f>COUNTIF($H$31:$H$465,"&gt;"&amp;H359)+COUNTIF($H$31:H359,H359)</f>
        <v>84</v>
      </c>
      <c r="N359" s="7">
        <f t="shared" si="50"/>
        <v>41.540000000000006</v>
      </c>
      <c r="O359">
        <f>COUNTIF($N$31:$N$465,"&lt;"&amp;N359)+COUNTIF($N$31:N359,N359)</f>
        <v>339</v>
      </c>
      <c r="P359" s="10">
        <f>'HOUSE DATA'!M332</f>
        <v>30.580000000000005</v>
      </c>
      <c r="Q359" t="str">
        <f>'HOUSE DATA'!N332</f>
        <v>2024 HOUSE / prior substitute</v>
      </c>
      <c r="R359" s="10">
        <f t="shared" si="51"/>
        <v>10.96</v>
      </c>
      <c r="S359" s="10">
        <f t="shared" si="52"/>
        <v>9.9640117381436824</v>
      </c>
      <c r="T359" s="10">
        <f t="shared" si="53"/>
        <v>0.9959882618563185</v>
      </c>
      <c r="U359" t="s">
        <v>73</v>
      </c>
      <c r="W359" t="s">
        <v>74</v>
      </c>
      <c r="X359" t="s">
        <v>75</v>
      </c>
    </row>
    <row r="360" spans="1:24" x14ac:dyDescent="0.2">
      <c r="A360" t="str">
        <f>'HOUSE DATA'!A333</f>
        <v>PA-06</v>
      </c>
      <c r="B360" s="10">
        <f>'HOUSE DATA'!B333</f>
        <v>20.57280276561508</v>
      </c>
      <c r="C360" s="10">
        <f t="shared" si="45"/>
        <v>-0.29999999999999893</v>
      </c>
      <c r="D360" s="10">
        <f>2*('HOUSE DATA'!D333*('HOUSE DASHBOARD'!$B$14-42.4)+'HOUSE DATA'!E333*('HOUSE DASHBOARD'!$B$15-54.2)+'HOUSE DATA'!F333*('HOUSE DASHBOARD'!$B$16-85.4)+'HOUSE DATA'!G333*('HOUSE DASHBOARD'!$B$17-60.7)+'HOUSE DATA'!H333*('HOUSE DASHBOARD'!$B$18-53.5))/100</f>
        <v>0</v>
      </c>
      <c r="E360" s="10">
        <f>2*('HOUSE DATA'!I333*('HOUSE DASHBOARD'!$B$21-55.6)+(100-'HOUSE DATA'!I333)*('HOUSE DASHBOARD'!$B$22-44.9))/100</f>
        <v>0</v>
      </c>
      <c r="F360" s="10">
        <f>0</f>
        <v>0</v>
      </c>
      <c r="G360" s="10">
        <f t="shared" si="46"/>
        <v>0</v>
      </c>
      <c r="H360" s="2">
        <f>'HOUSE DATA'!C333+C360+G360</f>
        <v>23.360000000000007</v>
      </c>
      <c r="I360" s="3" t="str">
        <f t="shared" si="47"/>
        <v>D</v>
      </c>
      <c r="J360" s="1" t="str">
        <f>'HOUSE DATA'!K333</f>
        <v>D</v>
      </c>
      <c r="K360" s="1" t="str">
        <f t="shared" si="48"/>
        <v>—</v>
      </c>
      <c r="L360" t="str">
        <f t="shared" si="49"/>
        <v>D+23.36</v>
      </c>
      <c r="M360">
        <f>COUNTIF($H$31:$H$465,"&gt;"&amp;H360)+COUNTIF($H$31:H360,H360)</f>
        <v>157</v>
      </c>
      <c r="N360" s="7">
        <f t="shared" si="50"/>
        <v>23.360000000000007</v>
      </c>
      <c r="O360">
        <f>COUNTIF($N$31:$N$465,"&lt;"&amp;N360)+COUNTIF($N$31:N360,N360)</f>
        <v>217</v>
      </c>
      <c r="P360" s="10">
        <f>'HOUSE DATA'!M333</f>
        <v>12.400000000000006</v>
      </c>
      <c r="Q360" t="str">
        <f>'HOUSE DATA'!N333</f>
        <v>2024 HOUSE / prior substitute</v>
      </c>
      <c r="R360" s="10">
        <f t="shared" si="51"/>
        <v>10.96</v>
      </c>
      <c r="S360" s="10">
        <f t="shared" si="52"/>
        <v>8.1728027656150743</v>
      </c>
      <c r="T360" s="10">
        <f t="shared" si="53"/>
        <v>2.7871972343849265</v>
      </c>
      <c r="U360" t="s">
        <v>73</v>
      </c>
      <c r="W360" t="s">
        <v>74</v>
      </c>
      <c r="X360" t="s">
        <v>75</v>
      </c>
    </row>
    <row r="361" spans="1:24" x14ac:dyDescent="0.2">
      <c r="A361" t="str">
        <f>'HOUSE DATA'!A334</f>
        <v>PA-07</v>
      </c>
      <c r="B361" s="10">
        <f>'HOUSE DATA'!B334</f>
        <v>9.4264391604219622</v>
      </c>
      <c r="C361" s="10">
        <f t="shared" si="45"/>
        <v>-0.29999999999999893</v>
      </c>
      <c r="D361" s="10">
        <f>2*('HOUSE DATA'!D334*('HOUSE DASHBOARD'!$B$14-42.4)+'HOUSE DATA'!E334*('HOUSE DASHBOARD'!$B$15-54.2)+'HOUSE DATA'!F334*('HOUSE DASHBOARD'!$B$16-85.4)+'HOUSE DATA'!G334*('HOUSE DASHBOARD'!$B$17-60.7)+'HOUSE DATA'!H334*('HOUSE DASHBOARD'!$B$18-53.5))/100</f>
        <v>0</v>
      </c>
      <c r="E361" s="10">
        <f>2*('HOUSE DATA'!I334*('HOUSE DASHBOARD'!$B$21-55.6)+(100-'HOUSE DATA'!I334)*('HOUSE DASHBOARD'!$B$22-44.9))/100</f>
        <v>0</v>
      </c>
      <c r="F361" s="10">
        <f>0</f>
        <v>0</v>
      </c>
      <c r="G361" s="10">
        <f t="shared" si="46"/>
        <v>0</v>
      </c>
      <c r="H361" s="2">
        <f>'HOUSE DATA'!C334+C361+G361</f>
        <v>9.9600000000000009</v>
      </c>
      <c r="I361" s="3" t="str">
        <f t="shared" si="47"/>
        <v>D</v>
      </c>
      <c r="J361" s="1" t="str">
        <f>'HOUSE DATA'!K334</f>
        <v>R</v>
      </c>
      <c r="K361" s="1" t="str">
        <f t="shared" si="48"/>
        <v>R → D</v>
      </c>
      <c r="L361" t="str">
        <f t="shared" si="49"/>
        <v>D+9.96</v>
      </c>
      <c r="M361">
        <f>COUNTIF($H$31:$H$465,"&gt;"&amp;H361)+COUNTIF($H$31:H361,H361)</f>
        <v>212</v>
      </c>
      <c r="N361" s="7">
        <f t="shared" si="50"/>
        <v>9.9600000000000009</v>
      </c>
      <c r="O361">
        <f>COUNTIF($N$31:$N$465,"&lt;"&amp;N361)+COUNTIF($N$31:N361,N361)</f>
        <v>86</v>
      </c>
      <c r="P361" s="10">
        <f>'HOUSE DATA'!M334</f>
        <v>-1</v>
      </c>
      <c r="Q361" t="str">
        <f>'HOUSE DATA'!N334</f>
        <v>2024 HOUSE / prior substitute</v>
      </c>
      <c r="R361" s="10">
        <f t="shared" si="51"/>
        <v>10.96</v>
      </c>
      <c r="S361" s="10">
        <f t="shared" si="52"/>
        <v>10.426439160421962</v>
      </c>
      <c r="T361" s="10">
        <f t="shared" si="53"/>
        <v>0.53356083957803868</v>
      </c>
      <c r="U361" t="s">
        <v>73</v>
      </c>
      <c r="W361" t="s">
        <v>74</v>
      </c>
      <c r="X361" t="s">
        <v>75</v>
      </c>
    </row>
    <row r="362" spans="1:24" x14ac:dyDescent="0.2">
      <c r="A362" t="str">
        <f>'HOUSE DATA'!A335</f>
        <v>PA-08</v>
      </c>
      <c r="B362" s="10">
        <f>'HOUSE DATA'!B335</f>
        <v>9.1005568120270617</v>
      </c>
      <c r="C362" s="10">
        <f t="shared" si="45"/>
        <v>-0.29999999999999893</v>
      </c>
      <c r="D362" s="10">
        <f>2*('HOUSE DATA'!D335*('HOUSE DASHBOARD'!$B$14-42.4)+'HOUSE DATA'!E335*('HOUSE DASHBOARD'!$B$15-54.2)+'HOUSE DATA'!F335*('HOUSE DASHBOARD'!$B$16-85.4)+'HOUSE DATA'!G335*('HOUSE DASHBOARD'!$B$17-60.7)+'HOUSE DATA'!H335*('HOUSE DASHBOARD'!$B$18-53.5))/100</f>
        <v>0</v>
      </c>
      <c r="E362" s="10">
        <f>2*('HOUSE DATA'!I335*('HOUSE DASHBOARD'!$B$21-55.6)+(100-'HOUSE DATA'!I335)*('HOUSE DASHBOARD'!$B$22-44.9))/100</f>
        <v>0</v>
      </c>
      <c r="F362" s="10">
        <f>0</f>
        <v>0</v>
      </c>
      <c r="G362" s="10">
        <f t="shared" si="46"/>
        <v>0</v>
      </c>
      <c r="H362" s="2">
        <f>'HOUSE DATA'!C335+C362+G362</f>
        <v>9.3399999999999963</v>
      </c>
      <c r="I362" s="3" t="str">
        <f t="shared" si="47"/>
        <v>D</v>
      </c>
      <c r="J362" s="1" t="str">
        <f>'HOUSE DATA'!K335</f>
        <v>R</v>
      </c>
      <c r="K362" s="1" t="str">
        <f t="shared" si="48"/>
        <v>R → D</v>
      </c>
      <c r="L362" t="str">
        <f t="shared" si="49"/>
        <v>D+9.34</v>
      </c>
      <c r="M362">
        <f>COUNTIF($H$31:$H$465,"&gt;"&amp;H362)+COUNTIF($H$31:H362,H362)</f>
        <v>215</v>
      </c>
      <c r="N362" s="7">
        <f t="shared" si="50"/>
        <v>9.3399999999999963</v>
      </c>
      <c r="O362">
        <f>COUNTIF($N$31:$N$465,"&lt;"&amp;N362)+COUNTIF($N$31:N362,N362)</f>
        <v>78</v>
      </c>
      <c r="P362" s="10">
        <f>'HOUSE DATA'!M335</f>
        <v>-1.6200000000000045</v>
      </c>
      <c r="Q362" t="str">
        <f>'HOUSE DATA'!N335</f>
        <v>2024 HOUSE / prior substitute</v>
      </c>
      <c r="R362" s="10">
        <f t="shared" si="51"/>
        <v>10.96</v>
      </c>
      <c r="S362" s="10">
        <f t="shared" si="52"/>
        <v>10.720556812027066</v>
      </c>
      <c r="T362" s="10">
        <f t="shared" si="53"/>
        <v>0.23944318797293462</v>
      </c>
      <c r="U362" t="s">
        <v>73</v>
      </c>
      <c r="W362" t="s">
        <v>74</v>
      </c>
      <c r="X362" t="s">
        <v>75</v>
      </c>
    </row>
    <row r="363" spans="1:24" x14ac:dyDescent="0.2">
      <c r="A363" t="str">
        <f>'HOUSE DATA'!A336</f>
        <v>PA-09</v>
      </c>
      <c r="B363" s="10">
        <f>'HOUSE DATA'!B336</f>
        <v>-31.113919188797428</v>
      </c>
      <c r="C363" s="10">
        <f t="shared" si="45"/>
        <v>-0.29999999999999893</v>
      </c>
      <c r="D363" s="10">
        <f>2*('HOUSE DATA'!D336*('HOUSE DASHBOARD'!$B$14-42.4)+'HOUSE DATA'!E336*('HOUSE DASHBOARD'!$B$15-54.2)+'HOUSE DATA'!F336*('HOUSE DASHBOARD'!$B$16-85.4)+'HOUSE DATA'!G336*('HOUSE DASHBOARD'!$B$17-60.7)+'HOUSE DATA'!H336*('HOUSE DASHBOARD'!$B$18-53.5))/100</f>
        <v>0</v>
      </c>
      <c r="E363" s="10">
        <f>2*('HOUSE DATA'!I336*('HOUSE DASHBOARD'!$B$21-55.6)+(100-'HOUSE DATA'!I336)*('HOUSE DASHBOARD'!$B$22-44.9))/100</f>
        <v>0</v>
      </c>
      <c r="F363" s="10">
        <f>0</f>
        <v>0</v>
      </c>
      <c r="G363" s="10">
        <f t="shared" si="46"/>
        <v>0</v>
      </c>
      <c r="H363" s="2">
        <f>'HOUSE DATA'!C336+C363+G363</f>
        <v>-30.059999999999995</v>
      </c>
      <c r="I363" s="3" t="str">
        <f t="shared" si="47"/>
        <v>R</v>
      </c>
      <c r="J363" s="1" t="str">
        <f>'HOUSE DATA'!K336</f>
        <v>R</v>
      </c>
      <c r="K363" s="1" t="str">
        <f t="shared" si="48"/>
        <v>—</v>
      </c>
      <c r="L363" t="str">
        <f t="shared" si="49"/>
        <v>R+30.06</v>
      </c>
      <c r="M363">
        <f>COUNTIF($H$31:$H$465,"&gt;"&amp;H363)+COUNTIF($H$31:H363,H363)</f>
        <v>401</v>
      </c>
      <c r="N363" s="7">
        <f t="shared" si="50"/>
        <v>30.059999999999995</v>
      </c>
      <c r="O363">
        <f>COUNTIF($N$31:$N$465,"&lt;"&amp;N363)+COUNTIF($N$31:N363,N363)</f>
        <v>278</v>
      </c>
      <c r="P363" s="10">
        <f>'HOUSE DATA'!M336</f>
        <v>-41.019999999999996</v>
      </c>
      <c r="Q363" t="str">
        <f>'HOUSE DATA'!N336</f>
        <v>2024 HOUSE / prior substitute</v>
      </c>
      <c r="R363" s="10">
        <f t="shared" si="51"/>
        <v>10.96</v>
      </c>
      <c r="S363" s="10">
        <f t="shared" si="52"/>
        <v>9.9060808112025676</v>
      </c>
      <c r="T363" s="10">
        <f t="shared" si="53"/>
        <v>1.0539191887974333</v>
      </c>
      <c r="U363" t="s">
        <v>73</v>
      </c>
      <c r="W363" t="s">
        <v>74</v>
      </c>
      <c r="X363" t="s">
        <v>75</v>
      </c>
    </row>
    <row r="364" spans="1:24" x14ac:dyDescent="0.2">
      <c r="A364" t="str">
        <f>'HOUSE DATA'!A337</f>
        <v>PA-10</v>
      </c>
      <c r="B364" s="10">
        <f>'HOUSE DATA'!B337</f>
        <v>8.5590189675028689</v>
      </c>
      <c r="C364" s="10">
        <f t="shared" si="45"/>
        <v>-0.29999999999999893</v>
      </c>
      <c r="D364" s="10">
        <f>2*('HOUSE DATA'!D337*('HOUSE DASHBOARD'!$B$14-42.4)+'HOUSE DATA'!E337*('HOUSE DASHBOARD'!$B$15-54.2)+'HOUSE DATA'!F337*('HOUSE DASHBOARD'!$B$16-85.4)+'HOUSE DATA'!G337*('HOUSE DASHBOARD'!$B$17-60.7)+'HOUSE DATA'!H337*('HOUSE DASHBOARD'!$B$18-53.5))/100</f>
        <v>0</v>
      </c>
      <c r="E364" s="10">
        <f>2*('HOUSE DATA'!I337*('HOUSE DASHBOARD'!$B$21-55.6)+(100-'HOUSE DATA'!I337)*('HOUSE DASHBOARD'!$B$22-44.9))/100</f>
        <v>0</v>
      </c>
      <c r="F364" s="10">
        <f>0</f>
        <v>0</v>
      </c>
      <c r="G364" s="10">
        <f t="shared" si="46"/>
        <v>0</v>
      </c>
      <c r="H364" s="2">
        <f>'HOUSE DATA'!C337+C364+G364</f>
        <v>9.7000000000000099</v>
      </c>
      <c r="I364" s="3" t="str">
        <f t="shared" si="47"/>
        <v>D</v>
      </c>
      <c r="J364" s="1" t="str">
        <f>'HOUSE DATA'!K337</f>
        <v>R</v>
      </c>
      <c r="K364" s="1" t="str">
        <f t="shared" si="48"/>
        <v>R → D</v>
      </c>
      <c r="L364" t="str">
        <f t="shared" si="49"/>
        <v>D+9.70</v>
      </c>
      <c r="M364">
        <f>COUNTIF($H$31:$H$465,"&gt;"&amp;H364)+COUNTIF($H$31:H364,H364)</f>
        <v>214</v>
      </c>
      <c r="N364" s="7">
        <f t="shared" si="50"/>
        <v>9.7000000000000099</v>
      </c>
      <c r="O364">
        <f>COUNTIF($N$31:$N$465,"&lt;"&amp;N364)+COUNTIF($N$31:N364,N364)</f>
        <v>84</v>
      </c>
      <c r="P364" s="10">
        <f>'HOUSE DATA'!M337</f>
        <v>-1.2599999999999909</v>
      </c>
      <c r="Q364" t="str">
        <f>'HOUSE DATA'!N337</f>
        <v>2024 HOUSE / prior substitute</v>
      </c>
      <c r="R364" s="10">
        <f t="shared" si="51"/>
        <v>10.96</v>
      </c>
      <c r="S364" s="10">
        <f t="shared" si="52"/>
        <v>9.8190189675028599</v>
      </c>
      <c r="T364" s="10">
        <f t="shared" si="53"/>
        <v>1.140981032497141</v>
      </c>
      <c r="U364" t="s">
        <v>73</v>
      </c>
      <c r="W364" t="s">
        <v>74</v>
      </c>
      <c r="X364" t="s">
        <v>75</v>
      </c>
    </row>
    <row r="365" spans="1:24" x14ac:dyDescent="0.2">
      <c r="A365" t="str">
        <f>'HOUSE DATA'!A338</f>
        <v>PA-11</v>
      </c>
      <c r="B365" s="10">
        <f>'HOUSE DATA'!B338</f>
        <v>-16.892023991182477</v>
      </c>
      <c r="C365" s="10">
        <f t="shared" si="45"/>
        <v>-0.29999999999999893</v>
      </c>
      <c r="D365" s="10">
        <f>2*('HOUSE DATA'!D338*('HOUSE DASHBOARD'!$B$14-42.4)+'HOUSE DATA'!E338*('HOUSE DASHBOARD'!$B$15-54.2)+'HOUSE DATA'!F338*('HOUSE DASHBOARD'!$B$16-85.4)+'HOUSE DATA'!G338*('HOUSE DASHBOARD'!$B$17-60.7)+'HOUSE DATA'!H338*('HOUSE DASHBOARD'!$B$18-53.5))/100</f>
        <v>0</v>
      </c>
      <c r="E365" s="10">
        <f>2*('HOUSE DATA'!I338*('HOUSE DASHBOARD'!$B$21-55.6)+(100-'HOUSE DATA'!I338)*('HOUSE DASHBOARD'!$B$22-44.9))/100</f>
        <v>0</v>
      </c>
      <c r="F365" s="10">
        <f>0</f>
        <v>0</v>
      </c>
      <c r="G365" s="10">
        <f t="shared" si="46"/>
        <v>0</v>
      </c>
      <c r="H365" s="2">
        <f>'HOUSE DATA'!C338+C365+G365</f>
        <v>-14.839999999999996</v>
      </c>
      <c r="I365" s="3" t="str">
        <f t="shared" si="47"/>
        <v>R</v>
      </c>
      <c r="J365" s="1" t="str">
        <f>'HOUSE DATA'!K338</f>
        <v>R</v>
      </c>
      <c r="K365" s="1" t="str">
        <f t="shared" si="48"/>
        <v>—</v>
      </c>
      <c r="L365" t="str">
        <f t="shared" si="49"/>
        <v>R+14.84</v>
      </c>
      <c r="M365">
        <f>COUNTIF($H$31:$H$465,"&gt;"&amp;H365)+COUNTIF($H$31:H365,H365)</f>
        <v>332</v>
      </c>
      <c r="N365" s="7">
        <f t="shared" si="50"/>
        <v>14.839999999999996</v>
      </c>
      <c r="O365">
        <f>COUNTIF($N$31:$N$465,"&lt;"&amp;N365)+COUNTIF($N$31:N365,N365)</f>
        <v>132</v>
      </c>
      <c r="P365" s="10">
        <f>'HOUSE DATA'!M338</f>
        <v>-25.799999999999997</v>
      </c>
      <c r="Q365" t="str">
        <f>'HOUSE DATA'!N338</f>
        <v>2024 HOUSE / prior substitute</v>
      </c>
      <c r="R365" s="10">
        <f t="shared" si="51"/>
        <v>10.96</v>
      </c>
      <c r="S365" s="10">
        <f t="shared" si="52"/>
        <v>8.9079760088175206</v>
      </c>
      <c r="T365" s="10">
        <f t="shared" si="53"/>
        <v>2.0520239911824802</v>
      </c>
      <c r="U365" t="s">
        <v>73</v>
      </c>
      <c r="W365" t="s">
        <v>74</v>
      </c>
      <c r="X365" t="s">
        <v>75</v>
      </c>
    </row>
    <row r="366" spans="1:24" x14ac:dyDescent="0.2">
      <c r="A366" t="str">
        <f>'HOUSE DATA'!A339</f>
        <v>PA-12</v>
      </c>
      <c r="B366" s="10">
        <f>'HOUSE DATA'!B339</f>
        <v>22.830936270834574</v>
      </c>
      <c r="C366" s="10">
        <f t="shared" si="45"/>
        <v>-0.29999999999999893</v>
      </c>
      <c r="D366" s="10">
        <f>2*('HOUSE DATA'!D339*('HOUSE DASHBOARD'!$B$14-42.4)+'HOUSE DATA'!E339*('HOUSE DASHBOARD'!$B$15-54.2)+'HOUSE DATA'!F339*('HOUSE DASHBOARD'!$B$16-85.4)+'HOUSE DATA'!G339*('HOUSE DASHBOARD'!$B$17-60.7)+'HOUSE DATA'!H339*('HOUSE DASHBOARD'!$B$18-53.5))/100</f>
        <v>0</v>
      </c>
      <c r="E366" s="10">
        <f>2*('HOUSE DATA'!I339*('HOUSE DASHBOARD'!$B$21-55.6)+(100-'HOUSE DATA'!I339)*('HOUSE DASHBOARD'!$B$22-44.9))/100</f>
        <v>0</v>
      </c>
      <c r="F366" s="10">
        <f>0</f>
        <v>0</v>
      </c>
      <c r="G366" s="10">
        <f t="shared" si="46"/>
        <v>0</v>
      </c>
      <c r="H366" s="2">
        <f>'HOUSE DATA'!C339+C366+G366</f>
        <v>23.78</v>
      </c>
      <c r="I366" s="3" t="str">
        <f t="shared" si="47"/>
        <v>D</v>
      </c>
      <c r="J366" s="1" t="str">
        <f>'HOUSE DATA'!K339</f>
        <v>D</v>
      </c>
      <c r="K366" s="1" t="str">
        <f t="shared" si="48"/>
        <v>—</v>
      </c>
      <c r="L366" t="str">
        <f t="shared" si="49"/>
        <v>D+23.78</v>
      </c>
      <c r="M366">
        <f>COUNTIF($H$31:$H$465,"&gt;"&amp;H366)+COUNTIF($H$31:H366,H366)</f>
        <v>152</v>
      </c>
      <c r="N366" s="7">
        <f t="shared" si="50"/>
        <v>23.78</v>
      </c>
      <c r="O366">
        <f>COUNTIF($N$31:$N$465,"&lt;"&amp;N366)+COUNTIF($N$31:N366,N366)</f>
        <v>227</v>
      </c>
      <c r="P366" s="10">
        <f>'HOUSE DATA'!M339</f>
        <v>12.82</v>
      </c>
      <c r="Q366" t="str">
        <f>'HOUSE DATA'!N339</f>
        <v>2024 HOUSE / prior substitute</v>
      </c>
      <c r="R366" s="10">
        <f t="shared" si="51"/>
        <v>10.96</v>
      </c>
      <c r="S366" s="10">
        <f t="shared" si="52"/>
        <v>10.010936270834573</v>
      </c>
      <c r="T366" s="10">
        <f t="shared" si="53"/>
        <v>0.94906372916542736</v>
      </c>
      <c r="U366" t="s">
        <v>73</v>
      </c>
      <c r="W366" t="s">
        <v>74</v>
      </c>
      <c r="X366" t="s">
        <v>75</v>
      </c>
    </row>
    <row r="367" spans="1:24" x14ac:dyDescent="0.2">
      <c r="A367" t="str">
        <f>'HOUSE DATA'!A340</f>
        <v>PA-13</v>
      </c>
      <c r="B367" s="10">
        <f>'HOUSE DATA'!B340</f>
        <v>-38.547891314606893</v>
      </c>
      <c r="C367" s="10">
        <f t="shared" si="45"/>
        <v>-0.29999999999999893</v>
      </c>
      <c r="D367" s="10">
        <f>2*('HOUSE DATA'!D340*('HOUSE DASHBOARD'!$B$14-42.4)+'HOUSE DATA'!E340*('HOUSE DASHBOARD'!$B$15-54.2)+'HOUSE DATA'!F340*('HOUSE DASHBOARD'!$B$16-85.4)+'HOUSE DATA'!G340*('HOUSE DASHBOARD'!$B$17-60.7)+'HOUSE DATA'!H340*('HOUSE DASHBOARD'!$B$18-53.5))/100</f>
        <v>0</v>
      </c>
      <c r="E367" s="10">
        <f>2*('HOUSE DATA'!I340*('HOUSE DASHBOARD'!$B$21-55.6)+(100-'HOUSE DATA'!I340)*('HOUSE DASHBOARD'!$B$22-44.9))/100</f>
        <v>0</v>
      </c>
      <c r="F367" s="10">
        <f>0</f>
        <v>0</v>
      </c>
      <c r="G367" s="10">
        <f t="shared" si="46"/>
        <v>0</v>
      </c>
      <c r="H367" s="2">
        <f>'HOUSE DATA'!C340+C367+G367</f>
        <v>-37.440000000000005</v>
      </c>
      <c r="I367" s="3" t="str">
        <f t="shared" si="47"/>
        <v>R</v>
      </c>
      <c r="J367" s="1" t="str">
        <f>'HOUSE DATA'!K340</f>
        <v>R</v>
      </c>
      <c r="K367" s="1" t="str">
        <f t="shared" si="48"/>
        <v>—</v>
      </c>
      <c r="L367" t="str">
        <f t="shared" si="49"/>
        <v>R+37.44</v>
      </c>
      <c r="M367">
        <f>COUNTIF($H$31:$H$465,"&gt;"&amp;H367)+COUNTIF($H$31:H367,H367)</f>
        <v>422</v>
      </c>
      <c r="N367" s="7">
        <f t="shared" si="50"/>
        <v>37.440000000000005</v>
      </c>
      <c r="O367">
        <f>COUNTIF($N$31:$N$465,"&lt;"&amp;N367)+COUNTIF($N$31:N367,N367)</f>
        <v>327</v>
      </c>
      <c r="P367" s="10">
        <f>'HOUSE DATA'!M340</f>
        <v>-48.400000000000006</v>
      </c>
      <c r="Q367" t="str">
        <f>'HOUSE DATA'!N340</f>
        <v>2024 HOUSE / prior substitute</v>
      </c>
      <c r="R367" s="10">
        <f t="shared" si="51"/>
        <v>10.96</v>
      </c>
      <c r="S367" s="10">
        <f t="shared" si="52"/>
        <v>9.8521086853931124</v>
      </c>
      <c r="T367" s="10">
        <f t="shared" si="53"/>
        <v>1.1078913146068885</v>
      </c>
      <c r="U367" t="s">
        <v>73</v>
      </c>
      <c r="W367" t="s">
        <v>74</v>
      </c>
      <c r="X367" t="s">
        <v>75</v>
      </c>
    </row>
    <row r="368" spans="1:24" x14ac:dyDescent="0.2">
      <c r="A368" t="str">
        <f>'HOUSE DATA'!A341</f>
        <v>PA-14</v>
      </c>
      <c r="B368" s="10">
        <f>'HOUSE DATA'!B341</f>
        <v>-23.296094147909301</v>
      </c>
      <c r="C368" s="10">
        <f t="shared" si="45"/>
        <v>-0.29999999999999893</v>
      </c>
      <c r="D368" s="10">
        <f>2*('HOUSE DATA'!D341*('HOUSE DASHBOARD'!$B$14-42.4)+'HOUSE DATA'!E341*('HOUSE DASHBOARD'!$B$15-54.2)+'HOUSE DATA'!F341*('HOUSE DASHBOARD'!$B$16-85.4)+'HOUSE DATA'!G341*('HOUSE DASHBOARD'!$B$17-60.7)+'HOUSE DATA'!H341*('HOUSE DASHBOARD'!$B$18-53.5))/100</f>
        <v>0</v>
      </c>
      <c r="E368" s="10">
        <f>2*('HOUSE DATA'!I341*('HOUSE DASHBOARD'!$B$21-55.6)+(100-'HOUSE DATA'!I341)*('HOUSE DASHBOARD'!$B$22-44.9))/100</f>
        <v>0</v>
      </c>
      <c r="F368" s="10">
        <f>0</f>
        <v>0</v>
      </c>
      <c r="G368" s="10">
        <f t="shared" si="46"/>
        <v>0</v>
      </c>
      <c r="H368" s="2">
        <f>'HOUSE DATA'!C341+C368+G368</f>
        <v>-22.179999999999993</v>
      </c>
      <c r="I368" s="3" t="str">
        <f t="shared" si="47"/>
        <v>R</v>
      </c>
      <c r="J368" s="1" t="str">
        <f>'HOUSE DATA'!K341</f>
        <v>R</v>
      </c>
      <c r="K368" s="1" t="str">
        <f t="shared" si="48"/>
        <v>—</v>
      </c>
      <c r="L368" t="str">
        <f t="shared" si="49"/>
        <v>R+22.18</v>
      </c>
      <c r="M368">
        <f>COUNTIF($H$31:$H$465,"&gt;"&amp;H368)+COUNTIF($H$31:H368,H368)</f>
        <v>371</v>
      </c>
      <c r="N368" s="7">
        <f t="shared" si="50"/>
        <v>22.179999999999993</v>
      </c>
      <c r="O368">
        <f>COUNTIF($N$31:$N$465,"&lt;"&amp;N368)+COUNTIF($N$31:N368,N368)</f>
        <v>211</v>
      </c>
      <c r="P368" s="10">
        <f>'HOUSE DATA'!M341</f>
        <v>-33.139999999999993</v>
      </c>
      <c r="Q368" t="str">
        <f>'HOUSE DATA'!N341</f>
        <v>2024 HOUSE / prior substitute</v>
      </c>
      <c r="R368" s="10">
        <f t="shared" si="51"/>
        <v>10.96</v>
      </c>
      <c r="S368" s="10">
        <f t="shared" si="52"/>
        <v>9.8439058520906926</v>
      </c>
      <c r="T368" s="10">
        <f t="shared" si="53"/>
        <v>1.1160941479093083</v>
      </c>
      <c r="U368" t="s">
        <v>73</v>
      </c>
      <c r="W368" t="s">
        <v>74</v>
      </c>
      <c r="X368" t="s">
        <v>75</v>
      </c>
    </row>
    <row r="369" spans="1:24" x14ac:dyDescent="0.2">
      <c r="A369" t="str">
        <f>'HOUSE DATA'!A342</f>
        <v>PA-15</v>
      </c>
      <c r="B369" s="10">
        <f>'HOUSE DATA'!B342</f>
        <v>-32.81574085734286</v>
      </c>
      <c r="C369" s="10">
        <f t="shared" si="45"/>
        <v>-0.29999999999999893</v>
      </c>
      <c r="D369" s="10">
        <f>2*('HOUSE DATA'!D342*('HOUSE DASHBOARD'!$B$14-42.4)+'HOUSE DATA'!E342*('HOUSE DASHBOARD'!$B$15-54.2)+'HOUSE DATA'!F342*('HOUSE DASHBOARD'!$B$16-85.4)+'HOUSE DATA'!G342*('HOUSE DASHBOARD'!$B$17-60.7)+'HOUSE DATA'!H342*('HOUSE DASHBOARD'!$B$18-53.5))/100</f>
        <v>0</v>
      </c>
      <c r="E369" s="10">
        <f>2*('HOUSE DATA'!I342*('HOUSE DASHBOARD'!$B$21-55.6)+(100-'HOUSE DATA'!I342)*('HOUSE DASHBOARD'!$B$22-44.9))/100</f>
        <v>0</v>
      </c>
      <c r="F369" s="10">
        <f>0</f>
        <v>0</v>
      </c>
      <c r="G369" s="10">
        <f t="shared" si="46"/>
        <v>0</v>
      </c>
      <c r="H369" s="2">
        <f>'HOUSE DATA'!C342+C369+G369</f>
        <v>-31.979999999999997</v>
      </c>
      <c r="I369" s="3" t="str">
        <f t="shared" si="47"/>
        <v>R</v>
      </c>
      <c r="J369" s="1" t="str">
        <f>'HOUSE DATA'!K342</f>
        <v>R</v>
      </c>
      <c r="K369" s="1" t="str">
        <f t="shared" si="48"/>
        <v>—</v>
      </c>
      <c r="L369" t="str">
        <f t="shared" si="49"/>
        <v>R+31.98</v>
      </c>
      <c r="M369">
        <f>COUNTIF($H$31:$H$465,"&gt;"&amp;H369)+COUNTIF($H$31:H369,H369)</f>
        <v>406</v>
      </c>
      <c r="N369" s="7">
        <f t="shared" si="50"/>
        <v>31.979999999999997</v>
      </c>
      <c r="O369">
        <f>COUNTIF($N$31:$N$465,"&lt;"&amp;N369)+COUNTIF($N$31:N369,N369)</f>
        <v>292</v>
      </c>
      <c r="P369" s="10">
        <f>'HOUSE DATA'!M342</f>
        <v>-42.94</v>
      </c>
      <c r="Q369" t="str">
        <f>'HOUSE DATA'!N342</f>
        <v>2024 HOUSE / prior substitute</v>
      </c>
      <c r="R369" s="10">
        <f t="shared" si="51"/>
        <v>10.96</v>
      </c>
      <c r="S369" s="10">
        <f t="shared" si="52"/>
        <v>10.124259142657138</v>
      </c>
      <c r="T369" s="10">
        <f t="shared" si="53"/>
        <v>0.83574085734286285</v>
      </c>
      <c r="U369" t="s">
        <v>73</v>
      </c>
      <c r="W369" t="s">
        <v>74</v>
      </c>
      <c r="X369" t="s">
        <v>75</v>
      </c>
    </row>
    <row r="370" spans="1:24" x14ac:dyDescent="0.2">
      <c r="A370" t="str">
        <f>'HOUSE DATA'!A343</f>
        <v>PA-16</v>
      </c>
      <c r="B370" s="10">
        <f>'HOUSE DATA'!B343</f>
        <v>-17.28368803797953</v>
      </c>
      <c r="C370" s="10">
        <f t="shared" si="45"/>
        <v>-0.29999999999999893</v>
      </c>
      <c r="D370" s="10">
        <f>2*('HOUSE DATA'!D343*('HOUSE DASHBOARD'!$B$14-42.4)+'HOUSE DATA'!E343*('HOUSE DASHBOARD'!$B$15-54.2)+'HOUSE DATA'!F343*('HOUSE DASHBOARD'!$B$16-85.4)+'HOUSE DATA'!G343*('HOUSE DASHBOARD'!$B$17-60.7)+'HOUSE DATA'!H343*('HOUSE DASHBOARD'!$B$18-53.5))/100</f>
        <v>0</v>
      </c>
      <c r="E370" s="10">
        <f>2*('HOUSE DATA'!I343*('HOUSE DASHBOARD'!$B$21-55.6)+(100-'HOUSE DATA'!I343)*('HOUSE DASHBOARD'!$B$22-44.9))/100</f>
        <v>0</v>
      </c>
      <c r="F370" s="10">
        <f>0</f>
        <v>0</v>
      </c>
      <c r="G370" s="10">
        <f t="shared" si="46"/>
        <v>0</v>
      </c>
      <c r="H370" s="2">
        <f>'HOUSE DATA'!C343+C370+G370</f>
        <v>-16.339999999999996</v>
      </c>
      <c r="I370" s="3" t="str">
        <f t="shared" si="47"/>
        <v>R</v>
      </c>
      <c r="J370" s="1" t="str">
        <f>'HOUSE DATA'!K343</f>
        <v>R</v>
      </c>
      <c r="K370" s="1" t="str">
        <f t="shared" si="48"/>
        <v>—</v>
      </c>
      <c r="L370" t="str">
        <f t="shared" si="49"/>
        <v>R+16.34</v>
      </c>
      <c r="M370">
        <f>COUNTIF($H$31:$H$465,"&gt;"&amp;H370)+COUNTIF($H$31:H370,H370)</f>
        <v>338</v>
      </c>
      <c r="N370" s="7">
        <f t="shared" si="50"/>
        <v>16.339999999999996</v>
      </c>
      <c r="O370">
        <f>COUNTIF($N$31:$N$465,"&lt;"&amp;N370)+COUNTIF($N$31:N370,N370)</f>
        <v>146</v>
      </c>
      <c r="P370" s="10">
        <f>'HOUSE DATA'!M343</f>
        <v>-27.299999999999997</v>
      </c>
      <c r="Q370" t="str">
        <f>'HOUSE DATA'!N343</f>
        <v>2024 HOUSE / prior substitute</v>
      </c>
      <c r="R370" s="10">
        <f t="shared" si="51"/>
        <v>10.96</v>
      </c>
      <c r="S370" s="10">
        <f t="shared" si="52"/>
        <v>10.016311962020467</v>
      </c>
      <c r="T370" s="10">
        <f t="shared" si="53"/>
        <v>0.94368803797953404</v>
      </c>
      <c r="U370" t="s">
        <v>73</v>
      </c>
      <c r="W370" t="s">
        <v>74</v>
      </c>
      <c r="X370" t="s">
        <v>75</v>
      </c>
    </row>
    <row r="371" spans="1:24" x14ac:dyDescent="0.2">
      <c r="A371" t="str">
        <f>'HOUSE DATA'!A344</f>
        <v>PA-17</v>
      </c>
      <c r="B371" s="10">
        <f>'HOUSE DATA'!B344</f>
        <v>16.58118636340955</v>
      </c>
      <c r="C371" s="10">
        <f t="shared" si="45"/>
        <v>-0.29999999999999893</v>
      </c>
      <c r="D371" s="10">
        <f>2*('HOUSE DATA'!D344*('HOUSE DASHBOARD'!$B$14-42.4)+'HOUSE DATA'!E344*('HOUSE DASHBOARD'!$B$15-54.2)+'HOUSE DATA'!F344*('HOUSE DASHBOARD'!$B$16-85.4)+'HOUSE DATA'!G344*('HOUSE DASHBOARD'!$B$17-60.7)+'HOUSE DATA'!H344*('HOUSE DASHBOARD'!$B$18-53.5))/100</f>
        <v>0</v>
      </c>
      <c r="E371" s="10">
        <f>2*('HOUSE DATA'!I344*('HOUSE DASHBOARD'!$B$21-55.6)+(100-'HOUSE DATA'!I344)*('HOUSE DASHBOARD'!$B$22-44.9))/100</f>
        <v>0</v>
      </c>
      <c r="F371" s="10">
        <f>0</f>
        <v>0</v>
      </c>
      <c r="G371" s="10">
        <f t="shared" si="46"/>
        <v>0</v>
      </c>
      <c r="H371" s="2">
        <f>'HOUSE DATA'!C344+C371+G371</f>
        <v>18.72</v>
      </c>
      <c r="I371" s="3" t="str">
        <f t="shared" si="47"/>
        <v>D</v>
      </c>
      <c r="J371" s="1" t="str">
        <f>'HOUSE DATA'!K344</f>
        <v>D</v>
      </c>
      <c r="K371" s="1" t="str">
        <f t="shared" si="48"/>
        <v>—</v>
      </c>
      <c r="L371" t="str">
        <f t="shared" si="49"/>
        <v>D+18.72</v>
      </c>
      <c r="M371">
        <f>COUNTIF($H$31:$H$465,"&gt;"&amp;H371)+COUNTIF($H$31:H371,H371)</f>
        <v>180</v>
      </c>
      <c r="N371" s="7">
        <f t="shared" si="50"/>
        <v>18.72</v>
      </c>
      <c r="O371">
        <f>COUNTIF($N$31:$N$465,"&lt;"&amp;N371)+COUNTIF($N$31:N371,N371)</f>
        <v>171</v>
      </c>
      <c r="P371" s="10">
        <f>'HOUSE DATA'!M344</f>
        <v>7.759999999999998</v>
      </c>
      <c r="Q371" t="str">
        <f>'HOUSE DATA'!N344</f>
        <v>2024 HOUSE / prior substitute</v>
      </c>
      <c r="R371" s="10">
        <f t="shared" si="51"/>
        <v>10.96</v>
      </c>
      <c r="S371" s="10">
        <f t="shared" si="52"/>
        <v>8.8211863634095522</v>
      </c>
      <c r="T371" s="10">
        <f t="shared" si="53"/>
        <v>2.1388136365904487</v>
      </c>
      <c r="U371" t="s">
        <v>73</v>
      </c>
      <c r="W371" t="s">
        <v>74</v>
      </c>
      <c r="X371" t="s">
        <v>75</v>
      </c>
    </row>
    <row r="372" spans="1:24" x14ac:dyDescent="0.2">
      <c r="A372" t="str">
        <f>'HOUSE DATA'!A345</f>
        <v>RI-01</v>
      </c>
      <c r="B372" s="10">
        <f>'HOUSE DATA'!B345</f>
        <v>42.605570156103411</v>
      </c>
      <c r="C372" s="10">
        <f t="shared" si="45"/>
        <v>-0.29999999999999893</v>
      </c>
      <c r="D372" s="10">
        <f>2*('HOUSE DATA'!D345*('HOUSE DASHBOARD'!$B$14-42.4)+'HOUSE DATA'!E345*('HOUSE DASHBOARD'!$B$15-54.2)+'HOUSE DATA'!F345*('HOUSE DASHBOARD'!$B$16-85.4)+'HOUSE DATA'!G345*('HOUSE DASHBOARD'!$B$17-60.7)+'HOUSE DATA'!H345*('HOUSE DASHBOARD'!$B$18-53.5))/100</f>
        <v>0</v>
      </c>
      <c r="E372" s="10">
        <f>2*('HOUSE DATA'!I345*('HOUSE DASHBOARD'!$B$21-55.6)+(100-'HOUSE DATA'!I345)*('HOUSE DASHBOARD'!$B$22-44.9))/100</f>
        <v>0</v>
      </c>
      <c r="F372" s="10">
        <f>0</f>
        <v>0</v>
      </c>
      <c r="G372" s="10">
        <f t="shared" si="46"/>
        <v>0</v>
      </c>
      <c r="H372" s="2">
        <f>'HOUSE DATA'!C345+C372+G372</f>
        <v>43.62</v>
      </c>
      <c r="I372" s="3" t="str">
        <f t="shared" si="47"/>
        <v>D</v>
      </c>
      <c r="J372" s="1" t="str">
        <f>'HOUSE DATA'!K345</f>
        <v>D</v>
      </c>
      <c r="K372" s="1" t="str">
        <f t="shared" si="48"/>
        <v>—</v>
      </c>
      <c r="L372" t="str">
        <f t="shared" si="49"/>
        <v>D+43.62</v>
      </c>
      <c r="M372">
        <f>COUNTIF($H$31:$H$465,"&gt;"&amp;H372)+COUNTIF($H$31:H372,H372)</f>
        <v>82</v>
      </c>
      <c r="N372" s="7">
        <f t="shared" si="50"/>
        <v>43.62</v>
      </c>
      <c r="O372">
        <f>COUNTIF($N$31:$N$465,"&lt;"&amp;N372)+COUNTIF($N$31:N372,N372)</f>
        <v>343</v>
      </c>
      <c r="P372" s="10">
        <f>'HOUSE DATA'!M345</f>
        <v>32.659999999999997</v>
      </c>
      <c r="Q372" t="str">
        <f>'HOUSE DATA'!N345</f>
        <v>2024 HOUSE / prior substitute</v>
      </c>
      <c r="R372" s="10">
        <f t="shared" si="51"/>
        <v>10.96</v>
      </c>
      <c r="S372" s="10">
        <f t="shared" si="52"/>
        <v>9.9455701561034147</v>
      </c>
      <c r="T372" s="10">
        <f t="shared" si="53"/>
        <v>1.0144298438965862</v>
      </c>
      <c r="U372" t="s">
        <v>73</v>
      </c>
      <c r="W372" t="s">
        <v>74</v>
      </c>
      <c r="X372" t="s">
        <v>75</v>
      </c>
    </row>
    <row r="373" spans="1:24" x14ac:dyDescent="0.2">
      <c r="A373" t="str">
        <f>'HOUSE DATA'!A346</f>
        <v>RI-02</v>
      </c>
      <c r="B373" s="10">
        <f>'HOUSE DATA'!B346</f>
        <v>25.763590750826943</v>
      </c>
      <c r="C373" s="10">
        <f t="shared" si="45"/>
        <v>-0.29999999999999893</v>
      </c>
      <c r="D373" s="10">
        <f>2*('HOUSE DATA'!D346*('HOUSE DASHBOARD'!$B$14-42.4)+'HOUSE DATA'!E346*('HOUSE DASHBOARD'!$B$15-54.2)+'HOUSE DATA'!F346*('HOUSE DASHBOARD'!$B$16-85.4)+'HOUSE DATA'!G346*('HOUSE DASHBOARD'!$B$17-60.7)+'HOUSE DATA'!H346*('HOUSE DASHBOARD'!$B$18-53.5))/100</f>
        <v>0</v>
      </c>
      <c r="E373" s="10">
        <f>2*('HOUSE DATA'!I346*('HOUSE DASHBOARD'!$B$21-55.6)+(100-'HOUSE DATA'!I346)*('HOUSE DASHBOARD'!$B$22-44.9))/100</f>
        <v>0</v>
      </c>
      <c r="F373" s="10">
        <f>0</f>
        <v>0</v>
      </c>
      <c r="G373" s="10">
        <f t="shared" si="46"/>
        <v>0</v>
      </c>
      <c r="H373" s="2">
        <f>'HOUSE DATA'!C346+C373+G373</f>
        <v>27.719999999999992</v>
      </c>
      <c r="I373" s="3" t="str">
        <f t="shared" si="47"/>
        <v>D</v>
      </c>
      <c r="J373" s="1" t="str">
        <f>'HOUSE DATA'!K346</f>
        <v>D</v>
      </c>
      <c r="K373" s="1" t="str">
        <f t="shared" si="48"/>
        <v>—</v>
      </c>
      <c r="L373" t="str">
        <f t="shared" si="49"/>
        <v>D+27.72</v>
      </c>
      <c r="M373">
        <f>COUNTIF($H$31:$H$465,"&gt;"&amp;H373)+COUNTIF($H$31:H373,H373)</f>
        <v>131</v>
      </c>
      <c r="N373" s="7">
        <f t="shared" si="50"/>
        <v>27.719999999999992</v>
      </c>
      <c r="O373">
        <f>COUNTIF($N$31:$N$465,"&lt;"&amp;N373)+COUNTIF($N$31:N373,N373)</f>
        <v>257</v>
      </c>
      <c r="P373" s="10">
        <f>'HOUSE DATA'!M346</f>
        <v>16.759999999999991</v>
      </c>
      <c r="Q373" t="str">
        <f>'HOUSE DATA'!N346</f>
        <v>2024 HOUSE / prior substitute</v>
      </c>
      <c r="R373" s="10">
        <f t="shared" si="51"/>
        <v>10.96</v>
      </c>
      <c r="S373" s="10">
        <f t="shared" si="52"/>
        <v>9.0035907508269517</v>
      </c>
      <c r="T373" s="10">
        <f t="shared" si="53"/>
        <v>1.9564092491730491</v>
      </c>
      <c r="U373" t="s">
        <v>73</v>
      </c>
      <c r="W373" t="s">
        <v>74</v>
      </c>
      <c r="X373" t="s">
        <v>75</v>
      </c>
    </row>
    <row r="374" spans="1:24" x14ac:dyDescent="0.2">
      <c r="A374" t="str">
        <f>'HOUSE DATA'!A347</f>
        <v>SC-01</v>
      </c>
      <c r="B374" s="10">
        <f>'HOUSE DATA'!B347</f>
        <v>-4.0839917837293189</v>
      </c>
      <c r="C374" s="10">
        <f t="shared" si="45"/>
        <v>-0.29999999999999893</v>
      </c>
      <c r="D374" s="10">
        <f>2*('HOUSE DATA'!D347*('HOUSE DASHBOARD'!$B$14-42.4)+'HOUSE DATA'!E347*('HOUSE DASHBOARD'!$B$15-54.2)+'HOUSE DATA'!F347*('HOUSE DASHBOARD'!$B$16-85.4)+'HOUSE DATA'!G347*('HOUSE DASHBOARD'!$B$17-60.7)+'HOUSE DATA'!H347*('HOUSE DASHBOARD'!$B$18-53.5))/100</f>
        <v>0</v>
      </c>
      <c r="E374" s="10">
        <f>2*('HOUSE DATA'!I347*('HOUSE DASHBOARD'!$B$21-55.6)+(100-'HOUSE DATA'!I347)*('HOUSE DASHBOARD'!$B$22-44.9))/100</f>
        <v>0</v>
      </c>
      <c r="F374" s="10">
        <f>0</f>
        <v>0</v>
      </c>
      <c r="G374" s="10">
        <f t="shared" si="46"/>
        <v>0</v>
      </c>
      <c r="H374" s="2">
        <f>'HOUSE DATA'!C347+C374+G374</f>
        <v>-2.4599999999999991</v>
      </c>
      <c r="I374" s="3" t="str">
        <f t="shared" si="47"/>
        <v>R</v>
      </c>
      <c r="J374" s="1" t="str">
        <f>'HOUSE DATA'!K347</f>
        <v>R</v>
      </c>
      <c r="K374" s="1" t="str">
        <f t="shared" si="48"/>
        <v>—</v>
      </c>
      <c r="L374" t="str">
        <f t="shared" si="49"/>
        <v>R+2.46</v>
      </c>
      <c r="M374">
        <f>COUNTIF($H$31:$H$465,"&gt;"&amp;H374)+COUNTIF($H$31:H374,H374)</f>
        <v>253</v>
      </c>
      <c r="N374" s="7">
        <f t="shared" si="50"/>
        <v>2.4599999999999991</v>
      </c>
      <c r="O374">
        <f>COUNTIF($N$31:$N$465,"&lt;"&amp;N374)+COUNTIF($N$31:N374,N374)</f>
        <v>25</v>
      </c>
      <c r="P374" s="10">
        <f>'HOUSE DATA'!M347</f>
        <v>-13.01</v>
      </c>
      <c r="Q374" t="str">
        <f>'HOUSE DATA'!N347</f>
        <v>2024 PRESIDENT (open seat)</v>
      </c>
      <c r="R374" s="10">
        <f t="shared" si="51"/>
        <v>10.55</v>
      </c>
      <c r="S374" s="10">
        <f t="shared" si="52"/>
        <v>8.9260082162706809</v>
      </c>
      <c r="T374" s="10">
        <f t="shared" si="53"/>
        <v>1.6239917837293198</v>
      </c>
      <c r="U374" t="s">
        <v>73</v>
      </c>
      <c r="W374" t="s">
        <v>74</v>
      </c>
      <c r="X374" t="s">
        <v>75</v>
      </c>
    </row>
    <row r="375" spans="1:24" x14ac:dyDescent="0.2">
      <c r="A375" t="str">
        <f>'HOUSE DATA'!A348</f>
        <v>SC-02</v>
      </c>
      <c r="B375" s="10">
        <f>'HOUSE DATA'!B348</f>
        <v>-15.394276694088383</v>
      </c>
      <c r="C375" s="10">
        <f t="shared" si="45"/>
        <v>-0.29999999999999893</v>
      </c>
      <c r="D375" s="10">
        <f>2*('HOUSE DATA'!D348*('HOUSE DASHBOARD'!$B$14-42.4)+'HOUSE DATA'!E348*('HOUSE DASHBOARD'!$B$15-54.2)+'HOUSE DATA'!F348*('HOUSE DASHBOARD'!$B$16-85.4)+'HOUSE DATA'!G348*('HOUSE DASHBOARD'!$B$17-60.7)+'HOUSE DATA'!H348*('HOUSE DASHBOARD'!$B$18-53.5))/100</f>
        <v>0</v>
      </c>
      <c r="E375" s="10">
        <f>2*('HOUSE DATA'!I348*('HOUSE DASHBOARD'!$B$21-55.6)+(100-'HOUSE DATA'!I348)*('HOUSE DASHBOARD'!$B$22-44.9))/100</f>
        <v>0</v>
      </c>
      <c r="F375" s="10">
        <f>0</f>
        <v>0</v>
      </c>
      <c r="G375" s="10">
        <f t="shared" si="46"/>
        <v>0</v>
      </c>
      <c r="H375" s="2">
        <f>'HOUSE DATA'!C348+C375+G375</f>
        <v>-14.800000000000004</v>
      </c>
      <c r="I375" s="3" t="str">
        <f t="shared" si="47"/>
        <v>R</v>
      </c>
      <c r="J375" s="1" t="str">
        <f>'HOUSE DATA'!K348</f>
        <v>R</v>
      </c>
      <c r="K375" s="1" t="str">
        <f t="shared" si="48"/>
        <v>—</v>
      </c>
      <c r="L375" t="str">
        <f t="shared" si="49"/>
        <v>R+14.80</v>
      </c>
      <c r="M375">
        <f>COUNTIF($H$31:$H$465,"&gt;"&amp;H375)+COUNTIF($H$31:H375,H375)</f>
        <v>331</v>
      </c>
      <c r="N375" s="7">
        <f t="shared" si="50"/>
        <v>14.800000000000004</v>
      </c>
      <c r="O375">
        <f>COUNTIF($N$31:$N$465,"&lt;"&amp;N375)+COUNTIF($N$31:N375,N375)</f>
        <v>131</v>
      </c>
      <c r="P375" s="10">
        <f>'HOUSE DATA'!M348</f>
        <v>-25.760000000000005</v>
      </c>
      <c r="Q375" t="str">
        <f>'HOUSE DATA'!N348</f>
        <v>2024 HOUSE / prior substitute</v>
      </c>
      <c r="R375" s="10">
        <f t="shared" si="51"/>
        <v>10.96</v>
      </c>
      <c r="S375" s="10">
        <f t="shared" si="52"/>
        <v>10.365723305911622</v>
      </c>
      <c r="T375" s="10">
        <f t="shared" si="53"/>
        <v>0.59427669408837858</v>
      </c>
      <c r="U375" t="s">
        <v>73</v>
      </c>
      <c r="W375" t="s">
        <v>74</v>
      </c>
      <c r="X375" t="s">
        <v>75</v>
      </c>
    </row>
    <row r="376" spans="1:24" x14ac:dyDescent="0.2">
      <c r="A376" t="str">
        <f>'HOUSE DATA'!A349</f>
        <v>SC-03</v>
      </c>
      <c r="B376" s="10">
        <f>'HOUSE DATA'!B349</f>
        <v>-29.700056962887263</v>
      </c>
      <c r="C376" s="10">
        <f t="shared" si="45"/>
        <v>-0.29999999999999893</v>
      </c>
      <c r="D376" s="10">
        <f>2*('HOUSE DATA'!D349*('HOUSE DASHBOARD'!$B$14-42.4)+'HOUSE DATA'!E349*('HOUSE DASHBOARD'!$B$15-54.2)+'HOUSE DATA'!F349*('HOUSE DASHBOARD'!$B$16-85.4)+'HOUSE DATA'!G349*('HOUSE DASHBOARD'!$B$17-60.7)+'HOUSE DATA'!H349*('HOUSE DASHBOARD'!$B$18-53.5))/100</f>
        <v>0</v>
      </c>
      <c r="E376" s="10">
        <f>2*('HOUSE DATA'!I349*('HOUSE DASHBOARD'!$B$21-55.6)+(100-'HOUSE DATA'!I349)*('HOUSE DASHBOARD'!$B$22-44.9))/100</f>
        <v>0</v>
      </c>
      <c r="F376" s="10">
        <f>0</f>
        <v>0</v>
      </c>
      <c r="G376" s="10">
        <f t="shared" si="46"/>
        <v>0</v>
      </c>
      <c r="H376" s="2">
        <f>'HOUSE DATA'!C349+C376+G376</f>
        <v>-29.839999999999996</v>
      </c>
      <c r="I376" s="3" t="str">
        <f t="shared" si="47"/>
        <v>R</v>
      </c>
      <c r="J376" s="1" t="str">
        <f>'HOUSE DATA'!K349</f>
        <v>R</v>
      </c>
      <c r="K376" s="1" t="str">
        <f t="shared" si="48"/>
        <v>—</v>
      </c>
      <c r="L376" t="str">
        <f t="shared" si="49"/>
        <v>R+29.84</v>
      </c>
      <c r="M376">
        <f>COUNTIF($H$31:$H$465,"&gt;"&amp;H376)+COUNTIF($H$31:H376,H376)</f>
        <v>399</v>
      </c>
      <c r="N376" s="7">
        <f t="shared" si="50"/>
        <v>29.839999999999996</v>
      </c>
      <c r="O376">
        <f>COUNTIF($N$31:$N$465,"&lt;"&amp;N376)+COUNTIF($N$31:N376,N376)</f>
        <v>275</v>
      </c>
      <c r="P376" s="10">
        <f>'HOUSE DATA'!M349</f>
        <v>-40.799999999999997</v>
      </c>
      <c r="Q376" t="str">
        <f>'HOUSE DATA'!N349</f>
        <v>2024 HOUSE / prior substitute</v>
      </c>
      <c r="R376" s="10">
        <f t="shared" si="51"/>
        <v>10.96</v>
      </c>
      <c r="S376" s="10">
        <f t="shared" si="52"/>
        <v>11.099943037112734</v>
      </c>
      <c r="T376" s="10">
        <f t="shared" si="53"/>
        <v>-0.13994303711273304</v>
      </c>
      <c r="U376" t="s">
        <v>73</v>
      </c>
      <c r="W376" t="s">
        <v>74</v>
      </c>
      <c r="X376" t="s">
        <v>75</v>
      </c>
    </row>
    <row r="377" spans="1:24" x14ac:dyDescent="0.2">
      <c r="A377" t="str">
        <f>'HOUSE DATA'!A350</f>
        <v>SC-04</v>
      </c>
      <c r="B377" s="10">
        <f>'HOUSE DATA'!B350</f>
        <v>-18.563245053986041</v>
      </c>
      <c r="C377" s="10">
        <f t="shared" si="45"/>
        <v>-0.29999999999999893</v>
      </c>
      <c r="D377" s="10">
        <f>2*('HOUSE DATA'!D350*('HOUSE DASHBOARD'!$B$14-42.4)+'HOUSE DATA'!E350*('HOUSE DASHBOARD'!$B$15-54.2)+'HOUSE DATA'!F350*('HOUSE DASHBOARD'!$B$16-85.4)+'HOUSE DATA'!G350*('HOUSE DASHBOARD'!$B$17-60.7)+'HOUSE DATA'!H350*('HOUSE DASHBOARD'!$B$18-53.5))/100</f>
        <v>0</v>
      </c>
      <c r="E377" s="10">
        <f>2*('HOUSE DATA'!I350*('HOUSE DASHBOARD'!$B$21-55.6)+(100-'HOUSE DATA'!I350)*('HOUSE DASHBOARD'!$B$22-44.9))/100</f>
        <v>0</v>
      </c>
      <c r="F377" s="10">
        <f>0</f>
        <v>0</v>
      </c>
      <c r="G377" s="10">
        <f t="shared" si="46"/>
        <v>0</v>
      </c>
      <c r="H377" s="2">
        <f>'HOUSE DATA'!C350+C377+G377</f>
        <v>-18.36</v>
      </c>
      <c r="I377" s="3" t="str">
        <f t="shared" si="47"/>
        <v>R</v>
      </c>
      <c r="J377" s="1" t="str">
        <f>'HOUSE DATA'!K350</f>
        <v>R</v>
      </c>
      <c r="K377" s="1" t="str">
        <f t="shared" si="48"/>
        <v>—</v>
      </c>
      <c r="L377" t="str">
        <f t="shared" si="49"/>
        <v>R+18.36</v>
      </c>
      <c r="M377">
        <f>COUNTIF($H$31:$H$465,"&gt;"&amp;H377)+COUNTIF($H$31:H377,H377)</f>
        <v>349</v>
      </c>
      <c r="N377" s="7">
        <f t="shared" si="50"/>
        <v>18.36</v>
      </c>
      <c r="O377">
        <f>COUNTIF($N$31:$N$465,"&lt;"&amp;N377)+COUNTIF($N$31:N377,N377)</f>
        <v>167</v>
      </c>
      <c r="P377" s="10">
        <f>'HOUSE DATA'!M350</f>
        <v>-29.32</v>
      </c>
      <c r="Q377" t="str">
        <f>'HOUSE DATA'!N350</f>
        <v>2024 HOUSE / prior substitute</v>
      </c>
      <c r="R377" s="10">
        <f t="shared" si="51"/>
        <v>10.96</v>
      </c>
      <c r="S377" s="10">
        <f t="shared" si="52"/>
        <v>10.75675494601396</v>
      </c>
      <c r="T377" s="10">
        <f t="shared" si="53"/>
        <v>0.20324505398604131</v>
      </c>
      <c r="U377" t="s">
        <v>73</v>
      </c>
      <c r="W377" t="s">
        <v>74</v>
      </c>
      <c r="X377" t="s">
        <v>75</v>
      </c>
    </row>
    <row r="378" spans="1:24" x14ac:dyDescent="0.2">
      <c r="A378" t="str">
        <f>'HOUSE DATA'!A351</f>
        <v>SC-05</v>
      </c>
      <c r="B378" s="10">
        <f>'HOUSE DATA'!B351</f>
        <v>-12.074836082952322</v>
      </c>
      <c r="C378" s="10">
        <f t="shared" si="45"/>
        <v>-0.29999999999999893</v>
      </c>
      <c r="D378" s="10">
        <f>2*('HOUSE DATA'!D351*('HOUSE DASHBOARD'!$B$14-42.4)+'HOUSE DATA'!E351*('HOUSE DASHBOARD'!$B$15-54.2)+'HOUSE DATA'!F351*('HOUSE DASHBOARD'!$B$16-85.4)+'HOUSE DATA'!G351*('HOUSE DASHBOARD'!$B$17-60.7)+'HOUSE DATA'!H351*('HOUSE DASHBOARD'!$B$18-53.5))/100</f>
        <v>0</v>
      </c>
      <c r="E378" s="10">
        <f>2*('HOUSE DATA'!I351*('HOUSE DASHBOARD'!$B$21-55.6)+(100-'HOUSE DATA'!I351)*('HOUSE DASHBOARD'!$B$22-44.9))/100</f>
        <v>0</v>
      </c>
      <c r="F378" s="10">
        <f>0</f>
        <v>0</v>
      </c>
      <c r="G378" s="10">
        <f t="shared" si="46"/>
        <v>0</v>
      </c>
      <c r="H378" s="2">
        <f>'HOUSE DATA'!C351+C378+G378</f>
        <v>-12.219999999999999</v>
      </c>
      <c r="I378" s="3" t="str">
        <f t="shared" si="47"/>
        <v>R</v>
      </c>
      <c r="J378" s="1" t="str">
        <f>'HOUSE DATA'!K351</f>
        <v>R</v>
      </c>
      <c r="K378" s="1" t="str">
        <f t="shared" si="48"/>
        <v>—</v>
      </c>
      <c r="L378" t="str">
        <f t="shared" si="49"/>
        <v>R+12.22</v>
      </c>
      <c r="M378">
        <f>COUNTIF($H$31:$H$465,"&gt;"&amp;H378)+COUNTIF($H$31:H378,H378)</f>
        <v>320</v>
      </c>
      <c r="N378" s="7">
        <f t="shared" si="50"/>
        <v>12.219999999999999</v>
      </c>
      <c r="O378">
        <f>COUNTIF($N$31:$N$465,"&lt;"&amp;N378)+COUNTIF($N$31:N378,N378)</f>
        <v>112</v>
      </c>
      <c r="P378" s="10">
        <f>'HOUSE DATA'!M351</f>
        <v>-22.77</v>
      </c>
      <c r="Q378" t="str">
        <f>'HOUSE DATA'!N351</f>
        <v>2024 PRESIDENT (open seat)</v>
      </c>
      <c r="R378" s="10">
        <f t="shared" si="51"/>
        <v>10.55</v>
      </c>
      <c r="S378" s="10">
        <f t="shared" si="52"/>
        <v>10.695163917047678</v>
      </c>
      <c r="T378" s="10">
        <f t="shared" si="53"/>
        <v>-0.14516391704767706</v>
      </c>
      <c r="U378" t="s">
        <v>73</v>
      </c>
      <c r="W378" t="s">
        <v>74</v>
      </c>
      <c r="X378" t="s">
        <v>75</v>
      </c>
    </row>
    <row r="379" spans="1:24" x14ac:dyDescent="0.2">
      <c r="A379" t="str">
        <f>'HOUSE DATA'!A352</f>
        <v>SC-06</v>
      </c>
      <c r="B379" s="10">
        <f>'HOUSE DATA'!B352</f>
        <v>32.342630842083963</v>
      </c>
      <c r="C379" s="10">
        <f t="shared" si="45"/>
        <v>-0.29999999999999893</v>
      </c>
      <c r="D379" s="10">
        <f>2*('HOUSE DATA'!D352*('HOUSE DASHBOARD'!$B$14-42.4)+'HOUSE DATA'!E352*('HOUSE DASHBOARD'!$B$15-54.2)+'HOUSE DATA'!F352*('HOUSE DASHBOARD'!$B$16-85.4)+'HOUSE DATA'!G352*('HOUSE DASHBOARD'!$B$17-60.7)+'HOUSE DATA'!H352*('HOUSE DASHBOARD'!$B$18-53.5))/100</f>
        <v>0</v>
      </c>
      <c r="E379" s="10">
        <f>2*('HOUSE DATA'!I352*('HOUSE DASHBOARD'!$B$21-55.6)+(100-'HOUSE DATA'!I352)*('HOUSE DASHBOARD'!$B$22-44.9))/100</f>
        <v>0</v>
      </c>
      <c r="F379" s="10">
        <f>0</f>
        <v>0</v>
      </c>
      <c r="G379" s="10">
        <f t="shared" si="46"/>
        <v>0</v>
      </c>
      <c r="H379" s="2">
        <f>'HOUSE DATA'!C352+C379+G379</f>
        <v>30.64</v>
      </c>
      <c r="I379" s="3" t="str">
        <f t="shared" si="47"/>
        <v>D</v>
      </c>
      <c r="J379" s="1" t="str">
        <f>'HOUSE DATA'!K352</f>
        <v>D</v>
      </c>
      <c r="K379" s="1" t="str">
        <f t="shared" si="48"/>
        <v>—</v>
      </c>
      <c r="L379" t="str">
        <f t="shared" si="49"/>
        <v>D+30.64</v>
      </c>
      <c r="M379">
        <f>COUNTIF($H$31:$H$465,"&gt;"&amp;H379)+COUNTIF($H$31:H379,H379)</f>
        <v>116</v>
      </c>
      <c r="N379" s="7">
        <f t="shared" si="50"/>
        <v>30.64</v>
      </c>
      <c r="O379">
        <f>COUNTIF($N$31:$N$465,"&lt;"&amp;N379)+COUNTIF($N$31:N379,N379)</f>
        <v>286</v>
      </c>
      <c r="P379" s="10">
        <f>'HOUSE DATA'!M352</f>
        <v>19.68</v>
      </c>
      <c r="Q379" t="str">
        <f>'HOUSE DATA'!N352</f>
        <v>2024 HOUSE / prior substitute</v>
      </c>
      <c r="R379" s="10">
        <f t="shared" si="51"/>
        <v>10.96</v>
      </c>
      <c r="S379" s="10">
        <f t="shared" si="52"/>
        <v>12.662630842083964</v>
      </c>
      <c r="T379" s="10">
        <f t="shared" si="53"/>
        <v>-1.7026308420839626</v>
      </c>
      <c r="U379" t="s">
        <v>73</v>
      </c>
      <c r="W379" t="s">
        <v>74</v>
      </c>
      <c r="X379" t="s">
        <v>75</v>
      </c>
    </row>
    <row r="380" spans="1:24" x14ac:dyDescent="0.2">
      <c r="A380" t="str">
        <f>'HOUSE DATA'!A353</f>
        <v>SC-07</v>
      </c>
      <c r="B380" s="10">
        <f>'HOUSE DATA'!B353</f>
        <v>-20.269056775424808</v>
      </c>
      <c r="C380" s="10">
        <f t="shared" si="45"/>
        <v>-0.29999999999999893</v>
      </c>
      <c r="D380" s="10">
        <f>2*('HOUSE DATA'!D353*('HOUSE DASHBOARD'!$B$14-42.4)+'HOUSE DATA'!E353*('HOUSE DASHBOARD'!$B$15-54.2)+'HOUSE DATA'!F353*('HOUSE DASHBOARD'!$B$16-85.4)+'HOUSE DATA'!G353*('HOUSE DASHBOARD'!$B$17-60.7)+'HOUSE DATA'!H353*('HOUSE DASHBOARD'!$B$18-53.5))/100</f>
        <v>0</v>
      </c>
      <c r="E380" s="10">
        <f>2*('HOUSE DATA'!I353*('HOUSE DASHBOARD'!$B$21-55.6)+(100-'HOUSE DATA'!I353)*('HOUSE DASHBOARD'!$B$22-44.9))/100</f>
        <v>0</v>
      </c>
      <c r="F380" s="10">
        <f>0</f>
        <v>0</v>
      </c>
      <c r="G380" s="10">
        <f t="shared" si="46"/>
        <v>0</v>
      </c>
      <c r="H380" s="2">
        <f>'HOUSE DATA'!C353+C380+G380</f>
        <v>-21.02000000000001</v>
      </c>
      <c r="I380" s="3" t="str">
        <f t="shared" si="47"/>
        <v>R</v>
      </c>
      <c r="J380" s="1" t="str">
        <f>'HOUSE DATA'!K353</f>
        <v>R</v>
      </c>
      <c r="K380" s="1" t="str">
        <f t="shared" si="48"/>
        <v>—</v>
      </c>
      <c r="L380" t="str">
        <f t="shared" si="49"/>
        <v>R+21.02</v>
      </c>
      <c r="M380">
        <f>COUNTIF($H$31:$H$465,"&gt;"&amp;H380)+COUNTIF($H$31:H380,H380)</f>
        <v>363</v>
      </c>
      <c r="N380" s="7">
        <f t="shared" si="50"/>
        <v>21.02000000000001</v>
      </c>
      <c r="O380">
        <f>COUNTIF($N$31:$N$465,"&lt;"&amp;N380)+COUNTIF($N$31:N380,N380)</f>
        <v>197</v>
      </c>
      <c r="P380" s="10">
        <f>'HOUSE DATA'!M353</f>
        <v>-31.980000000000011</v>
      </c>
      <c r="Q380" t="str">
        <f>'HOUSE DATA'!N353</f>
        <v>2024 HOUSE / prior substitute</v>
      </c>
      <c r="R380" s="10">
        <f t="shared" si="51"/>
        <v>10.96</v>
      </c>
      <c r="S380" s="10">
        <f t="shared" si="52"/>
        <v>11.710943224575203</v>
      </c>
      <c r="T380" s="10">
        <f t="shared" si="53"/>
        <v>-0.75094322457520235</v>
      </c>
      <c r="U380" t="s">
        <v>73</v>
      </c>
      <c r="W380" t="s">
        <v>74</v>
      </c>
      <c r="X380" t="s">
        <v>75</v>
      </c>
    </row>
    <row r="381" spans="1:24" x14ac:dyDescent="0.2">
      <c r="A381" t="str">
        <f>'HOUSE DATA'!A354</f>
        <v>SD-AL</v>
      </c>
      <c r="B381" s="10">
        <f>'HOUSE DATA'!B354</f>
        <v>-19.818701708844166</v>
      </c>
      <c r="C381" s="10">
        <f t="shared" si="45"/>
        <v>-0.29999999999999893</v>
      </c>
      <c r="D381" s="10">
        <f>2*('HOUSE DATA'!D354*('HOUSE DASHBOARD'!$B$14-42.4)+'HOUSE DATA'!E354*('HOUSE DASHBOARD'!$B$15-54.2)+'HOUSE DATA'!F354*('HOUSE DASHBOARD'!$B$16-85.4)+'HOUSE DATA'!G354*('HOUSE DASHBOARD'!$B$17-60.7)+'HOUSE DATA'!H354*('HOUSE DASHBOARD'!$B$18-53.5))/100</f>
        <v>0</v>
      </c>
      <c r="E381" s="10">
        <f>2*('HOUSE DATA'!I354*('HOUSE DASHBOARD'!$B$21-55.6)+(100-'HOUSE DATA'!I354)*('HOUSE DASHBOARD'!$B$22-44.9))/100</f>
        <v>0</v>
      </c>
      <c r="F381" s="10">
        <f>0</f>
        <v>0</v>
      </c>
      <c r="G381" s="10">
        <f t="shared" si="46"/>
        <v>0</v>
      </c>
      <c r="H381" s="2">
        <f>'HOUSE DATA'!C354+C381+G381</f>
        <v>-18.64</v>
      </c>
      <c r="I381" s="3" t="str">
        <f t="shared" si="47"/>
        <v>R</v>
      </c>
      <c r="J381" s="1" t="str">
        <f>'HOUSE DATA'!K354</f>
        <v>R</v>
      </c>
      <c r="K381" s="1" t="str">
        <f t="shared" si="48"/>
        <v>—</v>
      </c>
      <c r="L381" t="str">
        <f t="shared" si="49"/>
        <v>R+18.64</v>
      </c>
      <c r="M381">
        <f>COUNTIF($H$31:$H$465,"&gt;"&amp;H381)+COUNTIF($H$31:H381,H381)</f>
        <v>351</v>
      </c>
      <c r="N381" s="7">
        <f t="shared" si="50"/>
        <v>18.64</v>
      </c>
      <c r="O381">
        <f>COUNTIF($N$31:$N$465,"&lt;"&amp;N381)+COUNTIF($N$31:N381,N381)</f>
        <v>170</v>
      </c>
      <c r="P381" s="10">
        <f>'HOUSE DATA'!M354</f>
        <v>-29.19</v>
      </c>
      <c r="Q381" t="str">
        <f>'HOUSE DATA'!N354</f>
        <v>2024 PRESIDENT (open seat)</v>
      </c>
      <c r="R381" s="10">
        <f t="shared" si="51"/>
        <v>10.55</v>
      </c>
      <c r="S381" s="10">
        <f t="shared" si="52"/>
        <v>9.3712982911558349</v>
      </c>
      <c r="T381" s="10">
        <f t="shared" si="53"/>
        <v>1.1787017088441658</v>
      </c>
      <c r="U381" t="s">
        <v>73</v>
      </c>
      <c r="W381" t="s">
        <v>74</v>
      </c>
      <c r="X381" t="s">
        <v>75</v>
      </c>
    </row>
    <row r="382" spans="1:24" x14ac:dyDescent="0.2">
      <c r="A382" t="str">
        <f>'HOUSE DATA'!A355</f>
        <v>TN-01</v>
      </c>
      <c r="B382" s="10">
        <f>'HOUSE DATA'!B355</f>
        <v>-49.650407727428629</v>
      </c>
      <c r="C382" s="10">
        <f t="shared" si="45"/>
        <v>-0.29999999999999893</v>
      </c>
      <c r="D382" s="10">
        <f>2*('HOUSE DATA'!D355*('HOUSE DASHBOARD'!$B$14-42.4)+'HOUSE DATA'!E355*('HOUSE DASHBOARD'!$B$15-54.2)+'HOUSE DATA'!F355*('HOUSE DASHBOARD'!$B$16-85.4)+'HOUSE DATA'!G355*('HOUSE DASHBOARD'!$B$17-60.7)+'HOUSE DATA'!H355*('HOUSE DASHBOARD'!$B$18-53.5))/100</f>
        <v>0</v>
      </c>
      <c r="E382" s="10">
        <f>2*('HOUSE DATA'!I355*('HOUSE DASHBOARD'!$B$21-55.6)+(100-'HOUSE DATA'!I355)*('HOUSE DASHBOARD'!$B$22-44.9))/100</f>
        <v>0</v>
      </c>
      <c r="F382" s="10">
        <f>0</f>
        <v>0</v>
      </c>
      <c r="G382" s="10">
        <f t="shared" si="46"/>
        <v>0</v>
      </c>
      <c r="H382" s="2">
        <f>'HOUSE DATA'!C355+C382+G382</f>
        <v>-49.245128205128204</v>
      </c>
      <c r="I382" s="3" t="str">
        <f t="shared" si="47"/>
        <v>R</v>
      </c>
      <c r="J382" s="1" t="str">
        <f>'HOUSE DATA'!K355</f>
        <v>R</v>
      </c>
      <c r="K382" s="1" t="str">
        <f t="shared" si="48"/>
        <v>—</v>
      </c>
      <c r="L382" t="str">
        <f t="shared" si="49"/>
        <v>R+49.25</v>
      </c>
      <c r="M382">
        <f>COUNTIF($H$31:$H$465,"&gt;"&amp;H382)+COUNTIF($H$31:H382,H382)</f>
        <v>432</v>
      </c>
      <c r="N382" s="7">
        <f t="shared" si="50"/>
        <v>49.245128205128204</v>
      </c>
      <c r="O382">
        <f>COUNTIF($N$31:$N$465,"&lt;"&amp;N382)+COUNTIF($N$31:N382,N382)</f>
        <v>364</v>
      </c>
      <c r="P382" s="10">
        <f>'HOUSE DATA'!M355</f>
        <v>-60.205128205128204</v>
      </c>
      <c r="Q382" t="str">
        <f>'HOUSE DATA'!N355</f>
        <v>2024 HOUSE / prior substitute</v>
      </c>
      <c r="R382" s="10">
        <f t="shared" si="51"/>
        <v>10.96</v>
      </c>
      <c r="S382" s="10">
        <f t="shared" si="52"/>
        <v>10.554720477699576</v>
      </c>
      <c r="T382" s="10">
        <f t="shared" si="53"/>
        <v>0.4052795223004253</v>
      </c>
      <c r="U382" t="s">
        <v>73</v>
      </c>
      <c r="W382" t="s">
        <v>74</v>
      </c>
      <c r="X382" t="s">
        <v>75</v>
      </c>
    </row>
    <row r="383" spans="1:24" x14ac:dyDescent="0.2">
      <c r="A383" t="str">
        <f>'HOUSE DATA'!A356</f>
        <v>TN-02</v>
      </c>
      <c r="B383" s="10">
        <f>'HOUSE DATA'!B356</f>
        <v>-28.875485750660211</v>
      </c>
      <c r="C383" s="10">
        <f t="shared" si="45"/>
        <v>-0.29999999999999893</v>
      </c>
      <c r="D383" s="10">
        <f>2*('HOUSE DATA'!D356*('HOUSE DASHBOARD'!$B$14-42.4)+'HOUSE DATA'!E356*('HOUSE DASHBOARD'!$B$15-54.2)+'HOUSE DATA'!F356*('HOUSE DASHBOARD'!$B$16-85.4)+'HOUSE DATA'!G356*('HOUSE DASHBOARD'!$B$17-60.7)+'HOUSE DATA'!H356*('HOUSE DASHBOARD'!$B$18-53.5))/100</f>
        <v>0</v>
      </c>
      <c r="E383" s="10">
        <f>2*('HOUSE DATA'!I356*('HOUSE DASHBOARD'!$B$21-55.6)+(100-'HOUSE DATA'!I356)*('HOUSE DASHBOARD'!$B$22-44.9))/100</f>
        <v>0</v>
      </c>
      <c r="F383" s="10">
        <f>0</f>
        <v>0</v>
      </c>
      <c r="G383" s="10">
        <f t="shared" si="46"/>
        <v>0</v>
      </c>
      <c r="H383" s="2">
        <f>'HOUSE DATA'!C356+C383+G383</f>
        <v>-27.639999999999993</v>
      </c>
      <c r="I383" s="3" t="str">
        <f t="shared" si="47"/>
        <v>R</v>
      </c>
      <c r="J383" s="1" t="str">
        <f>'HOUSE DATA'!K356</f>
        <v>R</v>
      </c>
      <c r="K383" s="1" t="str">
        <f t="shared" si="48"/>
        <v>—</v>
      </c>
      <c r="L383" t="str">
        <f t="shared" si="49"/>
        <v>R+27.64</v>
      </c>
      <c r="M383">
        <f>COUNTIF($H$31:$H$465,"&gt;"&amp;H383)+COUNTIF($H$31:H383,H383)</f>
        <v>390</v>
      </c>
      <c r="N383" s="7">
        <f t="shared" si="50"/>
        <v>27.639999999999993</v>
      </c>
      <c r="O383">
        <f>COUNTIF($N$31:$N$465,"&lt;"&amp;N383)+COUNTIF($N$31:N383,N383)</f>
        <v>256</v>
      </c>
      <c r="P383" s="10">
        <f>'HOUSE DATA'!M356</f>
        <v>-38.599999999999994</v>
      </c>
      <c r="Q383" t="str">
        <f>'HOUSE DATA'!N356</f>
        <v>2024 HOUSE / prior substitute</v>
      </c>
      <c r="R383" s="10">
        <f t="shared" si="51"/>
        <v>10.96</v>
      </c>
      <c r="S383" s="10">
        <f t="shared" si="52"/>
        <v>9.7245142493397836</v>
      </c>
      <c r="T383" s="10">
        <f t="shared" si="53"/>
        <v>1.2354857506602173</v>
      </c>
      <c r="U383" t="s">
        <v>73</v>
      </c>
      <c r="W383" t="s">
        <v>74</v>
      </c>
      <c r="X383" t="s">
        <v>75</v>
      </c>
    </row>
    <row r="384" spans="1:24" x14ac:dyDescent="0.2">
      <c r="A384" t="str">
        <f>'HOUSE DATA'!A357</f>
        <v>TN-03</v>
      </c>
      <c r="B384" s="10">
        <f>'HOUSE DATA'!B357</f>
        <v>-29.352115832017351</v>
      </c>
      <c r="C384" s="10">
        <f t="shared" si="45"/>
        <v>-0.29999999999999893</v>
      </c>
      <c r="D384" s="10">
        <f>2*('HOUSE DATA'!D357*('HOUSE DASHBOARD'!$B$14-42.4)+'HOUSE DATA'!E357*('HOUSE DASHBOARD'!$B$15-54.2)+'HOUSE DATA'!F357*('HOUSE DASHBOARD'!$B$16-85.4)+'HOUSE DATA'!G357*('HOUSE DASHBOARD'!$B$17-60.7)+'HOUSE DATA'!H357*('HOUSE DASHBOARD'!$B$18-53.5))/100</f>
        <v>0</v>
      </c>
      <c r="E384" s="10">
        <f>2*('HOUSE DATA'!I357*('HOUSE DASHBOARD'!$B$21-55.6)+(100-'HOUSE DATA'!I357)*('HOUSE DASHBOARD'!$B$22-44.9))/100</f>
        <v>0</v>
      </c>
      <c r="F384" s="10">
        <f>0</f>
        <v>0</v>
      </c>
      <c r="G384" s="10">
        <f t="shared" si="46"/>
        <v>0</v>
      </c>
      <c r="H384" s="2">
        <f>'HOUSE DATA'!C357+C384+G384</f>
        <v>-28.296198347107442</v>
      </c>
      <c r="I384" s="3" t="str">
        <f t="shared" si="47"/>
        <v>R</v>
      </c>
      <c r="J384" s="1" t="str">
        <f>'HOUSE DATA'!K357</f>
        <v>R</v>
      </c>
      <c r="K384" s="1" t="str">
        <f t="shared" si="48"/>
        <v>—</v>
      </c>
      <c r="L384" t="str">
        <f t="shared" si="49"/>
        <v>R+28.30</v>
      </c>
      <c r="M384">
        <f>COUNTIF($H$31:$H$465,"&gt;"&amp;H384)+COUNTIF($H$31:H384,H384)</f>
        <v>393</v>
      </c>
      <c r="N384" s="7">
        <f t="shared" si="50"/>
        <v>28.296198347107442</v>
      </c>
      <c r="O384">
        <f>COUNTIF($N$31:$N$465,"&lt;"&amp;N384)+COUNTIF($N$31:N384,N384)</f>
        <v>262</v>
      </c>
      <c r="P384" s="10">
        <f>'HOUSE DATA'!M357</f>
        <v>-39.256198347107443</v>
      </c>
      <c r="Q384" t="str">
        <f>'HOUSE DATA'!N357</f>
        <v>2024 HOUSE / prior substitute</v>
      </c>
      <c r="R384" s="10">
        <f t="shared" si="51"/>
        <v>10.96</v>
      </c>
      <c r="S384" s="10">
        <f t="shared" si="52"/>
        <v>9.9040825150900922</v>
      </c>
      <c r="T384" s="10">
        <f t="shared" si="53"/>
        <v>1.0559174849099087</v>
      </c>
      <c r="U384" t="s">
        <v>73</v>
      </c>
      <c r="W384" t="s">
        <v>74</v>
      </c>
      <c r="X384" t="s">
        <v>75</v>
      </c>
    </row>
    <row r="385" spans="1:24" x14ac:dyDescent="0.2">
      <c r="A385" t="str">
        <f>'HOUSE DATA'!A358</f>
        <v>TN-04</v>
      </c>
      <c r="B385" s="10">
        <f>'HOUSE DATA'!B358</f>
        <v>-13.597508186617517</v>
      </c>
      <c r="C385" s="10">
        <f t="shared" si="45"/>
        <v>-0.29999999999999893</v>
      </c>
      <c r="D385" s="10">
        <f>2*('HOUSE DATA'!D358*('HOUSE DASHBOARD'!$B$14-42.4)+'HOUSE DATA'!E358*('HOUSE DASHBOARD'!$B$15-54.2)+'HOUSE DATA'!F358*('HOUSE DASHBOARD'!$B$16-85.4)+'HOUSE DATA'!G358*('HOUSE DASHBOARD'!$B$17-60.7)+'HOUSE DATA'!H358*('HOUSE DASHBOARD'!$B$18-53.5))/100</f>
        <v>0</v>
      </c>
      <c r="E385" s="10">
        <f>2*('HOUSE DATA'!I358*('HOUSE DASHBOARD'!$B$21-55.6)+(100-'HOUSE DATA'!I358)*('HOUSE DASHBOARD'!$B$22-44.9))/100</f>
        <v>0</v>
      </c>
      <c r="F385" s="10">
        <f>0</f>
        <v>0</v>
      </c>
      <c r="G385" s="10">
        <f t="shared" si="46"/>
        <v>0</v>
      </c>
      <c r="H385" s="2">
        <f>'HOUSE DATA'!C358+C385+G385</f>
        <v>-12.928314374353675</v>
      </c>
      <c r="I385" s="3" t="str">
        <f t="shared" si="47"/>
        <v>R</v>
      </c>
      <c r="J385" s="1" t="str">
        <f>'HOUSE DATA'!K358</f>
        <v>R</v>
      </c>
      <c r="K385" s="1" t="str">
        <f t="shared" si="48"/>
        <v>—</v>
      </c>
      <c r="L385" t="str">
        <f t="shared" si="49"/>
        <v>R+12.93</v>
      </c>
      <c r="M385">
        <f>COUNTIF($H$31:$H$465,"&gt;"&amp;H385)+COUNTIF($H$31:H385,H385)</f>
        <v>326</v>
      </c>
      <c r="N385" s="7">
        <f t="shared" si="50"/>
        <v>12.928314374353675</v>
      </c>
      <c r="O385">
        <f>COUNTIF($N$31:$N$465,"&lt;"&amp;N385)+COUNTIF($N$31:N385,N385)</f>
        <v>119</v>
      </c>
      <c r="P385" s="10">
        <f>'HOUSE DATA'!M358</f>
        <v>-23.888314374353676</v>
      </c>
      <c r="Q385" t="str">
        <f>'HOUSE DATA'!N358</f>
        <v>2024 HOUSE / prior substitute</v>
      </c>
      <c r="R385" s="10">
        <f t="shared" si="51"/>
        <v>10.96</v>
      </c>
      <c r="S385" s="10">
        <f t="shared" si="52"/>
        <v>10.290806187736159</v>
      </c>
      <c r="T385" s="10">
        <f t="shared" si="53"/>
        <v>0.66919381226384189</v>
      </c>
      <c r="U385" t="s">
        <v>73</v>
      </c>
      <c r="W385" t="s">
        <v>74</v>
      </c>
      <c r="X385" t="s">
        <v>75</v>
      </c>
    </row>
    <row r="386" spans="1:24" x14ac:dyDescent="0.2">
      <c r="A386" t="str">
        <f>'HOUSE DATA'!A359</f>
        <v>TN-05</v>
      </c>
      <c r="B386" s="10">
        <f>'HOUSE DATA'!B359</f>
        <v>-14.402603937818366</v>
      </c>
      <c r="C386" s="10">
        <f t="shared" si="45"/>
        <v>-0.29999999999999893</v>
      </c>
      <c r="D386" s="10">
        <f>2*('HOUSE DATA'!D359*('HOUSE DASHBOARD'!$B$14-42.4)+'HOUSE DATA'!E359*('HOUSE DASHBOARD'!$B$15-54.2)+'HOUSE DATA'!F359*('HOUSE DASHBOARD'!$B$16-85.4)+'HOUSE DATA'!G359*('HOUSE DASHBOARD'!$B$17-60.7)+'HOUSE DATA'!H359*('HOUSE DASHBOARD'!$B$18-53.5))/100</f>
        <v>0</v>
      </c>
      <c r="E386" s="10">
        <f>2*('HOUSE DATA'!I359*('HOUSE DASHBOARD'!$B$21-55.6)+(100-'HOUSE DATA'!I359)*('HOUSE DASHBOARD'!$B$22-44.9))/100</f>
        <v>0</v>
      </c>
      <c r="F386" s="10">
        <f>0</f>
        <v>0</v>
      </c>
      <c r="G386" s="10">
        <f t="shared" si="46"/>
        <v>0</v>
      </c>
      <c r="H386" s="2">
        <f>'HOUSE DATA'!C359+C386+G386</f>
        <v>-12.529999999999998</v>
      </c>
      <c r="I386" s="3" t="str">
        <f t="shared" si="47"/>
        <v>R</v>
      </c>
      <c r="J386" s="1" t="str">
        <f>'HOUSE DATA'!K359</f>
        <v>R</v>
      </c>
      <c r="K386" s="1" t="str">
        <f t="shared" si="48"/>
        <v>—</v>
      </c>
      <c r="L386" t="str">
        <f t="shared" si="49"/>
        <v>R+12.53</v>
      </c>
      <c r="M386">
        <f>COUNTIF($H$31:$H$465,"&gt;"&amp;H386)+COUNTIF($H$31:H386,H386)</f>
        <v>324</v>
      </c>
      <c r="N386" s="7">
        <f t="shared" si="50"/>
        <v>12.529999999999998</v>
      </c>
      <c r="O386">
        <f>COUNTIF($N$31:$N$465,"&lt;"&amp;N386)+COUNTIF($N$31:N386,N386)</f>
        <v>116</v>
      </c>
      <c r="P386" s="10">
        <f>'HOUSE DATA'!M359</f>
        <v>-23.08</v>
      </c>
      <c r="Q386" t="str">
        <f>'HOUSE DATA'!N359</f>
        <v>2024 PRESIDENT (open seat)</v>
      </c>
      <c r="R386" s="10">
        <f t="shared" si="51"/>
        <v>10.55</v>
      </c>
      <c r="S386" s="10">
        <f t="shared" si="52"/>
        <v>8.6773960621816322</v>
      </c>
      <c r="T386" s="10">
        <f t="shared" si="53"/>
        <v>1.8726039378183685</v>
      </c>
      <c r="U386" t="s">
        <v>73</v>
      </c>
      <c r="W386" t="s">
        <v>74</v>
      </c>
      <c r="X386" t="s">
        <v>75</v>
      </c>
    </row>
    <row r="387" spans="1:24" x14ac:dyDescent="0.2">
      <c r="A387" t="str">
        <f>'HOUSE DATA'!A360</f>
        <v>TN-06</v>
      </c>
      <c r="B387" s="10">
        <f>'HOUSE DATA'!B360</f>
        <v>-16.357740778386262</v>
      </c>
      <c r="C387" s="10">
        <f t="shared" si="45"/>
        <v>-0.29999999999999893</v>
      </c>
      <c r="D387" s="10">
        <f>2*('HOUSE DATA'!D360*('HOUSE DASHBOARD'!$B$14-42.4)+'HOUSE DATA'!E360*('HOUSE DASHBOARD'!$B$15-54.2)+'HOUSE DATA'!F360*('HOUSE DASHBOARD'!$B$16-85.4)+'HOUSE DATA'!G360*('HOUSE DASHBOARD'!$B$17-60.7)+'HOUSE DATA'!H360*('HOUSE DASHBOARD'!$B$18-53.5))/100</f>
        <v>0</v>
      </c>
      <c r="E387" s="10">
        <f>2*('HOUSE DATA'!I360*('HOUSE DASHBOARD'!$B$21-55.6)+(100-'HOUSE DATA'!I360)*('HOUSE DASHBOARD'!$B$22-44.9))/100</f>
        <v>0</v>
      </c>
      <c r="F387" s="10">
        <f>0</f>
        <v>0</v>
      </c>
      <c r="G387" s="10">
        <f t="shared" si="46"/>
        <v>0</v>
      </c>
      <c r="H387" s="2">
        <f>'HOUSE DATA'!C360+C387+G387</f>
        <v>-15.969999999999999</v>
      </c>
      <c r="I387" s="3" t="str">
        <f t="shared" si="47"/>
        <v>R</v>
      </c>
      <c r="J387" s="1" t="str">
        <f>'HOUSE DATA'!K360</f>
        <v>R</v>
      </c>
      <c r="K387" s="1" t="str">
        <f t="shared" si="48"/>
        <v>—</v>
      </c>
      <c r="L387" t="str">
        <f t="shared" si="49"/>
        <v>R+15.97</v>
      </c>
      <c r="M387">
        <f>COUNTIF($H$31:$H$465,"&gt;"&amp;H387)+COUNTIF($H$31:H387,H387)</f>
        <v>336</v>
      </c>
      <c r="N387" s="7">
        <f t="shared" si="50"/>
        <v>15.969999999999999</v>
      </c>
      <c r="O387">
        <f>COUNTIF($N$31:$N$465,"&lt;"&amp;N387)+COUNTIF($N$31:N387,N387)</f>
        <v>143</v>
      </c>
      <c r="P387" s="10">
        <f>'HOUSE DATA'!M360</f>
        <v>-26.52</v>
      </c>
      <c r="Q387" t="str">
        <f>'HOUSE DATA'!N360</f>
        <v>2024 PRESIDENT (open seat)</v>
      </c>
      <c r="R387" s="10">
        <f t="shared" si="51"/>
        <v>10.55</v>
      </c>
      <c r="S387" s="10">
        <f t="shared" si="52"/>
        <v>10.162259221613738</v>
      </c>
      <c r="T387" s="10">
        <f t="shared" si="53"/>
        <v>0.38774077838626297</v>
      </c>
      <c r="U387" t="s">
        <v>73</v>
      </c>
      <c r="W387" t="s">
        <v>74</v>
      </c>
      <c r="X387" t="s">
        <v>75</v>
      </c>
    </row>
    <row r="388" spans="1:24" x14ac:dyDescent="0.2">
      <c r="A388" t="str">
        <f>'HOUSE DATA'!A361</f>
        <v>TN-07</v>
      </c>
      <c r="B388" s="10">
        <f>'HOUSE DATA'!B361</f>
        <v>-11.944953820569399</v>
      </c>
      <c r="C388" s="10">
        <f t="shared" si="45"/>
        <v>-0.29999999999999893</v>
      </c>
      <c r="D388" s="10">
        <f>2*('HOUSE DATA'!D361*('HOUSE DASHBOARD'!$B$14-42.4)+'HOUSE DATA'!E361*('HOUSE DASHBOARD'!$B$15-54.2)+'HOUSE DATA'!F361*('HOUSE DASHBOARD'!$B$16-85.4)+'HOUSE DATA'!G361*('HOUSE DASHBOARD'!$B$17-60.7)+'HOUSE DATA'!H361*('HOUSE DASHBOARD'!$B$18-53.5))/100</f>
        <v>0</v>
      </c>
      <c r="E388" s="10">
        <f>2*('HOUSE DATA'!I361*('HOUSE DASHBOARD'!$B$21-55.6)+(100-'HOUSE DATA'!I361)*('HOUSE DASHBOARD'!$B$22-44.9))/100</f>
        <v>0</v>
      </c>
      <c r="F388" s="10">
        <f>0</f>
        <v>0</v>
      </c>
      <c r="G388" s="10">
        <f t="shared" si="46"/>
        <v>0</v>
      </c>
      <c r="H388" s="2">
        <f>'HOUSE DATA'!C361+C388+G388</f>
        <v>-11.16028542303772</v>
      </c>
      <c r="I388" s="3" t="str">
        <f t="shared" si="47"/>
        <v>R</v>
      </c>
      <c r="J388" s="1" t="str">
        <f>'HOUSE DATA'!K361</f>
        <v>R</v>
      </c>
      <c r="K388" s="1" t="str">
        <f t="shared" si="48"/>
        <v>—</v>
      </c>
      <c r="L388" t="str">
        <f t="shared" si="49"/>
        <v>R+11.16</v>
      </c>
      <c r="M388">
        <f>COUNTIF($H$31:$H$465,"&gt;"&amp;H388)+COUNTIF($H$31:H388,H388)</f>
        <v>312</v>
      </c>
      <c r="N388" s="7">
        <f t="shared" si="50"/>
        <v>11.16028542303772</v>
      </c>
      <c r="O388">
        <f>COUNTIF($N$31:$N$465,"&lt;"&amp;N388)+COUNTIF($N$31:N388,N388)</f>
        <v>103</v>
      </c>
      <c r="P388" s="10">
        <f>'HOUSE DATA'!M361</f>
        <v>-22.120285423037721</v>
      </c>
      <c r="Q388" t="str">
        <f>'HOUSE DATA'!N361</f>
        <v>2024 HOUSE / prior substitute</v>
      </c>
      <c r="R388" s="10">
        <f t="shared" si="51"/>
        <v>10.96</v>
      </c>
      <c r="S388" s="10">
        <f t="shared" si="52"/>
        <v>10.175331602468322</v>
      </c>
      <c r="T388" s="10">
        <f t="shared" si="53"/>
        <v>0.78466839753167861</v>
      </c>
      <c r="U388" t="s">
        <v>73</v>
      </c>
      <c r="W388" t="s">
        <v>74</v>
      </c>
      <c r="X388" t="s">
        <v>75</v>
      </c>
    </row>
    <row r="389" spans="1:24" x14ac:dyDescent="0.2">
      <c r="A389" t="str">
        <f>'HOUSE DATA'!A362</f>
        <v>TN-08</v>
      </c>
      <c r="B389" s="10">
        <f>'HOUSE DATA'!B362</f>
        <v>-13.644539047192092</v>
      </c>
      <c r="C389" s="10">
        <f t="shared" si="45"/>
        <v>-0.29999999999999893</v>
      </c>
      <c r="D389" s="10">
        <f>2*('HOUSE DATA'!D362*('HOUSE DASHBOARD'!$B$14-42.4)+'HOUSE DATA'!E362*('HOUSE DASHBOARD'!$B$15-54.2)+'HOUSE DATA'!F362*('HOUSE DASHBOARD'!$B$16-85.4)+'HOUSE DATA'!G362*('HOUSE DASHBOARD'!$B$17-60.7)+'HOUSE DATA'!H362*('HOUSE DASHBOARD'!$B$18-53.5))/100</f>
        <v>0</v>
      </c>
      <c r="E389" s="10">
        <f>2*('HOUSE DATA'!I362*('HOUSE DASHBOARD'!$B$21-55.6)+(100-'HOUSE DATA'!I362)*('HOUSE DASHBOARD'!$B$22-44.9))/100</f>
        <v>0</v>
      </c>
      <c r="F389" s="10">
        <f>0</f>
        <v>0</v>
      </c>
      <c r="G389" s="10">
        <f t="shared" si="46"/>
        <v>0</v>
      </c>
      <c r="H389" s="2">
        <f>'HOUSE DATA'!C362+C389+G389</f>
        <v>-13.170879345603275</v>
      </c>
      <c r="I389" s="3" t="str">
        <f t="shared" si="47"/>
        <v>R</v>
      </c>
      <c r="J389" s="1" t="str">
        <f>'HOUSE DATA'!K362</f>
        <v>R</v>
      </c>
      <c r="K389" s="1" t="str">
        <f t="shared" si="48"/>
        <v>—</v>
      </c>
      <c r="L389" t="str">
        <f t="shared" si="49"/>
        <v>R+13.17</v>
      </c>
      <c r="M389">
        <f>COUNTIF($H$31:$H$465,"&gt;"&amp;H389)+COUNTIF($H$31:H389,H389)</f>
        <v>327</v>
      </c>
      <c r="N389" s="7">
        <f t="shared" si="50"/>
        <v>13.170879345603275</v>
      </c>
      <c r="O389">
        <f>COUNTIF($N$31:$N$465,"&lt;"&amp;N389)+COUNTIF($N$31:N389,N389)</f>
        <v>120</v>
      </c>
      <c r="P389" s="10">
        <f>'HOUSE DATA'!M362</f>
        <v>-24.130879345603276</v>
      </c>
      <c r="Q389" t="str">
        <f>'HOUSE DATA'!N362</f>
        <v>2024 HOUSE / prior substitute</v>
      </c>
      <c r="R389" s="10">
        <f t="shared" si="51"/>
        <v>10.96</v>
      </c>
      <c r="S389" s="10">
        <f t="shared" si="52"/>
        <v>10.486340298411184</v>
      </c>
      <c r="T389" s="10">
        <f t="shared" si="53"/>
        <v>0.47365970158881687</v>
      </c>
      <c r="U389" t="s">
        <v>73</v>
      </c>
      <c r="W389" t="s">
        <v>74</v>
      </c>
      <c r="X389" t="s">
        <v>75</v>
      </c>
    </row>
    <row r="390" spans="1:24" x14ac:dyDescent="0.2">
      <c r="A390" t="str">
        <f>'HOUSE DATA'!A363</f>
        <v>TN-09</v>
      </c>
      <c r="B390" s="10">
        <f>'HOUSE DATA'!B363</f>
        <v>-7.7794471258087334</v>
      </c>
      <c r="C390" s="10">
        <f t="shared" si="45"/>
        <v>-0.29999999999999893</v>
      </c>
      <c r="D390" s="10">
        <f>2*('HOUSE DATA'!D363*('HOUSE DASHBOARD'!$B$14-42.4)+'HOUSE DATA'!E363*('HOUSE DASHBOARD'!$B$15-54.2)+'HOUSE DATA'!F363*('HOUSE DASHBOARD'!$B$16-85.4)+'HOUSE DATA'!G363*('HOUSE DASHBOARD'!$B$17-60.7)+'HOUSE DATA'!H363*('HOUSE DASHBOARD'!$B$18-53.5))/100</f>
        <v>0</v>
      </c>
      <c r="E390" s="10">
        <f>2*('HOUSE DATA'!I363*('HOUSE DASHBOARD'!$B$21-55.6)+(100-'HOUSE DATA'!I363)*('HOUSE DASHBOARD'!$B$22-44.9))/100</f>
        <v>0</v>
      </c>
      <c r="F390" s="10">
        <f>0</f>
        <v>0</v>
      </c>
      <c r="G390" s="10">
        <f t="shared" si="46"/>
        <v>0</v>
      </c>
      <c r="H390" s="2">
        <f>'HOUSE DATA'!C363+C390+G390</f>
        <v>-10.59</v>
      </c>
      <c r="I390" s="3" t="str">
        <f t="shared" si="47"/>
        <v>R</v>
      </c>
      <c r="J390" s="1" t="str">
        <f>'HOUSE DATA'!K363</f>
        <v>D</v>
      </c>
      <c r="K390" s="1" t="str">
        <f t="shared" si="48"/>
        <v>D → R</v>
      </c>
      <c r="L390" t="str">
        <f t="shared" si="49"/>
        <v>R+10.59</v>
      </c>
      <c r="M390">
        <f>COUNTIF($H$31:$H$465,"&gt;"&amp;H390)+COUNTIF($H$31:H390,H390)</f>
        <v>307</v>
      </c>
      <c r="N390" s="7">
        <f t="shared" si="50"/>
        <v>10.59</v>
      </c>
      <c r="O390">
        <f>COUNTIF($N$31:$N$465,"&lt;"&amp;N390)+COUNTIF($N$31:N390,N390)</f>
        <v>97</v>
      </c>
      <c r="P390" s="10">
        <f>'HOUSE DATA'!M363</f>
        <v>-21.14</v>
      </c>
      <c r="Q390" t="str">
        <f>'HOUSE DATA'!N363</f>
        <v>2024 PRESIDENT (open seat)</v>
      </c>
      <c r="R390" s="10">
        <f t="shared" si="51"/>
        <v>10.55</v>
      </c>
      <c r="S390" s="10">
        <f t="shared" si="52"/>
        <v>13.360552874191267</v>
      </c>
      <c r="T390" s="10">
        <f t="shared" si="53"/>
        <v>-2.8105528741912664</v>
      </c>
      <c r="U390" t="s">
        <v>73</v>
      </c>
      <c r="W390" t="s">
        <v>74</v>
      </c>
      <c r="X390" t="s">
        <v>75</v>
      </c>
    </row>
    <row r="391" spans="1:24" x14ac:dyDescent="0.2">
      <c r="A391" t="str">
        <f>'HOUSE DATA'!A364</f>
        <v>TX-01</v>
      </c>
      <c r="B391" s="10">
        <f>'HOUSE DATA'!B364</f>
        <v>-41.484547012365333</v>
      </c>
      <c r="C391" s="10">
        <f t="shared" si="45"/>
        <v>-0.29999999999999893</v>
      </c>
      <c r="D391" s="10">
        <f>2*('HOUSE DATA'!D364*('HOUSE DASHBOARD'!$B$14-42.4)+'HOUSE DATA'!E364*('HOUSE DASHBOARD'!$B$15-54.2)+'HOUSE DATA'!F364*('HOUSE DASHBOARD'!$B$16-85.4)+'HOUSE DATA'!G364*('HOUSE DASHBOARD'!$B$17-60.7)+'HOUSE DATA'!H364*('HOUSE DASHBOARD'!$B$18-53.5))/100</f>
        <v>0</v>
      </c>
      <c r="E391" s="10">
        <f>2*('HOUSE DATA'!I364*('HOUSE DASHBOARD'!$B$21-55.6)+(100-'HOUSE DATA'!I364)*('HOUSE DASHBOARD'!$B$22-44.9))/100</f>
        <v>0</v>
      </c>
      <c r="F391" s="10">
        <f>0</f>
        <v>0</v>
      </c>
      <c r="G391" s="10">
        <f t="shared" si="46"/>
        <v>0</v>
      </c>
      <c r="H391" s="2">
        <f>'HOUSE DATA'!C364+C391+G391</f>
        <v>-42.04</v>
      </c>
      <c r="I391" s="3" t="str">
        <f t="shared" si="47"/>
        <v>R</v>
      </c>
      <c r="J391" s="1" t="str">
        <f>'HOUSE DATA'!K364</f>
        <v>R</v>
      </c>
      <c r="K391" s="1" t="str">
        <f t="shared" si="48"/>
        <v>—</v>
      </c>
      <c r="L391" t="str">
        <f t="shared" si="49"/>
        <v>R+42.04</v>
      </c>
      <c r="M391">
        <f>COUNTIF($H$31:$H$465,"&gt;"&amp;H391)+COUNTIF($H$31:H391,H391)</f>
        <v>428</v>
      </c>
      <c r="N391" s="7">
        <f t="shared" si="50"/>
        <v>42.04</v>
      </c>
      <c r="O391">
        <f>COUNTIF($N$31:$N$465,"&lt;"&amp;N391)+COUNTIF($N$31:N391,N391)</f>
        <v>340</v>
      </c>
      <c r="P391" s="10">
        <f>'HOUSE DATA'!M364</f>
        <v>-53</v>
      </c>
      <c r="Q391" t="str">
        <f>'HOUSE DATA'!N364</f>
        <v>2024 HOUSE / prior substitute</v>
      </c>
      <c r="R391" s="10">
        <f t="shared" si="51"/>
        <v>10.96</v>
      </c>
      <c r="S391" s="10">
        <f t="shared" si="52"/>
        <v>11.515452987634667</v>
      </c>
      <c r="T391" s="10">
        <f t="shared" si="53"/>
        <v>-0.55545298763466633</v>
      </c>
      <c r="U391" t="s">
        <v>73</v>
      </c>
      <c r="W391" t="s">
        <v>74</v>
      </c>
      <c r="X391" t="s">
        <v>75</v>
      </c>
    </row>
    <row r="392" spans="1:24" x14ac:dyDescent="0.2">
      <c r="A392" t="str">
        <f>'HOUSE DATA'!A365</f>
        <v>TX-02</v>
      </c>
      <c r="B392" s="10">
        <f>'HOUSE DATA'!B365</f>
        <v>-12.923175178411032</v>
      </c>
      <c r="C392" s="10">
        <f t="shared" si="45"/>
        <v>-0.29999999999999893</v>
      </c>
      <c r="D392" s="10">
        <f>2*('HOUSE DATA'!D365*('HOUSE DASHBOARD'!$B$14-42.4)+'HOUSE DATA'!E365*('HOUSE DASHBOARD'!$B$15-54.2)+'HOUSE DATA'!F365*('HOUSE DASHBOARD'!$B$16-85.4)+'HOUSE DATA'!G365*('HOUSE DASHBOARD'!$B$17-60.7)+'HOUSE DATA'!H365*('HOUSE DASHBOARD'!$B$18-53.5))/100</f>
        <v>0</v>
      </c>
      <c r="E392" s="10">
        <f>2*('HOUSE DATA'!I365*('HOUSE DASHBOARD'!$B$21-55.6)+(100-'HOUSE DATA'!I365)*('HOUSE DASHBOARD'!$B$22-44.9))/100</f>
        <v>0</v>
      </c>
      <c r="F392" s="10">
        <f>0</f>
        <v>0</v>
      </c>
      <c r="G392" s="10">
        <f t="shared" si="46"/>
        <v>0</v>
      </c>
      <c r="H392" s="2">
        <f>'HOUSE DATA'!C365+C392+G392</f>
        <v>-12.29</v>
      </c>
      <c r="I392" s="3" t="str">
        <f t="shared" si="47"/>
        <v>R</v>
      </c>
      <c r="J392" s="1" t="str">
        <f>'HOUSE DATA'!K365</f>
        <v>R</v>
      </c>
      <c r="K392" s="1" t="str">
        <f t="shared" si="48"/>
        <v>—</v>
      </c>
      <c r="L392" t="str">
        <f t="shared" si="49"/>
        <v>R+12.29</v>
      </c>
      <c r="M392">
        <f>COUNTIF($H$31:$H$465,"&gt;"&amp;H392)+COUNTIF($H$31:H392,H392)</f>
        <v>322</v>
      </c>
      <c r="N392" s="7">
        <f t="shared" si="50"/>
        <v>12.29</v>
      </c>
      <c r="O392">
        <f>COUNTIF($N$31:$N$465,"&lt;"&amp;N392)+COUNTIF($N$31:N392,N392)</f>
        <v>114</v>
      </c>
      <c r="P392" s="10">
        <f>'HOUSE DATA'!M365</f>
        <v>-22.84</v>
      </c>
      <c r="Q392" t="str">
        <f>'HOUSE DATA'!N365</f>
        <v>2024 PRESIDENT (open seat)</v>
      </c>
      <c r="R392" s="10">
        <f t="shared" si="51"/>
        <v>10.55</v>
      </c>
      <c r="S392" s="10">
        <f t="shared" si="52"/>
        <v>9.9168248215889676</v>
      </c>
      <c r="T392" s="10">
        <f t="shared" si="53"/>
        <v>0.6331751784110331</v>
      </c>
      <c r="U392" t="s">
        <v>73</v>
      </c>
      <c r="W392" t="s">
        <v>74</v>
      </c>
      <c r="X392" t="s">
        <v>75</v>
      </c>
    </row>
    <row r="393" spans="1:24" x14ac:dyDescent="0.2">
      <c r="A393" t="str">
        <f>'HOUSE DATA'!A366</f>
        <v>TX-03</v>
      </c>
      <c r="B393" s="10">
        <f>'HOUSE DATA'!B366</f>
        <v>-16.524504793299055</v>
      </c>
      <c r="C393" s="10">
        <f t="shared" si="45"/>
        <v>-0.29999999999999893</v>
      </c>
      <c r="D393" s="10">
        <f>2*('HOUSE DATA'!D366*('HOUSE DASHBOARD'!$B$14-42.4)+'HOUSE DATA'!E366*('HOUSE DASHBOARD'!$B$15-54.2)+'HOUSE DATA'!F366*('HOUSE DASHBOARD'!$B$16-85.4)+'HOUSE DATA'!G366*('HOUSE DASHBOARD'!$B$17-60.7)+'HOUSE DATA'!H366*('HOUSE DASHBOARD'!$B$18-53.5))/100</f>
        <v>0</v>
      </c>
      <c r="E393" s="10">
        <f>2*('HOUSE DATA'!I366*('HOUSE DASHBOARD'!$B$21-55.6)+(100-'HOUSE DATA'!I366)*('HOUSE DASHBOARD'!$B$22-44.9))/100</f>
        <v>0</v>
      </c>
      <c r="F393" s="10">
        <f>0</f>
        <v>0</v>
      </c>
      <c r="G393" s="10">
        <f t="shared" si="46"/>
        <v>0</v>
      </c>
      <c r="H393" s="2">
        <f>'HOUSE DATA'!C366+C393+G393</f>
        <v>-14.76572572572573</v>
      </c>
      <c r="I393" s="3" t="str">
        <f t="shared" si="47"/>
        <v>R</v>
      </c>
      <c r="J393" s="1" t="str">
        <f>'HOUSE DATA'!K366</f>
        <v>R</v>
      </c>
      <c r="K393" s="1" t="str">
        <f t="shared" si="48"/>
        <v>—</v>
      </c>
      <c r="L393" t="str">
        <f t="shared" si="49"/>
        <v>R+14.77</v>
      </c>
      <c r="M393">
        <f>COUNTIF($H$31:$H$465,"&gt;"&amp;H393)+COUNTIF($H$31:H393,H393)</f>
        <v>330</v>
      </c>
      <c r="N393" s="7">
        <f t="shared" si="50"/>
        <v>14.76572572572573</v>
      </c>
      <c r="O393">
        <f>COUNTIF($N$31:$N$465,"&lt;"&amp;N393)+COUNTIF($N$31:N393,N393)</f>
        <v>130</v>
      </c>
      <c r="P393" s="10">
        <f>'HOUSE DATA'!M366</f>
        <v>-25.725725725725731</v>
      </c>
      <c r="Q393" t="str">
        <f>'HOUSE DATA'!N366</f>
        <v>2024 HOUSE / prior substitute</v>
      </c>
      <c r="R393" s="10">
        <f t="shared" si="51"/>
        <v>10.96</v>
      </c>
      <c r="S393" s="10">
        <f t="shared" si="52"/>
        <v>9.2012209324266756</v>
      </c>
      <c r="T393" s="10">
        <f t="shared" si="53"/>
        <v>1.7587790675733252</v>
      </c>
      <c r="U393" t="s">
        <v>73</v>
      </c>
      <c r="W393" t="s">
        <v>74</v>
      </c>
      <c r="X393" t="s">
        <v>75</v>
      </c>
    </row>
    <row r="394" spans="1:24" x14ac:dyDescent="0.2">
      <c r="A394" t="str">
        <f>'HOUSE DATA'!A367</f>
        <v>TX-04</v>
      </c>
      <c r="B394" s="10">
        <f>'HOUSE DATA'!B367</f>
        <v>-19.09304199061393</v>
      </c>
      <c r="C394" s="10">
        <f t="shared" si="45"/>
        <v>-0.29999999999999893</v>
      </c>
      <c r="D394" s="10">
        <f>2*('HOUSE DATA'!D367*('HOUSE DASHBOARD'!$B$14-42.4)+'HOUSE DATA'!E367*('HOUSE DASHBOARD'!$B$15-54.2)+'HOUSE DATA'!F367*('HOUSE DASHBOARD'!$B$16-85.4)+'HOUSE DATA'!G367*('HOUSE DASHBOARD'!$B$17-60.7)+'HOUSE DATA'!H367*('HOUSE DASHBOARD'!$B$18-53.5))/100</f>
        <v>0</v>
      </c>
      <c r="E394" s="10">
        <f>2*('HOUSE DATA'!I367*('HOUSE DASHBOARD'!$B$21-55.6)+(100-'HOUSE DATA'!I367)*('HOUSE DASHBOARD'!$B$22-44.9))/100</f>
        <v>0</v>
      </c>
      <c r="F394" s="10">
        <f>0</f>
        <v>0</v>
      </c>
      <c r="G394" s="10">
        <f t="shared" si="46"/>
        <v>0</v>
      </c>
      <c r="H394" s="2">
        <f>'HOUSE DATA'!C367+C394+G394</f>
        <v>-17.296513026052097</v>
      </c>
      <c r="I394" s="3" t="str">
        <f t="shared" si="47"/>
        <v>R</v>
      </c>
      <c r="J394" s="1" t="str">
        <f>'HOUSE DATA'!K367</f>
        <v>R</v>
      </c>
      <c r="K394" s="1" t="str">
        <f t="shared" si="48"/>
        <v>—</v>
      </c>
      <c r="L394" t="str">
        <f t="shared" si="49"/>
        <v>R+17.30</v>
      </c>
      <c r="M394">
        <f>COUNTIF($H$31:$H$465,"&gt;"&amp;H394)+COUNTIF($H$31:H394,H394)</f>
        <v>342</v>
      </c>
      <c r="N394" s="7">
        <f t="shared" si="50"/>
        <v>17.296513026052097</v>
      </c>
      <c r="O394">
        <f>COUNTIF($N$31:$N$465,"&lt;"&amp;N394)+COUNTIF($N$31:N394,N394)</f>
        <v>154</v>
      </c>
      <c r="P394" s="10">
        <f>'HOUSE DATA'!M367</f>
        <v>-28.256513026052097</v>
      </c>
      <c r="Q394" t="str">
        <f>'HOUSE DATA'!N367</f>
        <v>2024 HOUSE / prior substitute</v>
      </c>
      <c r="R394" s="10">
        <f t="shared" si="51"/>
        <v>10.96</v>
      </c>
      <c r="S394" s="10">
        <f t="shared" si="52"/>
        <v>9.1634710354381674</v>
      </c>
      <c r="T394" s="10">
        <f t="shared" si="53"/>
        <v>1.7965289645618334</v>
      </c>
      <c r="U394" t="s">
        <v>73</v>
      </c>
      <c r="W394" t="s">
        <v>74</v>
      </c>
      <c r="X394" t="s">
        <v>75</v>
      </c>
    </row>
    <row r="395" spans="1:24" x14ac:dyDescent="0.2">
      <c r="A395" t="str">
        <f>'HOUSE DATA'!A368</f>
        <v>TX-05</v>
      </c>
      <c r="B395" s="10">
        <f>'HOUSE DATA'!B368</f>
        <v>-11.490696536368583</v>
      </c>
      <c r="C395" s="10">
        <f t="shared" si="45"/>
        <v>-0.29999999999999893</v>
      </c>
      <c r="D395" s="10">
        <f>2*('HOUSE DATA'!D368*('HOUSE DASHBOARD'!$B$14-42.4)+'HOUSE DATA'!E368*('HOUSE DASHBOARD'!$B$15-54.2)+'HOUSE DATA'!F368*('HOUSE DASHBOARD'!$B$16-85.4)+'HOUSE DATA'!G368*('HOUSE DASHBOARD'!$B$17-60.7)+'HOUSE DATA'!H368*('HOUSE DASHBOARD'!$B$18-53.5))/100</f>
        <v>0</v>
      </c>
      <c r="E395" s="10">
        <f>2*('HOUSE DATA'!I368*('HOUSE DASHBOARD'!$B$21-55.6)+(100-'HOUSE DATA'!I368)*('HOUSE DASHBOARD'!$B$22-44.9))/100</f>
        <v>0</v>
      </c>
      <c r="F395" s="10">
        <f>0</f>
        <v>0</v>
      </c>
      <c r="G395" s="10">
        <f t="shared" si="46"/>
        <v>0</v>
      </c>
      <c r="H395" s="2">
        <f>'HOUSE DATA'!C368+C395+G395</f>
        <v>-12.086092184368731</v>
      </c>
      <c r="I395" s="3" t="str">
        <f t="shared" si="47"/>
        <v>R</v>
      </c>
      <c r="J395" s="1" t="str">
        <f>'HOUSE DATA'!K368</f>
        <v>R</v>
      </c>
      <c r="K395" s="1" t="str">
        <f t="shared" si="48"/>
        <v>—</v>
      </c>
      <c r="L395" t="str">
        <f t="shared" si="49"/>
        <v>R+12.09</v>
      </c>
      <c r="M395">
        <f>COUNTIF($H$31:$H$465,"&gt;"&amp;H395)+COUNTIF($H$31:H395,H395)</f>
        <v>318</v>
      </c>
      <c r="N395" s="7">
        <f t="shared" si="50"/>
        <v>12.086092184368731</v>
      </c>
      <c r="O395">
        <f>COUNTIF($N$31:$N$465,"&lt;"&amp;N395)+COUNTIF($N$31:N395,N395)</f>
        <v>110</v>
      </c>
      <c r="P395" s="10">
        <f>'HOUSE DATA'!M368</f>
        <v>-23.046092184368732</v>
      </c>
      <c r="Q395" t="str">
        <f>'HOUSE DATA'!N368</f>
        <v>2024 HOUSE / prior substitute</v>
      </c>
      <c r="R395" s="10">
        <f t="shared" si="51"/>
        <v>10.96</v>
      </c>
      <c r="S395" s="10">
        <f t="shared" si="52"/>
        <v>11.555395648000149</v>
      </c>
      <c r="T395" s="10">
        <f t="shared" si="53"/>
        <v>-0.59539564800014766</v>
      </c>
      <c r="U395" t="s">
        <v>73</v>
      </c>
      <c r="W395" t="s">
        <v>74</v>
      </c>
      <c r="X395" t="s">
        <v>75</v>
      </c>
    </row>
    <row r="396" spans="1:24" x14ac:dyDescent="0.2">
      <c r="A396" t="str">
        <f>'HOUSE DATA'!A369</f>
        <v>TX-06</v>
      </c>
      <c r="B396" s="10">
        <f>'HOUSE DATA'!B369</f>
        <v>-33.739775651231525</v>
      </c>
      <c r="C396" s="10">
        <f t="shared" si="45"/>
        <v>-0.29999999999999893</v>
      </c>
      <c r="D396" s="10">
        <f>2*('HOUSE DATA'!D369*('HOUSE DASHBOARD'!$B$14-42.4)+'HOUSE DATA'!E369*('HOUSE DASHBOARD'!$B$15-54.2)+'HOUSE DATA'!F369*('HOUSE DASHBOARD'!$B$16-85.4)+'HOUSE DATA'!G369*('HOUSE DASHBOARD'!$B$17-60.7)+'HOUSE DATA'!H369*('HOUSE DASHBOARD'!$B$18-53.5))/100</f>
        <v>0</v>
      </c>
      <c r="E396" s="10">
        <f>2*('HOUSE DATA'!I369*('HOUSE DASHBOARD'!$B$21-55.6)+(100-'HOUSE DATA'!I369)*('HOUSE DASHBOARD'!$B$22-44.9))/100</f>
        <v>0</v>
      </c>
      <c r="F396" s="10">
        <f>0</f>
        <v>0</v>
      </c>
      <c r="G396" s="10">
        <f t="shared" si="46"/>
        <v>0</v>
      </c>
      <c r="H396" s="2">
        <f>'HOUSE DATA'!C369+C396+G396</f>
        <v>-34.421526104417659</v>
      </c>
      <c r="I396" s="3" t="str">
        <f t="shared" si="47"/>
        <v>R</v>
      </c>
      <c r="J396" s="1" t="str">
        <f>'HOUSE DATA'!K369</f>
        <v>R</v>
      </c>
      <c r="K396" s="1" t="str">
        <f t="shared" si="48"/>
        <v>—</v>
      </c>
      <c r="L396" t="str">
        <f t="shared" si="49"/>
        <v>R+34.42</v>
      </c>
      <c r="M396">
        <f>COUNTIF($H$31:$H$465,"&gt;"&amp;H396)+COUNTIF($H$31:H396,H396)</f>
        <v>411</v>
      </c>
      <c r="N396" s="7">
        <f t="shared" si="50"/>
        <v>34.421526104417659</v>
      </c>
      <c r="O396">
        <f>COUNTIF($N$31:$N$465,"&lt;"&amp;N396)+COUNTIF($N$31:N396,N396)</f>
        <v>305</v>
      </c>
      <c r="P396" s="10">
        <f>'HOUSE DATA'!M369</f>
        <v>-45.381526104417659</v>
      </c>
      <c r="Q396" t="str">
        <f>'HOUSE DATA'!N369</f>
        <v>2024 HOUSE / prior substitute</v>
      </c>
      <c r="R396" s="10">
        <f t="shared" si="51"/>
        <v>10.96</v>
      </c>
      <c r="S396" s="10">
        <f t="shared" si="52"/>
        <v>11.641750453186134</v>
      </c>
      <c r="T396" s="10">
        <f t="shared" si="53"/>
        <v>-0.68175045318613314</v>
      </c>
      <c r="U396" t="s">
        <v>73</v>
      </c>
      <c r="W396" t="s">
        <v>74</v>
      </c>
      <c r="X396" t="s">
        <v>75</v>
      </c>
    </row>
    <row r="397" spans="1:24" x14ac:dyDescent="0.2">
      <c r="A397" t="str">
        <f>'HOUSE DATA'!A370</f>
        <v>TX-07</v>
      </c>
      <c r="B397" s="10">
        <f>'HOUSE DATA'!B370</f>
        <v>38.060908073490609</v>
      </c>
      <c r="C397" s="10">
        <f t="shared" si="45"/>
        <v>-0.29999999999999893</v>
      </c>
      <c r="D397" s="10">
        <f>2*('HOUSE DATA'!D370*('HOUSE DASHBOARD'!$B$14-42.4)+'HOUSE DATA'!E370*('HOUSE DASHBOARD'!$B$15-54.2)+'HOUSE DATA'!F370*('HOUSE DASHBOARD'!$B$16-85.4)+'HOUSE DATA'!G370*('HOUSE DASHBOARD'!$B$17-60.7)+'HOUSE DATA'!H370*('HOUSE DASHBOARD'!$B$18-53.5))/100</f>
        <v>0</v>
      </c>
      <c r="E397" s="10">
        <f>2*('HOUSE DATA'!I370*('HOUSE DASHBOARD'!$B$21-55.6)+(100-'HOUSE DATA'!I370)*('HOUSE DASHBOARD'!$B$22-44.9))/100</f>
        <v>0</v>
      </c>
      <c r="F397" s="10">
        <f>0</f>
        <v>0</v>
      </c>
      <c r="G397" s="10">
        <f t="shared" si="46"/>
        <v>0</v>
      </c>
      <c r="H397" s="2">
        <f>'HOUSE DATA'!C370+C397+G397</f>
        <v>35.484524524524517</v>
      </c>
      <c r="I397" s="3" t="str">
        <f t="shared" si="47"/>
        <v>D</v>
      </c>
      <c r="J397" s="1" t="str">
        <f>'HOUSE DATA'!K370</f>
        <v>D</v>
      </c>
      <c r="K397" s="1" t="str">
        <f t="shared" si="48"/>
        <v>—</v>
      </c>
      <c r="L397" t="str">
        <f t="shared" si="49"/>
        <v>D+35.48</v>
      </c>
      <c r="M397">
        <f>COUNTIF($H$31:$H$465,"&gt;"&amp;H397)+COUNTIF($H$31:H397,H397)</f>
        <v>98</v>
      </c>
      <c r="N397" s="7">
        <f t="shared" si="50"/>
        <v>35.484524524524517</v>
      </c>
      <c r="O397">
        <f>COUNTIF($N$31:$N$465,"&lt;"&amp;N397)+COUNTIF($N$31:N397,N397)</f>
        <v>313</v>
      </c>
      <c r="P397" s="10">
        <f>'HOUSE DATA'!M370</f>
        <v>24.524524524524516</v>
      </c>
      <c r="Q397" t="str">
        <f>'HOUSE DATA'!N370</f>
        <v>2024 HOUSE / prior substitute</v>
      </c>
      <c r="R397" s="10">
        <f t="shared" si="51"/>
        <v>10.96</v>
      </c>
      <c r="S397" s="10">
        <f t="shared" si="52"/>
        <v>13.536383548966093</v>
      </c>
      <c r="T397" s="10">
        <f t="shared" si="53"/>
        <v>-2.576383548966092</v>
      </c>
      <c r="U397" t="s">
        <v>73</v>
      </c>
      <c r="W397" t="s">
        <v>74</v>
      </c>
      <c r="X397" t="s">
        <v>75</v>
      </c>
    </row>
    <row r="398" spans="1:24" x14ac:dyDescent="0.2">
      <c r="A398" t="str">
        <f>'HOUSE DATA'!A371</f>
        <v>TX-08</v>
      </c>
      <c r="B398" s="10">
        <f>'HOUSE DATA'!B371</f>
        <v>-16.555609034839925</v>
      </c>
      <c r="C398" s="10">
        <f t="shared" si="45"/>
        <v>-0.29999999999999893</v>
      </c>
      <c r="D398" s="10">
        <f>2*('HOUSE DATA'!D371*('HOUSE DASHBOARD'!$B$14-42.4)+'HOUSE DATA'!E371*('HOUSE DASHBOARD'!$B$15-54.2)+'HOUSE DATA'!F371*('HOUSE DASHBOARD'!$B$16-85.4)+'HOUSE DATA'!G371*('HOUSE DASHBOARD'!$B$17-60.7)+'HOUSE DATA'!H371*('HOUSE DASHBOARD'!$B$18-53.5))/100</f>
        <v>0</v>
      </c>
      <c r="E398" s="10">
        <f>2*('HOUSE DATA'!I371*('HOUSE DASHBOARD'!$B$21-55.6)+(100-'HOUSE DATA'!I371)*('HOUSE DASHBOARD'!$B$22-44.9))/100</f>
        <v>0</v>
      </c>
      <c r="F398" s="10">
        <f>0</f>
        <v>0</v>
      </c>
      <c r="G398" s="10">
        <f t="shared" si="46"/>
        <v>0</v>
      </c>
      <c r="H398" s="2">
        <f>'HOUSE DATA'!C371+C398+G398</f>
        <v>-17.089999999999996</v>
      </c>
      <c r="I398" s="3" t="str">
        <f t="shared" si="47"/>
        <v>R</v>
      </c>
      <c r="J398" s="1" t="str">
        <f>'HOUSE DATA'!K371</f>
        <v>R</v>
      </c>
      <c r="K398" s="1" t="str">
        <f t="shared" si="48"/>
        <v>—</v>
      </c>
      <c r="L398" t="str">
        <f t="shared" si="49"/>
        <v>R+17.09</v>
      </c>
      <c r="M398">
        <f>COUNTIF($H$31:$H$465,"&gt;"&amp;H398)+COUNTIF($H$31:H398,H398)</f>
        <v>340</v>
      </c>
      <c r="N398" s="7">
        <f t="shared" si="50"/>
        <v>17.089999999999996</v>
      </c>
      <c r="O398">
        <f>COUNTIF($N$31:$N$465,"&lt;"&amp;N398)+COUNTIF($N$31:N398,N398)</f>
        <v>152</v>
      </c>
      <c r="P398" s="10">
        <f>'HOUSE DATA'!M371</f>
        <v>-27.64</v>
      </c>
      <c r="Q398" t="str">
        <f>'HOUSE DATA'!N371</f>
        <v>2024 PRESIDENT (open seat)</v>
      </c>
      <c r="R398" s="10">
        <f t="shared" si="51"/>
        <v>10.550000000000004</v>
      </c>
      <c r="S398" s="10">
        <f t="shared" si="52"/>
        <v>11.084390965160075</v>
      </c>
      <c r="T398" s="10">
        <f t="shared" si="53"/>
        <v>-0.53439096516007112</v>
      </c>
      <c r="U398" t="s">
        <v>73</v>
      </c>
      <c r="W398" t="s">
        <v>74</v>
      </c>
      <c r="X398" t="s">
        <v>75</v>
      </c>
    </row>
    <row r="399" spans="1:24" x14ac:dyDescent="0.2">
      <c r="A399" t="str">
        <f>'HOUSE DATA'!A372</f>
        <v>TX-09</v>
      </c>
      <c r="B399" s="10">
        <f>'HOUSE DATA'!B372</f>
        <v>-5.2540095469971391</v>
      </c>
      <c r="C399" s="10">
        <f t="shared" si="45"/>
        <v>-0.29999999999999893</v>
      </c>
      <c r="D399" s="10">
        <f>2*('HOUSE DATA'!D372*('HOUSE DASHBOARD'!$B$14-42.4)+'HOUSE DATA'!E372*('HOUSE DASHBOARD'!$B$15-54.2)+'HOUSE DATA'!F372*('HOUSE DASHBOARD'!$B$16-85.4)+'HOUSE DATA'!G372*('HOUSE DASHBOARD'!$B$17-60.7)+'HOUSE DATA'!H372*('HOUSE DASHBOARD'!$B$18-53.5))/100</f>
        <v>0</v>
      </c>
      <c r="E399" s="10">
        <f>2*('HOUSE DATA'!I372*('HOUSE DASHBOARD'!$B$21-55.6)+(100-'HOUSE DATA'!I372)*('HOUSE DASHBOARD'!$B$22-44.9))/100</f>
        <v>0</v>
      </c>
      <c r="F399" s="10">
        <f>0</f>
        <v>0</v>
      </c>
      <c r="G399" s="10">
        <f t="shared" si="46"/>
        <v>0</v>
      </c>
      <c r="H399" s="2">
        <f>'HOUSE DATA'!C372+C399+G399</f>
        <v>-9.2399999999999984</v>
      </c>
      <c r="I399" s="3" t="str">
        <f t="shared" si="47"/>
        <v>R</v>
      </c>
      <c r="J399" s="1" t="str">
        <f>'HOUSE DATA'!K372</f>
        <v>D</v>
      </c>
      <c r="K399" s="1" t="str">
        <f t="shared" si="48"/>
        <v>D → R</v>
      </c>
      <c r="L399" t="str">
        <f t="shared" si="49"/>
        <v>R+9.24</v>
      </c>
      <c r="M399">
        <f>COUNTIF($H$31:$H$465,"&gt;"&amp;H399)+COUNTIF($H$31:H399,H399)</f>
        <v>293</v>
      </c>
      <c r="N399" s="7">
        <f t="shared" si="50"/>
        <v>9.2399999999999984</v>
      </c>
      <c r="O399">
        <f>COUNTIF($N$31:$N$465,"&lt;"&amp;N399)+COUNTIF($N$31:N399,N399)</f>
        <v>77</v>
      </c>
      <c r="P399" s="10">
        <f>'HOUSE DATA'!M372</f>
        <v>-19.79</v>
      </c>
      <c r="Q399" t="str">
        <f>'HOUSE DATA'!N372</f>
        <v>2024 PRESIDENT (open seat)</v>
      </c>
      <c r="R399" s="10">
        <f t="shared" si="51"/>
        <v>10.55</v>
      </c>
      <c r="S399" s="10">
        <f t="shared" si="52"/>
        <v>14.53599045300286</v>
      </c>
      <c r="T399" s="10">
        <f t="shared" si="53"/>
        <v>-3.9859904530028594</v>
      </c>
      <c r="U399" t="s">
        <v>73</v>
      </c>
      <c r="W399" t="s">
        <v>74</v>
      </c>
      <c r="X399" t="s">
        <v>75</v>
      </c>
    </row>
    <row r="400" spans="1:24" x14ac:dyDescent="0.2">
      <c r="A400" t="str">
        <f>'HOUSE DATA'!A373</f>
        <v>TX-10</v>
      </c>
      <c r="B400" s="10">
        <f>'HOUSE DATA'!B373</f>
        <v>-12.196959666608416</v>
      </c>
      <c r="C400" s="10">
        <f t="shared" si="45"/>
        <v>-0.29999999999999893</v>
      </c>
      <c r="D400" s="10">
        <f>2*('HOUSE DATA'!D373*('HOUSE DASHBOARD'!$B$14-42.4)+'HOUSE DATA'!E373*('HOUSE DASHBOARD'!$B$15-54.2)+'HOUSE DATA'!F373*('HOUSE DASHBOARD'!$B$16-85.4)+'HOUSE DATA'!G373*('HOUSE DASHBOARD'!$B$17-60.7)+'HOUSE DATA'!H373*('HOUSE DASHBOARD'!$B$18-53.5))/100</f>
        <v>0</v>
      </c>
      <c r="E400" s="10">
        <f>2*('HOUSE DATA'!I373*('HOUSE DASHBOARD'!$B$21-55.6)+(100-'HOUSE DATA'!I373)*('HOUSE DASHBOARD'!$B$22-44.9))/100</f>
        <v>0</v>
      </c>
      <c r="F400" s="10">
        <f>0</f>
        <v>0</v>
      </c>
      <c r="G400" s="10">
        <f t="shared" si="46"/>
        <v>0</v>
      </c>
      <c r="H400" s="2">
        <f>'HOUSE DATA'!C373+C400+G400</f>
        <v>-12.09</v>
      </c>
      <c r="I400" s="3" t="str">
        <f t="shared" si="47"/>
        <v>R</v>
      </c>
      <c r="J400" s="1" t="str">
        <f>'HOUSE DATA'!K373</f>
        <v>R</v>
      </c>
      <c r="K400" s="1" t="str">
        <f t="shared" si="48"/>
        <v>—</v>
      </c>
      <c r="L400" t="str">
        <f t="shared" si="49"/>
        <v>R+12.09</v>
      </c>
      <c r="M400">
        <f>COUNTIF($H$31:$H$465,"&gt;"&amp;H400)+COUNTIF($H$31:H400,H400)</f>
        <v>319</v>
      </c>
      <c r="N400" s="7">
        <f t="shared" si="50"/>
        <v>12.09</v>
      </c>
      <c r="O400">
        <f>COUNTIF($N$31:$N$465,"&lt;"&amp;N400)+COUNTIF($N$31:N400,N400)</f>
        <v>111</v>
      </c>
      <c r="P400" s="10">
        <f>'HOUSE DATA'!M373</f>
        <v>-22.64</v>
      </c>
      <c r="Q400" t="str">
        <f>'HOUSE DATA'!N373</f>
        <v>2024 PRESIDENT (open seat)</v>
      </c>
      <c r="R400" s="10">
        <f t="shared" si="51"/>
        <v>10.55</v>
      </c>
      <c r="S400" s="10">
        <f t="shared" si="52"/>
        <v>10.443040333391584</v>
      </c>
      <c r="T400" s="10">
        <f t="shared" si="53"/>
        <v>0.10695966660841627</v>
      </c>
      <c r="U400" t="s">
        <v>73</v>
      </c>
      <c r="W400" t="s">
        <v>74</v>
      </c>
      <c r="X400" t="s">
        <v>75</v>
      </c>
    </row>
    <row r="401" spans="1:24" x14ac:dyDescent="0.2">
      <c r="A401" t="str">
        <f>'HOUSE DATA'!A374</f>
        <v>TX-11</v>
      </c>
      <c r="B401" s="10">
        <f>'HOUSE DATA'!B374</f>
        <v>33.278136923476943</v>
      </c>
      <c r="C401" s="10">
        <f t="shared" si="45"/>
        <v>-0.29999999999999893</v>
      </c>
      <c r="D401" s="10">
        <f>2*('HOUSE DATA'!D374*('HOUSE DASHBOARD'!$B$14-42.4)+'HOUSE DATA'!E374*('HOUSE DASHBOARD'!$B$15-54.2)+'HOUSE DATA'!F374*('HOUSE DASHBOARD'!$B$16-85.4)+'HOUSE DATA'!G374*('HOUSE DASHBOARD'!$B$17-60.7)+'HOUSE DATA'!H374*('HOUSE DASHBOARD'!$B$18-53.5))/100</f>
        <v>0</v>
      </c>
      <c r="E401" s="10">
        <f>2*('HOUSE DATA'!I374*('HOUSE DASHBOARD'!$B$21-55.6)+(100-'HOUSE DATA'!I374)*('HOUSE DASHBOARD'!$B$22-44.9))/100</f>
        <v>0</v>
      </c>
      <c r="F401" s="10">
        <f>0</f>
        <v>0</v>
      </c>
      <c r="G401" s="10">
        <f t="shared" si="46"/>
        <v>0</v>
      </c>
      <c r="H401" s="2">
        <f>'HOUSE DATA'!C374+C401+G401</f>
        <v>31.122107396149936</v>
      </c>
      <c r="I401" s="3" t="str">
        <f t="shared" si="47"/>
        <v>D</v>
      </c>
      <c r="J401" s="1" t="str">
        <f>'HOUSE DATA'!K374</f>
        <v>R</v>
      </c>
      <c r="K401" s="1" t="str">
        <f t="shared" si="48"/>
        <v>R → D</v>
      </c>
      <c r="L401" t="str">
        <f t="shared" si="49"/>
        <v>D+31.12</v>
      </c>
      <c r="M401">
        <f>COUNTIF($H$31:$H$465,"&gt;"&amp;H401)+COUNTIF($H$31:H401,H401)</f>
        <v>114</v>
      </c>
      <c r="N401" s="7">
        <f t="shared" si="50"/>
        <v>31.122107396149936</v>
      </c>
      <c r="O401">
        <f>COUNTIF($N$31:$N$465,"&lt;"&amp;N401)+COUNTIF($N$31:N401,N401)</f>
        <v>288</v>
      </c>
      <c r="P401" s="10">
        <f>'HOUSE DATA'!M374</f>
        <v>20.162107396149935</v>
      </c>
      <c r="Q401" t="str">
        <f>'HOUSE DATA'!N374</f>
        <v>2024 HOUSE / prior substitute</v>
      </c>
      <c r="R401" s="10">
        <f t="shared" si="51"/>
        <v>10.96</v>
      </c>
      <c r="S401" s="10">
        <f t="shared" si="52"/>
        <v>13.116029527327008</v>
      </c>
      <c r="T401" s="10">
        <f t="shared" si="53"/>
        <v>-2.1560295273270071</v>
      </c>
      <c r="U401" t="s">
        <v>73</v>
      </c>
      <c r="W401" t="s">
        <v>74</v>
      </c>
      <c r="X401" t="s">
        <v>75</v>
      </c>
    </row>
    <row r="402" spans="1:24" x14ac:dyDescent="0.2">
      <c r="A402" t="str">
        <f>'HOUSE DATA'!A375</f>
        <v>TX-12</v>
      </c>
      <c r="B402" s="10">
        <f>'HOUSE DATA'!B375</f>
        <v>-17.331433265572208</v>
      </c>
      <c r="C402" s="10">
        <f t="shared" si="45"/>
        <v>-0.29999999999999893</v>
      </c>
      <c r="D402" s="10">
        <f>2*('HOUSE DATA'!D375*('HOUSE DASHBOARD'!$B$14-42.4)+'HOUSE DATA'!E375*('HOUSE DASHBOARD'!$B$15-54.2)+'HOUSE DATA'!F375*('HOUSE DASHBOARD'!$B$16-85.4)+'HOUSE DATA'!G375*('HOUSE DASHBOARD'!$B$17-60.7)+'HOUSE DATA'!H375*('HOUSE DASHBOARD'!$B$18-53.5))/100</f>
        <v>0</v>
      </c>
      <c r="E402" s="10">
        <f>2*('HOUSE DATA'!I375*('HOUSE DASHBOARD'!$B$21-55.6)+(100-'HOUSE DATA'!I375)*('HOUSE DASHBOARD'!$B$22-44.9))/100</f>
        <v>0</v>
      </c>
      <c r="F402" s="10">
        <f>0</f>
        <v>0</v>
      </c>
      <c r="G402" s="10">
        <f t="shared" si="46"/>
        <v>0</v>
      </c>
      <c r="H402" s="2">
        <f>'HOUSE DATA'!C375+C402+G402</f>
        <v>-17.04</v>
      </c>
      <c r="I402" s="3" t="str">
        <f t="shared" si="47"/>
        <v>R</v>
      </c>
      <c r="J402" s="1" t="str">
        <f>'HOUSE DATA'!K375</f>
        <v>R</v>
      </c>
      <c r="K402" s="1" t="str">
        <f t="shared" si="48"/>
        <v>—</v>
      </c>
      <c r="L402" t="str">
        <f t="shared" si="49"/>
        <v>R+17.04</v>
      </c>
      <c r="M402">
        <f>COUNTIF($H$31:$H$465,"&gt;"&amp;H402)+COUNTIF($H$31:H402,H402)</f>
        <v>339</v>
      </c>
      <c r="N402" s="7">
        <f t="shared" si="50"/>
        <v>17.04</v>
      </c>
      <c r="O402">
        <f>COUNTIF($N$31:$N$465,"&lt;"&amp;N402)+COUNTIF($N$31:N402,N402)</f>
        <v>149</v>
      </c>
      <c r="P402" s="10">
        <f>'HOUSE DATA'!M375</f>
        <v>-28</v>
      </c>
      <c r="Q402" t="str">
        <f>'HOUSE DATA'!N375</f>
        <v>2024 HOUSE / prior substitute</v>
      </c>
      <c r="R402" s="10">
        <f t="shared" si="51"/>
        <v>10.96</v>
      </c>
      <c r="S402" s="10">
        <f t="shared" si="52"/>
        <v>10.668566734427792</v>
      </c>
      <c r="T402" s="10">
        <f t="shared" si="53"/>
        <v>0.29143326557220917</v>
      </c>
      <c r="U402" t="s">
        <v>73</v>
      </c>
      <c r="W402" t="s">
        <v>74</v>
      </c>
      <c r="X402" t="s">
        <v>75</v>
      </c>
    </row>
    <row r="403" spans="1:24" x14ac:dyDescent="0.2">
      <c r="A403" t="str">
        <f>'HOUSE DATA'!A376</f>
        <v>TX-13</v>
      </c>
      <c r="B403" s="10">
        <f>'HOUSE DATA'!B376</f>
        <v>18.766011262951672</v>
      </c>
      <c r="C403" s="10">
        <f t="shared" si="45"/>
        <v>-0.29999999999999893</v>
      </c>
      <c r="D403" s="10">
        <f>2*('HOUSE DATA'!D376*('HOUSE DASHBOARD'!$B$14-42.4)+'HOUSE DATA'!E376*('HOUSE DASHBOARD'!$B$15-54.2)+'HOUSE DATA'!F376*('HOUSE DASHBOARD'!$B$16-85.4)+'HOUSE DATA'!G376*('HOUSE DASHBOARD'!$B$17-60.7)+'HOUSE DATA'!H376*('HOUSE DASHBOARD'!$B$18-53.5))/100</f>
        <v>0</v>
      </c>
      <c r="E403" s="10">
        <f>2*('HOUSE DATA'!I376*('HOUSE DASHBOARD'!$B$21-55.6)+(100-'HOUSE DATA'!I376)*('HOUSE DASHBOARD'!$B$22-44.9))/100</f>
        <v>0</v>
      </c>
      <c r="F403" s="10">
        <f>0</f>
        <v>0</v>
      </c>
      <c r="G403" s="10">
        <f t="shared" si="46"/>
        <v>0</v>
      </c>
      <c r="H403" s="2">
        <f>'HOUSE DATA'!C376+C403+G403</f>
        <v>17.984793388429757</v>
      </c>
      <c r="I403" s="3" t="str">
        <f t="shared" si="47"/>
        <v>D</v>
      </c>
      <c r="J403" s="1" t="str">
        <f>'HOUSE DATA'!K376</f>
        <v>R</v>
      </c>
      <c r="K403" s="1" t="str">
        <f t="shared" si="48"/>
        <v>R → D</v>
      </c>
      <c r="L403" t="str">
        <f t="shared" si="49"/>
        <v>D+17.98</v>
      </c>
      <c r="M403">
        <f>COUNTIF($H$31:$H$465,"&gt;"&amp;H403)+COUNTIF($H$31:H403,H403)</f>
        <v>183</v>
      </c>
      <c r="N403" s="7">
        <f t="shared" si="50"/>
        <v>17.984793388429757</v>
      </c>
      <c r="O403">
        <f>COUNTIF($N$31:$N$465,"&lt;"&amp;N403)+COUNTIF($N$31:N403,N403)</f>
        <v>163</v>
      </c>
      <c r="P403" s="10">
        <f>'HOUSE DATA'!M376</f>
        <v>7.0247933884297566</v>
      </c>
      <c r="Q403" t="str">
        <f>'HOUSE DATA'!N376</f>
        <v>2024 HOUSE / prior substitute</v>
      </c>
      <c r="R403" s="10">
        <f t="shared" si="51"/>
        <v>10.96</v>
      </c>
      <c r="S403" s="10">
        <f t="shared" si="52"/>
        <v>11.741217874521915</v>
      </c>
      <c r="T403" s="10">
        <f t="shared" si="53"/>
        <v>-0.78121787452191427</v>
      </c>
      <c r="U403" t="s">
        <v>73</v>
      </c>
      <c r="W403" t="s">
        <v>74</v>
      </c>
      <c r="X403" t="s">
        <v>75</v>
      </c>
    </row>
    <row r="404" spans="1:24" x14ac:dyDescent="0.2">
      <c r="A404" t="str">
        <f>'HOUSE DATA'!A377</f>
        <v>TX-14</v>
      </c>
      <c r="B404" s="10">
        <f>'HOUSE DATA'!B377</f>
        <v>-20.099970788342141</v>
      </c>
      <c r="C404" s="10">
        <f t="shared" si="45"/>
        <v>-0.29999999999999893</v>
      </c>
      <c r="D404" s="10">
        <f>2*('HOUSE DATA'!D377*('HOUSE DASHBOARD'!$B$14-42.4)+'HOUSE DATA'!E377*('HOUSE DASHBOARD'!$B$15-54.2)+'HOUSE DATA'!F377*('HOUSE DASHBOARD'!$B$16-85.4)+'HOUSE DATA'!G377*('HOUSE DASHBOARD'!$B$17-60.7)+'HOUSE DATA'!H377*('HOUSE DASHBOARD'!$B$18-53.5))/100</f>
        <v>0</v>
      </c>
      <c r="E404" s="10">
        <f>2*('HOUSE DATA'!I377*('HOUSE DASHBOARD'!$B$21-55.6)+(100-'HOUSE DATA'!I377)*('HOUSE DASHBOARD'!$B$22-44.9))/100</f>
        <v>0</v>
      </c>
      <c r="F404" s="10">
        <f>0</f>
        <v>0</v>
      </c>
      <c r="G404" s="10">
        <f t="shared" si="46"/>
        <v>0</v>
      </c>
      <c r="H404" s="2">
        <f>'HOUSE DATA'!C377+C404+G404</f>
        <v>-20.840000000000003</v>
      </c>
      <c r="I404" s="3" t="str">
        <f t="shared" si="47"/>
        <v>R</v>
      </c>
      <c r="J404" s="1" t="str">
        <f>'HOUSE DATA'!K377</f>
        <v>R</v>
      </c>
      <c r="K404" s="1" t="str">
        <f t="shared" si="48"/>
        <v>—</v>
      </c>
      <c r="L404" t="str">
        <f t="shared" si="49"/>
        <v>R+20.84</v>
      </c>
      <c r="M404">
        <f>COUNTIF($H$31:$H$465,"&gt;"&amp;H404)+COUNTIF($H$31:H404,H404)</f>
        <v>360</v>
      </c>
      <c r="N404" s="7">
        <f t="shared" si="50"/>
        <v>20.840000000000003</v>
      </c>
      <c r="O404">
        <f>COUNTIF($N$31:$N$465,"&lt;"&amp;N404)+COUNTIF($N$31:N404,N404)</f>
        <v>194</v>
      </c>
      <c r="P404" s="10">
        <f>'HOUSE DATA'!M377</f>
        <v>-31.800000000000004</v>
      </c>
      <c r="Q404" t="str">
        <f>'HOUSE DATA'!N377</f>
        <v>2024 HOUSE / prior substitute</v>
      </c>
      <c r="R404" s="10">
        <f t="shared" si="51"/>
        <v>10.96</v>
      </c>
      <c r="S404" s="10">
        <f t="shared" si="52"/>
        <v>11.700029211657863</v>
      </c>
      <c r="T404" s="10">
        <f t="shared" si="53"/>
        <v>-0.74002921165786262</v>
      </c>
      <c r="U404" t="s">
        <v>73</v>
      </c>
      <c r="W404" t="s">
        <v>74</v>
      </c>
      <c r="X404" t="s">
        <v>75</v>
      </c>
    </row>
    <row r="405" spans="1:24" x14ac:dyDescent="0.2">
      <c r="A405" t="str">
        <f>'HOUSE DATA'!A378</f>
        <v>TX-15</v>
      </c>
      <c r="B405" s="10">
        <f>'HOUSE DATA'!B378</f>
        <v>3.2716206768099063</v>
      </c>
      <c r="C405" s="10">
        <f t="shared" si="45"/>
        <v>-0.29999999999999893</v>
      </c>
      <c r="D405" s="10">
        <f>2*('HOUSE DATA'!D378*('HOUSE DASHBOARD'!$B$14-42.4)+'HOUSE DATA'!E378*('HOUSE DASHBOARD'!$B$15-54.2)+'HOUSE DATA'!F378*('HOUSE DASHBOARD'!$B$16-85.4)+'HOUSE DATA'!G378*('HOUSE DASHBOARD'!$B$17-60.7)+'HOUSE DATA'!H378*('HOUSE DASHBOARD'!$B$18-53.5))/100</f>
        <v>0</v>
      </c>
      <c r="E405" s="10">
        <f>2*('HOUSE DATA'!I378*('HOUSE DASHBOARD'!$B$21-55.6)+(100-'HOUSE DATA'!I378)*('HOUSE DASHBOARD'!$B$22-44.9))/100</f>
        <v>0</v>
      </c>
      <c r="F405" s="10">
        <f>0</f>
        <v>0</v>
      </c>
      <c r="G405" s="10">
        <f t="shared" si="46"/>
        <v>0</v>
      </c>
      <c r="H405" s="2">
        <f>'HOUSE DATA'!C378+C405+G405</f>
        <v>-2.2399999999999949</v>
      </c>
      <c r="I405" s="3" t="str">
        <f t="shared" si="47"/>
        <v>R</v>
      </c>
      <c r="J405" s="1" t="str">
        <f>'HOUSE DATA'!K378</f>
        <v>R</v>
      </c>
      <c r="K405" s="1" t="str">
        <f t="shared" si="48"/>
        <v>—</v>
      </c>
      <c r="L405" t="str">
        <f t="shared" si="49"/>
        <v>R+2.24</v>
      </c>
      <c r="M405">
        <f>COUNTIF($H$31:$H$465,"&gt;"&amp;H405)+COUNTIF($H$31:H405,H405)</f>
        <v>250</v>
      </c>
      <c r="N405" s="7">
        <f t="shared" si="50"/>
        <v>2.2399999999999949</v>
      </c>
      <c r="O405">
        <f>COUNTIF($N$31:$N$465,"&lt;"&amp;N405)+COUNTIF($N$31:N405,N405)</f>
        <v>22</v>
      </c>
      <c r="P405" s="10">
        <f>'HOUSE DATA'!M378</f>
        <v>-13.199999999999996</v>
      </c>
      <c r="Q405" t="str">
        <f>'HOUSE DATA'!N378</f>
        <v>2024 HOUSE / prior substitute</v>
      </c>
      <c r="R405" s="10">
        <f t="shared" si="51"/>
        <v>10.96</v>
      </c>
      <c r="S405" s="10">
        <f t="shared" si="52"/>
        <v>16.471620676809902</v>
      </c>
      <c r="T405" s="10">
        <f t="shared" si="53"/>
        <v>-5.5116206768099012</v>
      </c>
      <c r="U405" t="s">
        <v>73</v>
      </c>
      <c r="W405" t="s">
        <v>74</v>
      </c>
      <c r="X405" t="s">
        <v>75</v>
      </c>
    </row>
    <row r="406" spans="1:24" x14ac:dyDescent="0.2">
      <c r="A406" t="str">
        <f>'HOUSE DATA'!A379</f>
        <v>TX-16</v>
      </c>
      <c r="B406" s="10">
        <f>'HOUSE DATA'!B379</f>
        <v>35.447419523955816</v>
      </c>
      <c r="C406" s="10">
        <f t="shared" si="45"/>
        <v>-0.29999999999999893</v>
      </c>
      <c r="D406" s="10">
        <f>2*('HOUSE DATA'!D379*('HOUSE DASHBOARD'!$B$14-42.4)+'HOUSE DATA'!E379*('HOUSE DASHBOARD'!$B$15-54.2)+'HOUSE DATA'!F379*('HOUSE DASHBOARD'!$B$16-85.4)+'HOUSE DATA'!G379*('HOUSE DASHBOARD'!$B$17-60.7)+'HOUSE DATA'!H379*('HOUSE DASHBOARD'!$B$18-53.5))/100</f>
        <v>0</v>
      </c>
      <c r="E406" s="10">
        <f>2*('HOUSE DATA'!I379*('HOUSE DASHBOARD'!$B$21-55.6)+(100-'HOUSE DATA'!I379)*('HOUSE DASHBOARD'!$B$22-44.9))/100</f>
        <v>0</v>
      </c>
      <c r="F406" s="10">
        <f>0</f>
        <v>0</v>
      </c>
      <c r="G406" s="10">
        <f t="shared" si="46"/>
        <v>0</v>
      </c>
      <c r="H406" s="2">
        <f>'HOUSE DATA'!C379+C406+G406</f>
        <v>29.5529648241206</v>
      </c>
      <c r="I406" s="3" t="str">
        <f t="shared" si="47"/>
        <v>D</v>
      </c>
      <c r="J406" s="1" t="str">
        <f>'HOUSE DATA'!K379</f>
        <v>D</v>
      </c>
      <c r="K406" s="1" t="str">
        <f t="shared" si="48"/>
        <v>—</v>
      </c>
      <c r="L406" t="str">
        <f t="shared" si="49"/>
        <v>D+29.55</v>
      </c>
      <c r="M406">
        <f>COUNTIF($H$31:$H$465,"&gt;"&amp;H406)+COUNTIF($H$31:H406,H406)</f>
        <v>122</v>
      </c>
      <c r="N406" s="7">
        <f t="shared" si="50"/>
        <v>29.5529648241206</v>
      </c>
      <c r="O406">
        <f>COUNTIF($N$31:$N$465,"&lt;"&amp;N406)+COUNTIF($N$31:N406,N406)</f>
        <v>274</v>
      </c>
      <c r="P406" s="10">
        <f>'HOUSE DATA'!M379</f>
        <v>18.5929648241206</v>
      </c>
      <c r="Q406" t="str">
        <f>'HOUSE DATA'!N379</f>
        <v>2024 HOUSE / prior substitute</v>
      </c>
      <c r="R406" s="10">
        <f t="shared" si="51"/>
        <v>10.96</v>
      </c>
      <c r="S406" s="10">
        <f t="shared" si="52"/>
        <v>16.854454699835216</v>
      </c>
      <c r="T406" s="10">
        <f t="shared" si="53"/>
        <v>-5.8944546998352152</v>
      </c>
      <c r="U406" t="s">
        <v>73</v>
      </c>
      <c r="W406" t="s">
        <v>74</v>
      </c>
      <c r="X406" t="s">
        <v>75</v>
      </c>
    </row>
    <row r="407" spans="1:24" x14ac:dyDescent="0.2">
      <c r="A407" t="str">
        <f>'HOUSE DATA'!A380</f>
        <v>TX-17</v>
      </c>
      <c r="B407" s="10">
        <f>'HOUSE DATA'!B380</f>
        <v>-14.532429134300328</v>
      </c>
      <c r="C407" s="10">
        <f t="shared" si="45"/>
        <v>-0.29999999999999893</v>
      </c>
      <c r="D407" s="10">
        <f>2*('HOUSE DATA'!D380*('HOUSE DASHBOARD'!$B$14-42.4)+'HOUSE DATA'!E380*('HOUSE DASHBOARD'!$B$15-54.2)+'HOUSE DATA'!F380*('HOUSE DASHBOARD'!$B$16-85.4)+'HOUSE DATA'!G380*('HOUSE DASHBOARD'!$B$17-60.7)+'HOUSE DATA'!H380*('HOUSE DASHBOARD'!$B$18-53.5))/100</f>
        <v>0</v>
      </c>
      <c r="E407" s="10">
        <f>2*('HOUSE DATA'!I380*('HOUSE DASHBOARD'!$B$21-55.6)+(100-'HOUSE DATA'!I380)*('HOUSE DASHBOARD'!$B$22-44.9))/100</f>
        <v>0</v>
      </c>
      <c r="F407" s="10">
        <f>0</f>
        <v>0</v>
      </c>
      <c r="G407" s="10">
        <f t="shared" si="46"/>
        <v>0</v>
      </c>
      <c r="H407" s="2">
        <f>'HOUSE DATA'!C380+C407+G407</f>
        <v>-15.546024096385544</v>
      </c>
      <c r="I407" s="3" t="str">
        <f t="shared" si="47"/>
        <v>R</v>
      </c>
      <c r="J407" s="1" t="str">
        <f>'HOUSE DATA'!K380</f>
        <v>R</v>
      </c>
      <c r="K407" s="1" t="str">
        <f t="shared" si="48"/>
        <v>—</v>
      </c>
      <c r="L407" t="str">
        <f t="shared" si="49"/>
        <v>R+15.55</v>
      </c>
      <c r="M407">
        <f>COUNTIF($H$31:$H$465,"&gt;"&amp;H407)+COUNTIF($H$31:H407,H407)</f>
        <v>333</v>
      </c>
      <c r="N407" s="7">
        <f t="shared" si="50"/>
        <v>15.546024096385544</v>
      </c>
      <c r="O407">
        <f>COUNTIF($N$31:$N$465,"&lt;"&amp;N407)+COUNTIF($N$31:N407,N407)</f>
        <v>139</v>
      </c>
      <c r="P407" s="10">
        <f>'HOUSE DATA'!M380</f>
        <v>-26.506024096385545</v>
      </c>
      <c r="Q407" t="str">
        <f>'HOUSE DATA'!N380</f>
        <v>2024 HOUSE / prior substitute</v>
      </c>
      <c r="R407" s="10">
        <f t="shared" si="51"/>
        <v>10.96</v>
      </c>
      <c r="S407" s="10">
        <f t="shared" si="52"/>
        <v>11.973594962085217</v>
      </c>
      <c r="T407" s="10">
        <f t="shared" si="53"/>
        <v>-1.0135949620852163</v>
      </c>
      <c r="U407" t="s">
        <v>73</v>
      </c>
      <c r="W407" t="s">
        <v>74</v>
      </c>
      <c r="X407" t="s">
        <v>75</v>
      </c>
    </row>
    <row r="408" spans="1:24" x14ac:dyDescent="0.2">
      <c r="A408" t="str">
        <f>'HOUSE DATA'!A381</f>
        <v>TX-18</v>
      </c>
      <c r="B408" s="10">
        <f>'HOUSE DATA'!B381</f>
        <v>73.785744249631392</v>
      </c>
      <c r="C408" s="10">
        <f t="shared" si="45"/>
        <v>-0.29999999999999893</v>
      </c>
      <c r="D408" s="10">
        <f>2*('HOUSE DATA'!D381*('HOUSE DASHBOARD'!$B$14-42.4)+'HOUSE DATA'!E381*('HOUSE DASHBOARD'!$B$15-54.2)+'HOUSE DATA'!F381*('HOUSE DASHBOARD'!$B$16-85.4)+'HOUSE DATA'!G381*('HOUSE DASHBOARD'!$B$17-60.7)+'HOUSE DATA'!H381*('HOUSE DASHBOARD'!$B$18-53.5))/100</f>
        <v>0</v>
      </c>
      <c r="E408" s="10">
        <f>2*('HOUSE DATA'!I381*('HOUSE DASHBOARD'!$B$21-55.6)+(100-'HOUSE DATA'!I381)*('HOUSE DASHBOARD'!$B$22-44.9))/100</f>
        <v>0</v>
      </c>
      <c r="F408" s="10">
        <f>0</f>
        <v>0</v>
      </c>
      <c r="G408" s="10">
        <f t="shared" si="46"/>
        <v>0</v>
      </c>
      <c r="H408" s="2">
        <f>'HOUSE DATA'!C381+C408+G408</f>
        <v>70.119159159159167</v>
      </c>
      <c r="I408" s="3" t="str">
        <f t="shared" si="47"/>
        <v>D</v>
      </c>
      <c r="J408" s="1" t="str">
        <f>'HOUSE DATA'!K381</f>
        <v>D</v>
      </c>
      <c r="K408" s="1" t="str">
        <f t="shared" si="48"/>
        <v>—</v>
      </c>
      <c r="L408" t="str">
        <f t="shared" si="49"/>
        <v>D+70.12</v>
      </c>
      <c r="M408">
        <f>COUNTIF($H$31:$H$465,"&gt;"&amp;H408)+COUNTIF($H$31:H408,H408)</f>
        <v>15</v>
      </c>
      <c r="N408" s="7">
        <f t="shared" si="50"/>
        <v>70.119159159159167</v>
      </c>
      <c r="O408">
        <f>COUNTIF($N$31:$N$465,"&lt;"&amp;N408)+COUNTIF($N$31:N408,N408)</f>
        <v>411</v>
      </c>
      <c r="P408" s="10">
        <f>'HOUSE DATA'!M381</f>
        <v>59.159159159159174</v>
      </c>
      <c r="Q408" t="str">
        <f>'HOUSE DATA'!N381</f>
        <v>2024 HOUSE / prior substitute</v>
      </c>
      <c r="R408" s="10">
        <f t="shared" si="51"/>
        <v>10.959999999999994</v>
      </c>
      <c r="S408" s="10">
        <f t="shared" si="52"/>
        <v>14.626585090472219</v>
      </c>
      <c r="T408" s="10">
        <f t="shared" si="53"/>
        <v>-3.6665850904722248</v>
      </c>
      <c r="U408" t="s">
        <v>73</v>
      </c>
      <c r="W408" t="s">
        <v>74</v>
      </c>
      <c r="X408" t="s">
        <v>75</v>
      </c>
    </row>
    <row r="409" spans="1:24" x14ac:dyDescent="0.2">
      <c r="A409" t="str">
        <f>'HOUSE DATA'!A382</f>
        <v>TX-19</v>
      </c>
      <c r="B409" s="10">
        <f>'HOUSE DATA'!B382</f>
        <v>-38.671965916080062</v>
      </c>
      <c r="C409" s="10">
        <f t="shared" si="45"/>
        <v>-0.29999999999999893</v>
      </c>
      <c r="D409" s="10">
        <f>2*('HOUSE DATA'!D382*('HOUSE DASHBOARD'!$B$14-42.4)+'HOUSE DATA'!E382*('HOUSE DASHBOARD'!$B$15-54.2)+'HOUSE DATA'!F382*('HOUSE DASHBOARD'!$B$16-85.4)+'HOUSE DATA'!G382*('HOUSE DASHBOARD'!$B$17-60.7)+'HOUSE DATA'!H382*('HOUSE DASHBOARD'!$B$18-53.5))/100</f>
        <v>0</v>
      </c>
      <c r="E409" s="10">
        <f>2*('HOUSE DATA'!I382*('HOUSE DASHBOARD'!$B$21-55.6)+(100-'HOUSE DATA'!I382)*('HOUSE DASHBOARD'!$B$22-44.9))/100</f>
        <v>0</v>
      </c>
      <c r="F409" s="10">
        <f>0</f>
        <v>0</v>
      </c>
      <c r="G409" s="10">
        <f t="shared" si="46"/>
        <v>0</v>
      </c>
      <c r="H409" s="2">
        <f>'HOUSE DATA'!C382+C409+G409</f>
        <v>-41.139999999999993</v>
      </c>
      <c r="I409" s="3" t="str">
        <f t="shared" si="47"/>
        <v>R</v>
      </c>
      <c r="J409" s="1" t="str">
        <f>'HOUSE DATA'!K382</f>
        <v>R</v>
      </c>
      <c r="K409" s="1" t="str">
        <f t="shared" si="48"/>
        <v>—</v>
      </c>
      <c r="L409" t="str">
        <f t="shared" si="49"/>
        <v>R+41.14</v>
      </c>
      <c r="M409">
        <f>COUNTIF($H$31:$H$465,"&gt;"&amp;H409)+COUNTIF($H$31:H409,H409)</f>
        <v>427</v>
      </c>
      <c r="N409" s="7">
        <f t="shared" si="50"/>
        <v>41.139999999999993</v>
      </c>
      <c r="O409">
        <f>COUNTIF($N$31:$N$465,"&lt;"&amp;N409)+COUNTIF($N$31:N409,N409)</f>
        <v>337</v>
      </c>
      <c r="P409" s="10">
        <f>'HOUSE DATA'!M382</f>
        <v>-51.69</v>
      </c>
      <c r="Q409" t="str">
        <f>'HOUSE DATA'!N382</f>
        <v>2024 PRESIDENT (open seat)</v>
      </c>
      <c r="R409" s="10">
        <f t="shared" si="51"/>
        <v>10.550000000000004</v>
      </c>
      <c r="S409" s="10">
        <f t="shared" si="52"/>
        <v>13.018034083919936</v>
      </c>
      <c r="T409" s="10">
        <f t="shared" si="53"/>
        <v>-2.4680340839199317</v>
      </c>
      <c r="U409" t="s">
        <v>73</v>
      </c>
      <c r="W409" t="s">
        <v>74</v>
      </c>
      <c r="X409" t="s">
        <v>75</v>
      </c>
    </row>
    <row r="410" spans="1:24" x14ac:dyDescent="0.2">
      <c r="A410" t="str">
        <f>'HOUSE DATA'!A383</f>
        <v>TX-20</v>
      </c>
      <c r="B410" s="10">
        <f>'HOUSE DATA'!B383</f>
        <v>53.240773378989886</v>
      </c>
      <c r="C410" s="10">
        <f t="shared" si="45"/>
        <v>-0.29999999999999893</v>
      </c>
      <c r="D410" s="10">
        <f>2*('HOUSE DATA'!D383*('HOUSE DASHBOARD'!$B$14-42.4)+'HOUSE DATA'!E383*('HOUSE DASHBOARD'!$B$15-54.2)+'HOUSE DATA'!F383*('HOUSE DASHBOARD'!$B$16-85.4)+'HOUSE DATA'!G383*('HOUSE DASHBOARD'!$B$17-60.7)+'HOUSE DATA'!H383*('HOUSE DASHBOARD'!$B$18-53.5))/100</f>
        <v>0</v>
      </c>
      <c r="E410" s="10">
        <f>2*('HOUSE DATA'!I383*('HOUSE DASHBOARD'!$B$21-55.6)+(100-'HOUSE DATA'!I383)*('HOUSE DASHBOARD'!$B$22-44.9))/100</f>
        <v>0</v>
      </c>
      <c r="F410" s="10">
        <f>0</f>
        <v>0</v>
      </c>
      <c r="G410" s="10">
        <f t="shared" si="46"/>
        <v>0</v>
      </c>
      <c r="H410" s="2">
        <f>'HOUSE DATA'!C383+C410+G410</f>
        <v>48.160000000000011</v>
      </c>
      <c r="I410" s="3" t="str">
        <f t="shared" si="47"/>
        <v>D</v>
      </c>
      <c r="J410" s="1" t="str">
        <f>'HOUSE DATA'!K383</f>
        <v>D</v>
      </c>
      <c r="K410" s="1" t="str">
        <f t="shared" si="48"/>
        <v>—</v>
      </c>
      <c r="L410" t="str">
        <f t="shared" si="49"/>
        <v>D+48.16</v>
      </c>
      <c r="M410">
        <f>COUNTIF($H$31:$H$465,"&gt;"&amp;H410)+COUNTIF($H$31:H410,H410)</f>
        <v>64</v>
      </c>
      <c r="N410" s="7">
        <f t="shared" si="50"/>
        <v>48.160000000000011</v>
      </c>
      <c r="O410">
        <f>COUNTIF($N$31:$N$465,"&lt;"&amp;N410)+COUNTIF($N$31:N410,N410)</f>
        <v>361</v>
      </c>
      <c r="P410" s="10">
        <f>'HOUSE DATA'!M383</f>
        <v>37.20000000000001</v>
      </c>
      <c r="Q410" t="str">
        <f>'HOUSE DATA'!N383</f>
        <v>2024 HOUSE / prior substitute</v>
      </c>
      <c r="R410" s="10">
        <f t="shared" si="51"/>
        <v>10.96</v>
      </c>
      <c r="S410" s="10">
        <f t="shared" si="52"/>
        <v>16.040773378989876</v>
      </c>
      <c r="T410" s="10">
        <f t="shared" si="53"/>
        <v>-5.0807733789898748</v>
      </c>
      <c r="U410" t="s">
        <v>73</v>
      </c>
      <c r="W410" t="s">
        <v>74</v>
      </c>
      <c r="X410" t="s">
        <v>75</v>
      </c>
    </row>
    <row r="411" spans="1:24" x14ac:dyDescent="0.2">
      <c r="A411" t="str">
        <f>'HOUSE DATA'!A384</f>
        <v>TX-21</v>
      </c>
      <c r="B411" s="10">
        <f>'HOUSE DATA'!B384</f>
        <v>-11.951444928122591</v>
      </c>
      <c r="C411" s="10">
        <f t="shared" si="45"/>
        <v>-0.29999999999999893</v>
      </c>
      <c r="D411" s="10">
        <f>2*('HOUSE DATA'!D384*('HOUSE DASHBOARD'!$B$14-42.4)+'HOUSE DATA'!E384*('HOUSE DASHBOARD'!$B$15-54.2)+'HOUSE DATA'!F384*('HOUSE DASHBOARD'!$B$16-85.4)+'HOUSE DATA'!G384*('HOUSE DASHBOARD'!$B$17-60.7)+'HOUSE DATA'!H384*('HOUSE DASHBOARD'!$B$18-53.5))/100</f>
        <v>0</v>
      </c>
      <c r="E411" s="10">
        <f>2*('HOUSE DATA'!I384*('HOUSE DASHBOARD'!$B$21-55.6)+(100-'HOUSE DATA'!I384)*('HOUSE DASHBOARD'!$B$22-44.9))/100</f>
        <v>0</v>
      </c>
      <c r="F411" s="10">
        <f>0</f>
        <v>0</v>
      </c>
      <c r="G411" s="10">
        <f t="shared" si="46"/>
        <v>0</v>
      </c>
      <c r="H411" s="2">
        <f>'HOUSE DATA'!C384+C411+G411</f>
        <v>-11.29</v>
      </c>
      <c r="I411" s="3" t="str">
        <f t="shared" si="47"/>
        <v>R</v>
      </c>
      <c r="J411" s="1" t="str">
        <f>'HOUSE DATA'!K384</f>
        <v>R</v>
      </c>
      <c r="K411" s="1" t="str">
        <f t="shared" si="48"/>
        <v>—</v>
      </c>
      <c r="L411" t="str">
        <f t="shared" si="49"/>
        <v>R+11.29</v>
      </c>
      <c r="M411">
        <f>COUNTIF($H$31:$H$465,"&gt;"&amp;H411)+COUNTIF($H$31:H411,H411)</f>
        <v>313</v>
      </c>
      <c r="N411" s="7">
        <f t="shared" si="50"/>
        <v>11.29</v>
      </c>
      <c r="O411">
        <f>COUNTIF($N$31:$N$465,"&lt;"&amp;N411)+COUNTIF($N$31:N411,N411)</f>
        <v>104</v>
      </c>
      <c r="P411" s="10">
        <f>'HOUSE DATA'!M384</f>
        <v>-21.84</v>
      </c>
      <c r="Q411" t="str">
        <f>'HOUSE DATA'!N384</f>
        <v>2024 PRESIDENT (open seat)</v>
      </c>
      <c r="R411" s="10">
        <f t="shared" si="51"/>
        <v>10.55</v>
      </c>
      <c r="S411" s="10">
        <f t="shared" si="52"/>
        <v>9.8885550718774091</v>
      </c>
      <c r="T411" s="10">
        <f t="shared" si="53"/>
        <v>0.66144492812259159</v>
      </c>
      <c r="U411" t="s">
        <v>73</v>
      </c>
      <c r="W411" t="s">
        <v>74</v>
      </c>
      <c r="X411" t="s">
        <v>75</v>
      </c>
    </row>
    <row r="412" spans="1:24" x14ac:dyDescent="0.2">
      <c r="A412" t="str">
        <f>'HOUSE DATA'!A385</f>
        <v>TX-22</v>
      </c>
      <c r="B412" s="10">
        <f>'HOUSE DATA'!B385</f>
        <v>-11.63792959848576</v>
      </c>
      <c r="C412" s="10">
        <f t="shared" si="45"/>
        <v>-0.29999999999999893</v>
      </c>
      <c r="D412" s="10">
        <f>2*('HOUSE DATA'!D385*('HOUSE DASHBOARD'!$B$14-42.4)+'HOUSE DATA'!E385*('HOUSE DASHBOARD'!$B$15-54.2)+'HOUSE DATA'!F385*('HOUSE DASHBOARD'!$B$16-85.4)+'HOUSE DATA'!G385*('HOUSE DASHBOARD'!$B$17-60.7)+'HOUSE DATA'!H385*('HOUSE DASHBOARD'!$B$18-53.5))/100</f>
        <v>0</v>
      </c>
      <c r="E412" s="10">
        <f>2*('HOUSE DATA'!I385*('HOUSE DASHBOARD'!$B$21-55.6)+(100-'HOUSE DATA'!I385)*('HOUSE DASHBOARD'!$B$22-44.9))/100</f>
        <v>0</v>
      </c>
      <c r="F412" s="10">
        <f>0</f>
        <v>0</v>
      </c>
      <c r="G412" s="10">
        <f t="shared" si="46"/>
        <v>0</v>
      </c>
      <c r="H412" s="2">
        <f>'HOUSE DATA'!C385+C412+G412</f>
        <v>-11.719999999999999</v>
      </c>
      <c r="I412" s="3" t="str">
        <f t="shared" si="47"/>
        <v>R</v>
      </c>
      <c r="J412" s="1" t="str">
        <f>'HOUSE DATA'!K385</f>
        <v>R</v>
      </c>
      <c r="K412" s="1" t="str">
        <f t="shared" si="48"/>
        <v>—</v>
      </c>
      <c r="L412" t="str">
        <f t="shared" si="49"/>
        <v>R+11.72</v>
      </c>
      <c r="M412">
        <f>COUNTIF($H$31:$H$465,"&gt;"&amp;H412)+COUNTIF($H$31:H412,H412)</f>
        <v>315</v>
      </c>
      <c r="N412" s="7">
        <f t="shared" si="50"/>
        <v>11.719999999999999</v>
      </c>
      <c r="O412">
        <f>COUNTIF($N$31:$N$465,"&lt;"&amp;N412)+COUNTIF($N$31:N412,N412)</f>
        <v>106</v>
      </c>
      <c r="P412" s="10">
        <f>'HOUSE DATA'!M385</f>
        <v>-22.27</v>
      </c>
      <c r="Q412" t="str">
        <f>'HOUSE DATA'!N385</f>
        <v>2024 PRESIDENT (open seat)</v>
      </c>
      <c r="R412" s="10">
        <f t="shared" si="51"/>
        <v>10.55</v>
      </c>
      <c r="S412" s="10">
        <f t="shared" si="52"/>
        <v>10.632070401514239</v>
      </c>
      <c r="T412" s="10">
        <f t="shared" si="53"/>
        <v>-8.2070401514238611E-2</v>
      </c>
      <c r="U412" t="s">
        <v>73</v>
      </c>
      <c r="W412" t="s">
        <v>74</v>
      </c>
      <c r="X412" t="s">
        <v>75</v>
      </c>
    </row>
    <row r="413" spans="1:24" x14ac:dyDescent="0.2">
      <c r="A413" t="str">
        <f>'HOUSE DATA'!A386</f>
        <v>TX-23</v>
      </c>
      <c r="B413" s="10">
        <f>'HOUSE DATA'!B386</f>
        <v>-0.87408856205951935</v>
      </c>
      <c r="C413" s="10">
        <f t="shared" si="45"/>
        <v>-0.29999999999999893</v>
      </c>
      <c r="D413" s="10">
        <f>2*('HOUSE DATA'!D386*('HOUSE DASHBOARD'!$B$14-42.4)+'HOUSE DATA'!E386*('HOUSE DASHBOARD'!$B$15-54.2)+'HOUSE DATA'!F386*('HOUSE DASHBOARD'!$B$16-85.4)+'HOUSE DATA'!G386*('HOUSE DASHBOARD'!$B$17-60.7)+'HOUSE DATA'!H386*('HOUSE DASHBOARD'!$B$18-53.5))/100</f>
        <v>0</v>
      </c>
      <c r="E413" s="10">
        <f>2*('HOUSE DATA'!I386*('HOUSE DASHBOARD'!$B$21-55.6)+(100-'HOUSE DATA'!I386)*('HOUSE DASHBOARD'!$B$22-44.9))/100</f>
        <v>0</v>
      </c>
      <c r="F413" s="10">
        <f>0</f>
        <v>0</v>
      </c>
      <c r="G413" s="10">
        <f t="shared" si="46"/>
        <v>0</v>
      </c>
      <c r="H413" s="2">
        <f>'HOUSE DATA'!C386+C413+G413</f>
        <v>-4.2799999999999994</v>
      </c>
      <c r="I413" s="3" t="str">
        <f t="shared" si="47"/>
        <v>R</v>
      </c>
      <c r="J413" s="1" t="str">
        <f>'HOUSE DATA'!K386</f>
        <v>R</v>
      </c>
      <c r="K413" s="1" t="str">
        <f t="shared" si="48"/>
        <v>—</v>
      </c>
      <c r="L413" t="str">
        <f t="shared" si="49"/>
        <v>R+4.28</v>
      </c>
      <c r="M413">
        <f>COUNTIF($H$31:$H$465,"&gt;"&amp;H413)+COUNTIF($H$31:H413,H413)</f>
        <v>264</v>
      </c>
      <c r="N413" s="7">
        <f t="shared" si="50"/>
        <v>4.2799999999999994</v>
      </c>
      <c r="O413">
        <f>COUNTIF($N$31:$N$465,"&lt;"&amp;N413)+COUNTIF($N$31:N413,N413)</f>
        <v>37</v>
      </c>
      <c r="P413" s="10">
        <f>'HOUSE DATA'!M386</f>
        <v>-14.83</v>
      </c>
      <c r="Q413" t="str">
        <f>'HOUSE DATA'!N386</f>
        <v>2024 PRESIDENT (open seat)</v>
      </c>
      <c r="R413" s="10">
        <f t="shared" si="51"/>
        <v>10.55</v>
      </c>
      <c r="S413" s="10">
        <f t="shared" si="52"/>
        <v>13.955911437940481</v>
      </c>
      <c r="T413" s="10">
        <f t="shared" si="53"/>
        <v>-3.40591143794048</v>
      </c>
      <c r="U413" t="s">
        <v>73</v>
      </c>
      <c r="W413" t="s">
        <v>74</v>
      </c>
      <c r="X413" t="s">
        <v>75</v>
      </c>
    </row>
    <row r="414" spans="1:24" x14ac:dyDescent="0.2">
      <c r="A414" t="str">
        <f>'HOUSE DATA'!A387</f>
        <v>TX-24</v>
      </c>
      <c r="B414" s="10">
        <f>'HOUSE DATA'!B387</f>
        <v>-11.695288611894266</v>
      </c>
      <c r="C414" s="10">
        <f t="shared" si="45"/>
        <v>-0.29999999999999893</v>
      </c>
      <c r="D414" s="10">
        <f>2*('HOUSE DATA'!D387*('HOUSE DASHBOARD'!$B$14-42.4)+'HOUSE DATA'!E387*('HOUSE DASHBOARD'!$B$15-54.2)+'HOUSE DATA'!F387*('HOUSE DASHBOARD'!$B$16-85.4)+'HOUSE DATA'!G387*('HOUSE DASHBOARD'!$B$17-60.7)+'HOUSE DATA'!H387*('HOUSE DASHBOARD'!$B$18-53.5))/100</f>
        <v>0</v>
      </c>
      <c r="E414" s="10">
        <f>2*('HOUSE DATA'!I387*('HOUSE DASHBOARD'!$B$21-55.6)+(100-'HOUSE DATA'!I387)*('HOUSE DASHBOARD'!$B$22-44.9))/100</f>
        <v>0</v>
      </c>
      <c r="F414" s="10">
        <f>0</f>
        <v>0</v>
      </c>
      <c r="G414" s="10">
        <f t="shared" si="46"/>
        <v>0</v>
      </c>
      <c r="H414" s="2">
        <f>'HOUSE DATA'!C387+C414+G414</f>
        <v>-9.4808817635270444</v>
      </c>
      <c r="I414" s="3" t="str">
        <f t="shared" si="47"/>
        <v>R</v>
      </c>
      <c r="J414" s="1" t="str">
        <f>'HOUSE DATA'!K387</f>
        <v>R</v>
      </c>
      <c r="K414" s="1" t="str">
        <f t="shared" si="48"/>
        <v>—</v>
      </c>
      <c r="L414" t="str">
        <f t="shared" si="49"/>
        <v>R+9.48</v>
      </c>
      <c r="M414">
        <f>COUNTIF($H$31:$H$465,"&gt;"&amp;H414)+COUNTIF($H$31:H414,H414)</f>
        <v>297</v>
      </c>
      <c r="N414" s="7">
        <f t="shared" si="50"/>
        <v>9.4808817635270444</v>
      </c>
      <c r="O414">
        <f>COUNTIF($N$31:$N$465,"&lt;"&amp;N414)+COUNTIF($N$31:N414,N414)</f>
        <v>82</v>
      </c>
      <c r="P414" s="10">
        <f>'HOUSE DATA'!M387</f>
        <v>-20.440881763527045</v>
      </c>
      <c r="Q414" t="str">
        <f>'HOUSE DATA'!N387</f>
        <v>2024 HOUSE / prior substitute</v>
      </c>
      <c r="R414" s="10">
        <f t="shared" si="51"/>
        <v>10.96</v>
      </c>
      <c r="S414" s="10">
        <f t="shared" si="52"/>
        <v>8.7455931516327787</v>
      </c>
      <c r="T414" s="10">
        <f t="shared" si="53"/>
        <v>2.2144068483672221</v>
      </c>
      <c r="U414" t="s">
        <v>73</v>
      </c>
      <c r="W414" t="s">
        <v>74</v>
      </c>
      <c r="X414" t="s">
        <v>75</v>
      </c>
    </row>
    <row r="415" spans="1:24" x14ac:dyDescent="0.2">
      <c r="A415" t="str">
        <f>'HOUSE DATA'!A388</f>
        <v>TX-25</v>
      </c>
      <c r="B415" s="10">
        <f>'HOUSE DATA'!B388</f>
        <v>-42.883513934803133</v>
      </c>
      <c r="C415" s="10">
        <f t="shared" ref="C415:C465" si="54">$D$5</f>
        <v>-0.29999999999999893</v>
      </c>
      <c r="D415" s="10">
        <f>2*('HOUSE DATA'!D388*('HOUSE DASHBOARD'!$B$14-42.4)+'HOUSE DATA'!E388*('HOUSE DASHBOARD'!$B$15-54.2)+'HOUSE DATA'!F388*('HOUSE DASHBOARD'!$B$16-85.4)+'HOUSE DATA'!G388*('HOUSE DASHBOARD'!$B$17-60.7)+'HOUSE DATA'!H388*('HOUSE DASHBOARD'!$B$18-53.5))/100</f>
        <v>0</v>
      </c>
      <c r="E415" s="10">
        <f>2*('HOUSE DATA'!I388*('HOUSE DASHBOARD'!$B$21-55.6)+(100-'HOUSE DATA'!I388)*('HOUSE DASHBOARD'!$B$22-44.9))/100</f>
        <v>0</v>
      </c>
      <c r="F415" s="10">
        <f>0</f>
        <v>0</v>
      </c>
      <c r="G415" s="10">
        <f t="shared" ref="G415:G465" si="55">(D415+E415)/2</f>
        <v>0</v>
      </c>
      <c r="H415" s="2">
        <f>'HOUSE DATA'!C388+C415+G415</f>
        <v>-42.808844221105524</v>
      </c>
      <c r="I415" s="3" t="str">
        <f t="shared" ref="I415:I465" si="56">IF(V415="D","D",IF(V415="R","R",IF(H415&gt;=0,"D","R")))</f>
        <v>R</v>
      </c>
      <c r="J415" s="1" t="str">
        <f>'HOUSE DATA'!K388</f>
        <v>R</v>
      </c>
      <c r="K415" s="1" t="str">
        <f t="shared" ref="K415:K465" si="57">IF(I415=J415,"—",J415&amp;" → "&amp;I415)</f>
        <v>—</v>
      </c>
      <c r="L415" t="str">
        <f t="shared" ref="L415:L465" si="58">IF(V415="D","D — BALLOT LOCK",IF(V415="R","R — BALLOT LOCK",IF(H415&gt;=0,"D+"&amp;TEXT(H415,"0.00"),"R+"&amp;TEXT(-H415,"0.00"))))</f>
        <v>R+42.81</v>
      </c>
      <c r="M415">
        <f>COUNTIF($H$31:$H$465,"&gt;"&amp;H415)+COUNTIF($H$31:H415,H415)</f>
        <v>429</v>
      </c>
      <c r="N415" s="7">
        <f t="shared" ref="N415:N465" si="59">IF(V415&lt;&gt;"",100,ABS(H415))</f>
        <v>42.808844221105524</v>
      </c>
      <c r="O415">
        <f>COUNTIF($N$31:$N$465,"&lt;"&amp;N415)+COUNTIF($N$31:N415,N415)</f>
        <v>342</v>
      </c>
      <c r="P415" s="10">
        <f>'HOUSE DATA'!M388</f>
        <v>-53.768844221105525</v>
      </c>
      <c r="Q415" t="str">
        <f>'HOUSE DATA'!N388</f>
        <v>2024 HOUSE / prior substitute</v>
      </c>
      <c r="R415" s="10">
        <f t="shared" ref="R415:R465" si="60">H415-P415</f>
        <v>10.96</v>
      </c>
      <c r="S415" s="10">
        <f t="shared" ref="S415:S465" si="61">B415-P415</f>
        <v>10.885330286302391</v>
      </c>
      <c r="T415" s="10">
        <f t="shared" ref="T415:T465" si="62">H415-B415</f>
        <v>7.4669713697609552E-2</v>
      </c>
      <c r="U415" t="s">
        <v>73</v>
      </c>
      <c r="W415" t="s">
        <v>74</v>
      </c>
      <c r="X415" t="s">
        <v>75</v>
      </c>
    </row>
    <row r="416" spans="1:24" x14ac:dyDescent="0.2">
      <c r="A416" t="str">
        <f>'HOUSE DATA'!A389</f>
        <v>TX-26</v>
      </c>
      <c r="B416" s="10">
        <f>'HOUSE DATA'!B389</f>
        <v>-17.377183710129593</v>
      </c>
      <c r="C416" s="10">
        <f t="shared" si="54"/>
        <v>-0.29999999999999893</v>
      </c>
      <c r="D416" s="10">
        <f>2*('HOUSE DATA'!D389*('HOUSE DASHBOARD'!$B$14-42.4)+'HOUSE DATA'!E389*('HOUSE DASHBOARD'!$B$15-54.2)+'HOUSE DATA'!F389*('HOUSE DASHBOARD'!$B$16-85.4)+'HOUSE DATA'!G389*('HOUSE DASHBOARD'!$B$17-60.7)+'HOUSE DATA'!H389*('HOUSE DASHBOARD'!$B$18-53.5))/100</f>
        <v>0</v>
      </c>
      <c r="E416" s="10">
        <f>2*('HOUSE DATA'!I389*('HOUSE DASHBOARD'!$B$21-55.6)+(100-'HOUSE DATA'!I389)*('HOUSE DASHBOARD'!$B$22-44.9))/100</f>
        <v>0</v>
      </c>
      <c r="F416" s="10">
        <f>0</f>
        <v>0</v>
      </c>
      <c r="G416" s="10">
        <f t="shared" si="55"/>
        <v>0</v>
      </c>
      <c r="H416" s="2">
        <f>'HOUSE DATA'!C389+C416+G416</f>
        <v>-15.549723643807575</v>
      </c>
      <c r="I416" s="3" t="str">
        <f t="shared" si="56"/>
        <v>R</v>
      </c>
      <c r="J416" s="1" t="str">
        <f>'HOUSE DATA'!K389</f>
        <v>R</v>
      </c>
      <c r="K416" s="1" t="str">
        <f t="shared" si="57"/>
        <v>—</v>
      </c>
      <c r="L416" t="str">
        <f t="shared" si="58"/>
        <v>R+15.55</v>
      </c>
      <c r="M416">
        <f>COUNTIF($H$31:$H$465,"&gt;"&amp;H416)+COUNTIF($H$31:H416,H416)</f>
        <v>334</v>
      </c>
      <c r="N416" s="7">
        <f t="shared" si="59"/>
        <v>15.549723643807575</v>
      </c>
      <c r="O416">
        <f>COUNTIF($N$31:$N$465,"&lt;"&amp;N416)+COUNTIF($N$31:N416,N416)</f>
        <v>140</v>
      </c>
      <c r="P416" s="10">
        <f>'HOUSE DATA'!M389</f>
        <v>-26.509723643807575</v>
      </c>
      <c r="Q416" t="str">
        <f>'HOUSE DATA'!N389</f>
        <v>2024 HOUSE / prior substitute</v>
      </c>
      <c r="R416" s="10">
        <f t="shared" si="60"/>
        <v>10.96</v>
      </c>
      <c r="S416" s="10">
        <f t="shared" si="61"/>
        <v>9.1325399336779824</v>
      </c>
      <c r="T416" s="10">
        <f t="shared" si="62"/>
        <v>1.8274600663220184</v>
      </c>
      <c r="U416" t="s">
        <v>73</v>
      </c>
      <c r="W416" t="s">
        <v>74</v>
      </c>
      <c r="X416" t="s">
        <v>75</v>
      </c>
    </row>
    <row r="417" spans="1:24" x14ac:dyDescent="0.2">
      <c r="A417" t="str">
        <f>'HOUSE DATA'!A390</f>
        <v>TX-27</v>
      </c>
      <c r="B417" s="10">
        <f>'HOUSE DATA'!B390</f>
        <v>-9.2884628992538474</v>
      </c>
      <c r="C417" s="10">
        <f t="shared" si="54"/>
        <v>-0.29999999999999893</v>
      </c>
      <c r="D417" s="10">
        <f>2*('HOUSE DATA'!D390*('HOUSE DASHBOARD'!$B$14-42.4)+'HOUSE DATA'!E390*('HOUSE DASHBOARD'!$B$15-54.2)+'HOUSE DATA'!F390*('HOUSE DASHBOARD'!$B$16-85.4)+'HOUSE DATA'!G390*('HOUSE DASHBOARD'!$B$17-60.7)+'HOUSE DATA'!H390*('HOUSE DASHBOARD'!$B$18-53.5))/100</f>
        <v>0</v>
      </c>
      <c r="E417" s="10">
        <f>2*('HOUSE DATA'!I390*('HOUSE DASHBOARD'!$B$21-55.6)+(100-'HOUSE DATA'!I390)*('HOUSE DASHBOARD'!$B$22-44.9))/100</f>
        <v>0</v>
      </c>
      <c r="F417" s="10">
        <f>0</f>
        <v>0</v>
      </c>
      <c r="G417" s="10">
        <f t="shared" si="55"/>
        <v>0</v>
      </c>
      <c r="H417" s="2">
        <f>'HOUSE DATA'!C390+C417+G417</f>
        <v>-12.349788092835524</v>
      </c>
      <c r="I417" s="3" t="str">
        <f t="shared" si="56"/>
        <v>R</v>
      </c>
      <c r="J417" s="1" t="str">
        <f>'HOUSE DATA'!K390</f>
        <v>R</v>
      </c>
      <c r="K417" s="1" t="str">
        <f t="shared" si="57"/>
        <v>—</v>
      </c>
      <c r="L417" t="str">
        <f t="shared" si="58"/>
        <v>R+12.35</v>
      </c>
      <c r="M417">
        <f>COUNTIF($H$31:$H$465,"&gt;"&amp;H417)+COUNTIF($H$31:H417,H417)</f>
        <v>323</v>
      </c>
      <c r="N417" s="7">
        <f t="shared" si="59"/>
        <v>12.349788092835524</v>
      </c>
      <c r="O417">
        <f>COUNTIF($N$31:$N$465,"&lt;"&amp;N417)+COUNTIF($N$31:N417,N417)</f>
        <v>115</v>
      </c>
      <c r="P417" s="10">
        <f>'HOUSE DATA'!M390</f>
        <v>-23.309788092835525</v>
      </c>
      <c r="Q417" t="str">
        <f>'HOUSE DATA'!N390</f>
        <v>2024 HOUSE / prior substitute</v>
      </c>
      <c r="R417" s="10">
        <f t="shared" si="60"/>
        <v>10.96</v>
      </c>
      <c r="S417" s="10">
        <f t="shared" si="61"/>
        <v>14.021325193581678</v>
      </c>
      <c r="T417" s="10">
        <f t="shared" si="62"/>
        <v>-3.061325193581677</v>
      </c>
      <c r="U417" t="s">
        <v>73</v>
      </c>
      <c r="W417" t="s">
        <v>74</v>
      </c>
      <c r="X417" t="s">
        <v>75</v>
      </c>
    </row>
    <row r="418" spans="1:24" x14ac:dyDescent="0.2">
      <c r="A418" t="str">
        <f>'HOUSE DATA'!A391</f>
        <v>TX-28</v>
      </c>
      <c r="B418" s="10">
        <f>'HOUSE DATA'!B391</f>
        <v>23.627761996607624</v>
      </c>
      <c r="C418" s="10">
        <f t="shared" si="54"/>
        <v>-0.29999999999999893</v>
      </c>
      <c r="D418" s="10">
        <f>2*('HOUSE DATA'!D391*('HOUSE DASHBOARD'!$B$14-42.4)+'HOUSE DATA'!E391*('HOUSE DASHBOARD'!$B$15-54.2)+'HOUSE DATA'!F391*('HOUSE DASHBOARD'!$B$16-85.4)+'HOUSE DATA'!G391*('HOUSE DASHBOARD'!$B$17-60.7)+'HOUSE DATA'!H391*('HOUSE DASHBOARD'!$B$18-53.5))/100</f>
        <v>0</v>
      </c>
      <c r="E418" s="10">
        <f>2*('HOUSE DATA'!I391*('HOUSE DASHBOARD'!$B$21-55.6)+(100-'HOUSE DATA'!I391)*('HOUSE DASHBOARD'!$B$22-44.9))/100</f>
        <v>0</v>
      </c>
      <c r="F418" s="10">
        <f>0</f>
        <v>0</v>
      </c>
      <c r="G418" s="10">
        <f t="shared" si="55"/>
        <v>0</v>
      </c>
      <c r="H418" s="2">
        <f>'HOUSE DATA'!C391+C418+G418</f>
        <v>18.760000000000005</v>
      </c>
      <c r="I418" s="3" t="str">
        <f t="shared" si="56"/>
        <v>D</v>
      </c>
      <c r="J418" s="1" t="str">
        <f>'HOUSE DATA'!K391</f>
        <v>D</v>
      </c>
      <c r="K418" s="1" t="str">
        <f t="shared" si="57"/>
        <v>—</v>
      </c>
      <c r="L418" t="str">
        <f t="shared" si="58"/>
        <v>D+18.76</v>
      </c>
      <c r="M418">
        <f>COUNTIF($H$31:$H$465,"&gt;"&amp;H418)+COUNTIF($H$31:H418,H418)</f>
        <v>178</v>
      </c>
      <c r="N418" s="7">
        <f t="shared" si="59"/>
        <v>18.760000000000005</v>
      </c>
      <c r="O418">
        <f>COUNTIF($N$31:$N$465,"&lt;"&amp;N418)+COUNTIF($N$31:N418,N418)</f>
        <v>174</v>
      </c>
      <c r="P418" s="10">
        <f>'HOUSE DATA'!M391</f>
        <v>7.8000000000000043</v>
      </c>
      <c r="Q418" t="str">
        <f>'HOUSE DATA'!N391</f>
        <v>2024 HOUSE / prior substitute</v>
      </c>
      <c r="R418" s="10">
        <f t="shared" si="60"/>
        <v>10.96</v>
      </c>
      <c r="S418" s="10">
        <f t="shared" si="61"/>
        <v>15.82776199660762</v>
      </c>
      <c r="T418" s="10">
        <f t="shared" si="62"/>
        <v>-4.8677619966076193</v>
      </c>
      <c r="U418" t="s">
        <v>73</v>
      </c>
      <c r="W418" t="s">
        <v>74</v>
      </c>
      <c r="X418" t="s">
        <v>75</v>
      </c>
    </row>
    <row r="419" spans="1:24" x14ac:dyDescent="0.2">
      <c r="A419" t="str">
        <f>'HOUSE DATA'!A392</f>
        <v>TX-29</v>
      </c>
      <c r="B419" s="10">
        <f>'HOUSE DATA'!B392</f>
        <v>50.277449758239385</v>
      </c>
      <c r="C419" s="10">
        <f t="shared" si="54"/>
        <v>-0.29999999999999893</v>
      </c>
      <c r="D419" s="10">
        <f>2*('HOUSE DATA'!D392*('HOUSE DASHBOARD'!$B$14-42.4)+'HOUSE DATA'!E392*('HOUSE DASHBOARD'!$B$15-54.2)+'HOUSE DATA'!F392*('HOUSE DASHBOARD'!$B$16-85.4)+'HOUSE DATA'!G392*('HOUSE DASHBOARD'!$B$17-60.7)+'HOUSE DATA'!H392*('HOUSE DASHBOARD'!$B$18-53.5))/100</f>
        <v>0</v>
      </c>
      <c r="E419" s="10">
        <f>2*('HOUSE DATA'!I392*('HOUSE DASHBOARD'!$B$21-55.6)+(100-'HOUSE DATA'!I392)*('HOUSE DASHBOARD'!$B$22-44.9))/100</f>
        <v>0</v>
      </c>
      <c r="F419" s="10">
        <f>0</f>
        <v>0</v>
      </c>
      <c r="G419" s="10">
        <f t="shared" si="55"/>
        <v>0</v>
      </c>
      <c r="H419" s="2">
        <f>'HOUSE DATA'!C392+C419+G419</f>
        <v>44.36</v>
      </c>
      <c r="I419" s="3" t="str">
        <f t="shared" si="56"/>
        <v>D</v>
      </c>
      <c r="J419" s="1" t="str">
        <f>'HOUSE DATA'!K392</f>
        <v>D</v>
      </c>
      <c r="K419" s="1" t="str">
        <f t="shared" si="57"/>
        <v>—</v>
      </c>
      <c r="L419" t="str">
        <f t="shared" si="58"/>
        <v>D+44.36</v>
      </c>
      <c r="M419">
        <f>COUNTIF($H$31:$H$465,"&gt;"&amp;H419)+COUNTIF($H$31:H419,H419)</f>
        <v>79</v>
      </c>
      <c r="N419" s="7">
        <f t="shared" si="59"/>
        <v>44.36</v>
      </c>
      <c r="O419">
        <f>COUNTIF($N$31:$N$465,"&lt;"&amp;N419)+COUNTIF($N$31:N419,N419)</f>
        <v>347</v>
      </c>
      <c r="P419" s="10">
        <f>'HOUSE DATA'!M392</f>
        <v>33.4</v>
      </c>
      <c r="Q419" t="str">
        <f>'HOUSE DATA'!N392</f>
        <v>2024 HOUSE / prior substitute</v>
      </c>
      <c r="R419" s="10">
        <f t="shared" si="60"/>
        <v>10.96</v>
      </c>
      <c r="S419" s="10">
        <f t="shared" si="61"/>
        <v>16.877449758239386</v>
      </c>
      <c r="T419" s="10">
        <f t="shared" si="62"/>
        <v>-5.9174497582393855</v>
      </c>
      <c r="U419" t="s">
        <v>73</v>
      </c>
      <c r="W419" t="s">
        <v>74</v>
      </c>
      <c r="X419" t="s">
        <v>75</v>
      </c>
    </row>
    <row r="420" spans="1:24" x14ac:dyDescent="0.2">
      <c r="A420" t="str">
        <f>'HOUSE DATA'!A393</f>
        <v>TX-30</v>
      </c>
      <c r="B420" s="10">
        <f>'HOUSE DATA'!B393</f>
        <v>60.621359850968275</v>
      </c>
      <c r="C420" s="10">
        <f t="shared" si="54"/>
        <v>-0.29999999999999893</v>
      </c>
      <c r="D420" s="10">
        <f>2*('HOUSE DATA'!D393*('HOUSE DASHBOARD'!$B$14-42.4)+'HOUSE DATA'!E393*('HOUSE DASHBOARD'!$B$15-54.2)+'HOUSE DATA'!F393*('HOUSE DASHBOARD'!$B$16-85.4)+'HOUSE DATA'!G393*('HOUSE DASHBOARD'!$B$17-60.7)+'HOUSE DATA'!H393*('HOUSE DASHBOARD'!$B$18-53.5))/100</f>
        <v>0</v>
      </c>
      <c r="E420" s="10">
        <f>2*('HOUSE DATA'!I393*('HOUSE DASHBOARD'!$B$21-55.6)+(100-'HOUSE DATA'!I393)*('HOUSE DASHBOARD'!$B$22-44.9))/100</f>
        <v>0</v>
      </c>
      <c r="F420" s="10">
        <f>0</f>
        <v>0</v>
      </c>
      <c r="G420" s="10">
        <f t="shared" si="55"/>
        <v>0</v>
      </c>
      <c r="H420" s="2">
        <f>'HOUSE DATA'!C393+C420+G420</f>
        <v>57.720000000000006</v>
      </c>
      <c r="I420" s="3" t="str">
        <f t="shared" si="56"/>
        <v>D</v>
      </c>
      <c r="J420" s="1" t="str">
        <f>'HOUSE DATA'!K393</f>
        <v>D</v>
      </c>
      <c r="K420" s="1" t="str">
        <f t="shared" si="57"/>
        <v>—</v>
      </c>
      <c r="L420" t="str">
        <f t="shared" si="58"/>
        <v>D+57.72</v>
      </c>
      <c r="M420">
        <f>COUNTIF($H$31:$H$465,"&gt;"&amp;H420)+COUNTIF($H$31:H420,H420)</f>
        <v>36</v>
      </c>
      <c r="N420" s="7">
        <f t="shared" si="59"/>
        <v>57.720000000000006</v>
      </c>
      <c r="O420">
        <f>COUNTIF($N$31:$N$465,"&lt;"&amp;N420)+COUNTIF($N$31:N420,N420)</f>
        <v>391</v>
      </c>
      <c r="P420" s="10">
        <f>'HOUSE DATA'!M393</f>
        <v>47.17</v>
      </c>
      <c r="Q420" t="str">
        <f>'HOUSE DATA'!N393</f>
        <v>2024 PRESIDENT (open seat)</v>
      </c>
      <c r="R420" s="10">
        <f t="shared" si="60"/>
        <v>10.550000000000004</v>
      </c>
      <c r="S420" s="10">
        <f t="shared" si="61"/>
        <v>13.451359850968274</v>
      </c>
      <c r="T420" s="10">
        <f t="shared" si="62"/>
        <v>-2.9013598509682694</v>
      </c>
      <c r="U420" t="s">
        <v>73</v>
      </c>
      <c r="W420" t="s">
        <v>74</v>
      </c>
      <c r="X420" t="s">
        <v>75</v>
      </c>
    </row>
    <row r="421" spans="1:24" x14ac:dyDescent="0.2">
      <c r="A421" t="str">
        <f>'HOUSE DATA'!A394</f>
        <v>TX-31</v>
      </c>
      <c r="B421" s="10">
        <f>'HOUSE DATA'!B394</f>
        <v>-22.31345847585505</v>
      </c>
      <c r="C421" s="10">
        <f t="shared" si="54"/>
        <v>-0.29999999999999893</v>
      </c>
      <c r="D421" s="10">
        <f>2*('HOUSE DATA'!D394*('HOUSE DASHBOARD'!$B$14-42.4)+'HOUSE DATA'!E394*('HOUSE DASHBOARD'!$B$15-54.2)+'HOUSE DATA'!F394*('HOUSE DASHBOARD'!$B$16-85.4)+'HOUSE DATA'!G394*('HOUSE DASHBOARD'!$B$17-60.7)+'HOUSE DATA'!H394*('HOUSE DASHBOARD'!$B$18-53.5))/100</f>
        <v>0</v>
      </c>
      <c r="E421" s="10">
        <f>2*('HOUSE DATA'!I394*('HOUSE DASHBOARD'!$B$21-55.6)+(100-'HOUSE DATA'!I394)*('HOUSE DASHBOARD'!$B$22-44.9))/100</f>
        <v>0</v>
      </c>
      <c r="F421" s="10">
        <f>0</f>
        <v>0</v>
      </c>
      <c r="G421" s="10">
        <f t="shared" si="55"/>
        <v>0</v>
      </c>
      <c r="H421" s="2">
        <f>'HOUSE DATA'!C394+C421+G421</f>
        <v>-21.04</v>
      </c>
      <c r="I421" s="3" t="str">
        <f t="shared" si="56"/>
        <v>R</v>
      </c>
      <c r="J421" s="1" t="str">
        <f>'HOUSE DATA'!K394</f>
        <v>R</v>
      </c>
      <c r="K421" s="1" t="str">
        <f t="shared" si="57"/>
        <v>—</v>
      </c>
      <c r="L421" t="str">
        <f t="shared" si="58"/>
        <v>R+21.04</v>
      </c>
      <c r="M421">
        <f>COUNTIF($H$31:$H$465,"&gt;"&amp;H421)+COUNTIF($H$31:H421,H421)</f>
        <v>364</v>
      </c>
      <c r="N421" s="7">
        <f t="shared" si="59"/>
        <v>21.04</v>
      </c>
      <c r="O421">
        <f>COUNTIF($N$31:$N$465,"&lt;"&amp;N421)+COUNTIF($N$31:N421,N421)</f>
        <v>198</v>
      </c>
      <c r="P421" s="10">
        <f>'HOUSE DATA'!M394</f>
        <v>-32</v>
      </c>
      <c r="Q421" t="str">
        <f>'HOUSE DATA'!N394</f>
        <v>2024 HOUSE / prior substitute</v>
      </c>
      <c r="R421" s="10">
        <f t="shared" si="60"/>
        <v>10.96</v>
      </c>
      <c r="S421" s="10">
        <f t="shared" si="61"/>
        <v>9.6865415241449497</v>
      </c>
      <c r="T421" s="10">
        <f t="shared" si="62"/>
        <v>1.2734584758550511</v>
      </c>
      <c r="U421" t="s">
        <v>73</v>
      </c>
      <c r="W421" t="s">
        <v>74</v>
      </c>
      <c r="X421" t="s">
        <v>75</v>
      </c>
    </row>
    <row r="422" spans="1:24" x14ac:dyDescent="0.2">
      <c r="A422" t="str">
        <f>'HOUSE DATA'!A395</f>
        <v>TX-32</v>
      </c>
      <c r="B422" s="10">
        <f>'HOUSE DATA'!B395</f>
        <v>-4.7632964035788117</v>
      </c>
      <c r="C422" s="10">
        <f t="shared" si="54"/>
        <v>-0.29999999999999893</v>
      </c>
      <c r="D422" s="10">
        <f>2*('HOUSE DATA'!D395*('HOUSE DASHBOARD'!$B$14-42.4)+'HOUSE DATA'!E395*('HOUSE DASHBOARD'!$B$15-54.2)+'HOUSE DATA'!F395*('HOUSE DASHBOARD'!$B$16-85.4)+'HOUSE DATA'!G395*('HOUSE DASHBOARD'!$B$17-60.7)+'HOUSE DATA'!H395*('HOUSE DASHBOARD'!$B$18-53.5))/100</f>
        <v>0</v>
      </c>
      <c r="E422" s="10">
        <f>2*('HOUSE DATA'!I395*('HOUSE DASHBOARD'!$B$21-55.6)+(100-'HOUSE DATA'!I395)*('HOUSE DASHBOARD'!$B$22-44.9))/100</f>
        <v>0</v>
      </c>
      <c r="F422" s="10">
        <f>0</f>
        <v>0</v>
      </c>
      <c r="G422" s="10">
        <f t="shared" si="55"/>
        <v>0</v>
      </c>
      <c r="H422" s="2">
        <f>'HOUSE DATA'!C395+C422+G422</f>
        <v>-7.2399999999999984</v>
      </c>
      <c r="I422" s="3" t="str">
        <f t="shared" si="56"/>
        <v>R</v>
      </c>
      <c r="J422" s="1" t="str">
        <f>'HOUSE DATA'!K395</f>
        <v>D</v>
      </c>
      <c r="K422" s="1" t="str">
        <f t="shared" si="57"/>
        <v>D → R</v>
      </c>
      <c r="L422" t="str">
        <f t="shared" si="58"/>
        <v>R+7.24</v>
      </c>
      <c r="M422">
        <f>COUNTIF($H$31:$H$465,"&gt;"&amp;H422)+COUNTIF($H$31:H422,H422)</f>
        <v>281</v>
      </c>
      <c r="N422" s="7">
        <f t="shared" si="59"/>
        <v>7.2399999999999984</v>
      </c>
      <c r="O422">
        <f>COUNTIF($N$31:$N$465,"&lt;"&amp;N422)+COUNTIF($N$31:N422,N422)</f>
        <v>61</v>
      </c>
      <c r="P422" s="10">
        <f>'HOUSE DATA'!M395</f>
        <v>-17.79</v>
      </c>
      <c r="Q422" t="str">
        <f>'HOUSE DATA'!N395</f>
        <v>2024 PRESIDENT (open seat)</v>
      </c>
      <c r="R422" s="10">
        <f t="shared" si="60"/>
        <v>10.55</v>
      </c>
      <c r="S422" s="10">
        <f t="shared" si="61"/>
        <v>13.026703596421187</v>
      </c>
      <c r="T422" s="10">
        <f t="shared" si="62"/>
        <v>-2.4767035964211868</v>
      </c>
      <c r="U422" t="s">
        <v>73</v>
      </c>
      <c r="W422" t="s">
        <v>74</v>
      </c>
      <c r="X422" t="s">
        <v>75</v>
      </c>
    </row>
    <row r="423" spans="1:24" x14ac:dyDescent="0.2">
      <c r="A423" t="str">
        <f>'HOUSE DATA'!A396</f>
        <v>TX-33</v>
      </c>
      <c r="B423" s="10">
        <f>'HOUSE DATA'!B396</f>
        <v>70.71652702675955</v>
      </c>
      <c r="C423" s="10">
        <f t="shared" si="54"/>
        <v>-0.29999999999999893</v>
      </c>
      <c r="D423" s="10">
        <f>2*('HOUSE DATA'!D396*('HOUSE DASHBOARD'!$B$14-42.4)+'HOUSE DATA'!E396*('HOUSE DASHBOARD'!$B$15-54.2)+'HOUSE DATA'!F396*('HOUSE DASHBOARD'!$B$16-85.4)+'HOUSE DATA'!G396*('HOUSE DASHBOARD'!$B$17-60.7)+'HOUSE DATA'!H396*('HOUSE DASHBOARD'!$B$18-53.5))/100</f>
        <v>0</v>
      </c>
      <c r="E423" s="10">
        <f>2*('HOUSE DATA'!I396*('HOUSE DASHBOARD'!$B$21-55.6)+(100-'HOUSE DATA'!I396)*('HOUSE DASHBOARD'!$B$22-44.9))/100</f>
        <v>0</v>
      </c>
      <c r="F423" s="10">
        <f>0</f>
        <v>0</v>
      </c>
      <c r="G423" s="10">
        <f t="shared" si="55"/>
        <v>0</v>
      </c>
      <c r="H423" s="2">
        <f>'HOUSE DATA'!C396+C423+G423</f>
        <v>66.128661588683357</v>
      </c>
      <c r="I423" s="3" t="str">
        <f t="shared" si="56"/>
        <v>D</v>
      </c>
      <c r="J423" s="1" t="str">
        <f>'HOUSE DATA'!K396</f>
        <v>D</v>
      </c>
      <c r="K423" s="1" t="str">
        <f t="shared" si="57"/>
        <v>—</v>
      </c>
      <c r="L423" t="str">
        <f t="shared" si="58"/>
        <v>D+66.13</v>
      </c>
      <c r="M423">
        <f>COUNTIF($H$31:$H$465,"&gt;"&amp;H423)+COUNTIF($H$31:H423,H423)</f>
        <v>22</v>
      </c>
      <c r="N423" s="7">
        <f t="shared" si="59"/>
        <v>66.128661588683357</v>
      </c>
      <c r="O423">
        <f>COUNTIF($N$31:$N$465,"&lt;"&amp;N423)+COUNTIF($N$31:N423,N423)</f>
        <v>404</v>
      </c>
      <c r="P423" s="10">
        <f>'HOUSE DATA'!M396</f>
        <v>55.168661588683356</v>
      </c>
      <c r="Q423" t="str">
        <f>'HOUSE DATA'!N396</f>
        <v>2024 HOUSE / prior substitute</v>
      </c>
      <c r="R423" s="10">
        <f t="shared" si="60"/>
        <v>10.96</v>
      </c>
      <c r="S423" s="10">
        <f t="shared" si="61"/>
        <v>15.547865438076194</v>
      </c>
      <c r="T423" s="10">
        <f t="shared" si="62"/>
        <v>-4.587865438076193</v>
      </c>
      <c r="U423" t="s">
        <v>73</v>
      </c>
      <c r="W423" t="s">
        <v>74</v>
      </c>
      <c r="X423" t="s">
        <v>75</v>
      </c>
    </row>
    <row r="424" spans="1:24" x14ac:dyDescent="0.2">
      <c r="A424" t="str">
        <f>'HOUSE DATA'!A397</f>
        <v>TX-34</v>
      </c>
      <c r="B424" s="10">
        <f>'HOUSE DATA'!B397</f>
        <v>8.7983158580126286</v>
      </c>
      <c r="C424" s="10">
        <f t="shared" si="54"/>
        <v>-0.29999999999999893</v>
      </c>
      <c r="D424" s="10">
        <f>2*('HOUSE DATA'!D397*('HOUSE DASHBOARD'!$B$14-42.4)+'HOUSE DATA'!E397*('HOUSE DASHBOARD'!$B$15-54.2)+'HOUSE DATA'!F397*('HOUSE DASHBOARD'!$B$16-85.4)+'HOUSE DATA'!G397*('HOUSE DASHBOARD'!$B$17-60.7)+'HOUSE DATA'!H397*('HOUSE DASHBOARD'!$B$18-53.5))/100</f>
        <v>0</v>
      </c>
      <c r="E424" s="10">
        <f>2*('HOUSE DATA'!I397*('HOUSE DASHBOARD'!$B$21-55.6)+(100-'HOUSE DATA'!I397)*('HOUSE DASHBOARD'!$B$22-44.9))/100</f>
        <v>0</v>
      </c>
      <c r="F424" s="10">
        <f>0</f>
        <v>0</v>
      </c>
      <c r="G424" s="10">
        <f t="shared" si="55"/>
        <v>0</v>
      </c>
      <c r="H424" s="2">
        <f>'HOUSE DATA'!C397+C424+G424</f>
        <v>2.3599999999999994</v>
      </c>
      <c r="I424" s="3" t="str">
        <f t="shared" si="56"/>
        <v>D</v>
      </c>
      <c r="J424" s="1" t="str">
        <f>'HOUSE DATA'!K397</f>
        <v>D</v>
      </c>
      <c r="K424" s="1" t="str">
        <f t="shared" si="57"/>
        <v>—</v>
      </c>
      <c r="L424" t="str">
        <f t="shared" si="58"/>
        <v>D+2.36</v>
      </c>
      <c r="M424">
        <f>COUNTIF($H$31:$H$465,"&gt;"&amp;H424)+COUNTIF($H$31:H424,H424)</f>
        <v>228</v>
      </c>
      <c r="N424" s="7">
        <f t="shared" si="59"/>
        <v>2.3599999999999994</v>
      </c>
      <c r="O424">
        <f>COUNTIF($N$31:$N$465,"&lt;"&amp;N424)+COUNTIF($N$31:N424,N424)</f>
        <v>24</v>
      </c>
      <c r="P424" s="10">
        <f>'HOUSE DATA'!M397</f>
        <v>-8.6000000000000014</v>
      </c>
      <c r="Q424" t="str">
        <f>'HOUSE DATA'!N397</f>
        <v>2024 HOUSE / prior substitute</v>
      </c>
      <c r="R424" s="10">
        <f t="shared" si="60"/>
        <v>10.96</v>
      </c>
      <c r="S424" s="10">
        <f t="shared" si="61"/>
        <v>17.39831585801263</v>
      </c>
      <c r="T424" s="10">
        <f t="shared" si="62"/>
        <v>-6.4383158580126292</v>
      </c>
      <c r="U424" t="s">
        <v>73</v>
      </c>
      <c r="W424" t="s">
        <v>74</v>
      </c>
      <c r="X424" t="s">
        <v>75</v>
      </c>
    </row>
    <row r="425" spans="1:24" x14ac:dyDescent="0.2">
      <c r="A425" t="str">
        <f>'HOUSE DATA'!A398</f>
        <v>TX-35</v>
      </c>
      <c r="B425" s="10">
        <f>'HOUSE DATA'!B398</f>
        <v>-1.0398112644409445</v>
      </c>
      <c r="C425" s="10">
        <f t="shared" si="54"/>
        <v>-0.29999999999999893</v>
      </c>
      <c r="D425" s="10">
        <f>2*('HOUSE DATA'!D398*('HOUSE DASHBOARD'!$B$14-42.4)+'HOUSE DATA'!E398*('HOUSE DASHBOARD'!$B$15-54.2)+'HOUSE DATA'!F398*('HOUSE DASHBOARD'!$B$16-85.4)+'HOUSE DATA'!G398*('HOUSE DASHBOARD'!$B$17-60.7)+'HOUSE DATA'!H398*('HOUSE DASHBOARD'!$B$18-53.5))/100</f>
        <v>0</v>
      </c>
      <c r="E425" s="10">
        <f>2*('HOUSE DATA'!I398*('HOUSE DASHBOARD'!$B$21-55.6)+(100-'HOUSE DATA'!I398)*('HOUSE DASHBOARD'!$B$22-44.9))/100</f>
        <v>0</v>
      </c>
      <c r="F425" s="10">
        <f>0</f>
        <v>0</v>
      </c>
      <c r="G425" s="10">
        <f t="shared" si="55"/>
        <v>0</v>
      </c>
      <c r="H425" s="2">
        <f>'HOUSE DATA'!C398+C425+G425</f>
        <v>-3.7842326980942786</v>
      </c>
      <c r="I425" s="3" t="str">
        <f t="shared" si="56"/>
        <v>R</v>
      </c>
      <c r="J425" s="1" t="str">
        <f>'HOUSE DATA'!K398</f>
        <v>D</v>
      </c>
      <c r="K425" s="1" t="str">
        <f t="shared" si="57"/>
        <v>D → R</v>
      </c>
      <c r="L425" t="str">
        <f t="shared" si="58"/>
        <v>R+3.78</v>
      </c>
      <c r="M425">
        <f>COUNTIF($H$31:$H$465,"&gt;"&amp;H425)+COUNTIF($H$31:H425,H425)</f>
        <v>260</v>
      </c>
      <c r="N425" s="7">
        <f t="shared" si="59"/>
        <v>3.7842326980942786</v>
      </c>
      <c r="O425">
        <f>COUNTIF($N$31:$N$465,"&lt;"&amp;N425)+COUNTIF($N$31:N425,N425)</f>
        <v>32</v>
      </c>
      <c r="P425" s="10">
        <f>'HOUSE DATA'!M398</f>
        <v>-14.744232698094279</v>
      </c>
      <c r="Q425" t="str">
        <f>'HOUSE DATA'!N398</f>
        <v>2024 HOUSE / prior substitute</v>
      </c>
      <c r="R425" s="10">
        <f t="shared" si="60"/>
        <v>10.96</v>
      </c>
      <c r="S425" s="10">
        <f t="shared" si="61"/>
        <v>13.704421433653335</v>
      </c>
      <c r="T425" s="10">
        <f t="shared" si="62"/>
        <v>-2.7444214336533341</v>
      </c>
      <c r="U425" t="s">
        <v>73</v>
      </c>
      <c r="W425" t="s">
        <v>74</v>
      </c>
      <c r="X425" t="s">
        <v>75</v>
      </c>
    </row>
    <row r="426" spans="1:24" x14ac:dyDescent="0.2">
      <c r="A426" t="str">
        <f>'HOUSE DATA'!A399</f>
        <v>TX-36</v>
      </c>
      <c r="B426" s="10">
        <f>'HOUSE DATA'!B399</f>
        <v>-20.284394934858309</v>
      </c>
      <c r="C426" s="10">
        <f t="shared" si="54"/>
        <v>-0.29999999999999893</v>
      </c>
      <c r="D426" s="10">
        <f>2*('HOUSE DATA'!D399*('HOUSE DASHBOARD'!$B$14-42.4)+'HOUSE DATA'!E399*('HOUSE DASHBOARD'!$B$15-54.2)+'HOUSE DATA'!F399*('HOUSE DASHBOARD'!$B$16-85.4)+'HOUSE DATA'!G399*('HOUSE DASHBOARD'!$B$17-60.7)+'HOUSE DATA'!H399*('HOUSE DASHBOARD'!$B$18-53.5))/100</f>
        <v>0</v>
      </c>
      <c r="E426" s="10">
        <f>2*('HOUSE DATA'!I399*('HOUSE DASHBOARD'!$B$21-55.6)+(100-'HOUSE DATA'!I399)*('HOUSE DASHBOARD'!$B$22-44.9))/100</f>
        <v>0</v>
      </c>
      <c r="F426" s="10">
        <f>0</f>
        <v>0</v>
      </c>
      <c r="G426" s="10">
        <f t="shared" si="55"/>
        <v>0</v>
      </c>
      <c r="H426" s="2">
        <f>'HOUSE DATA'!C399+C426+G426</f>
        <v>-21.439999999999998</v>
      </c>
      <c r="I426" s="3" t="str">
        <f t="shared" si="56"/>
        <v>R</v>
      </c>
      <c r="J426" s="1" t="str">
        <f>'HOUSE DATA'!K399</f>
        <v>R</v>
      </c>
      <c r="K426" s="1" t="str">
        <f t="shared" si="57"/>
        <v>—</v>
      </c>
      <c r="L426" t="str">
        <f t="shared" si="58"/>
        <v>R+21.44</v>
      </c>
      <c r="M426">
        <f>COUNTIF($H$31:$H$465,"&gt;"&amp;H426)+COUNTIF($H$31:H426,H426)</f>
        <v>366</v>
      </c>
      <c r="N426" s="7">
        <f t="shared" si="59"/>
        <v>21.439999999999998</v>
      </c>
      <c r="O426">
        <f>COUNTIF($N$31:$N$465,"&lt;"&amp;N426)+COUNTIF($N$31:N426,N426)</f>
        <v>204</v>
      </c>
      <c r="P426" s="10">
        <f>'HOUSE DATA'!M399</f>
        <v>-32.4</v>
      </c>
      <c r="Q426" t="str">
        <f>'HOUSE DATA'!N399</f>
        <v>2024 HOUSE / prior substitute</v>
      </c>
      <c r="R426" s="10">
        <f t="shared" si="60"/>
        <v>10.96</v>
      </c>
      <c r="S426" s="10">
        <f t="shared" si="61"/>
        <v>12.11560506514169</v>
      </c>
      <c r="T426" s="10">
        <f t="shared" si="62"/>
        <v>-1.1556050651416889</v>
      </c>
      <c r="U426" t="s">
        <v>73</v>
      </c>
      <c r="W426" t="s">
        <v>74</v>
      </c>
      <c r="X426" t="s">
        <v>75</v>
      </c>
    </row>
    <row r="427" spans="1:24" x14ac:dyDescent="0.2">
      <c r="A427" t="str">
        <f>'HOUSE DATA'!A400</f>
        <v>TX-37</v>
      </c>
      <c r="B427" s="10">
        <f>'HOUSE DATA'!B400</f>
        <v>69.041882179807061</v>
      </c>
      <c r="C427" s="10">
        <f t="shared" si="54"/>
        <v>-0.29999999999999893</v>
      </c>
      <c r="D427" s="10">
        <f>2*('HOUSE DATA'!D400*('HOUSE DASHBOARD'!$B$14-42.4)+'HOUSE DATA'!E400*('HOUSE DASHBOARD'!$B$15-54.2)+'HOUSE DATA'!F400*('HOUSE DASHBOARD'!$B$16-85.4)+'HOUSE DATA'!G400*('HOUSE DASHBOARD'!$B$17-60.7)+'HOUSE DATA'!H400*('HOUSE DASHBOARD'!$B$18-53.5))/100</f>
        <v>0</v>
      </c>
      <c r="E427" s="10">
        <f>2*('HOUSE DATA'!I400*('HOUSE DASHBOARD'!$B$21-55.6)+(100-'HOUSE DATA'!I400)*('HOUSE DASHBOARD'!$B$22-44.9))/100</f>
        <v>0</v>
      </c>
      <c r="F427" s="10">
        <f>0</f>
        <v>0</v>
      </c>
      <c r="G427" s="10">
        <f t="shared" si="55"/>
        <v>0</v>
      </c>
      <c r="H427" s="2">
        <f>'HOUSE DATA'!C400+C427+G427</f>
        <v>70.106341463414637</v>
      </c>
      <c r="I427" s="3" t="str">
        <f t="shared" si="56"/>
        <v>D</v>
      </c>
      <c r="J427" s="1" t="str">
        <f>'HOUSE DATA'!K400</f>
        <v>D</v>
      </c>
      <c r="K427" s="1" t="str">
        <f t="shared" si="57"/>
        <v>—</v>
      </c>
      <c r="L427" t="str">
        <f t="shared" si="58"/>
        <v>D+70.11</v>
      </c>
      <c r="M427">
        <f>COUNTIF($H$31:$H$465,"&gt;"&amp;H427)+COUNTIF($H$31:H427,H427)</f>
        <v>16</v>
      </c>
      <c r="N427" s="7">
        <f t="shared" si="59"/>
        <v>70.106341463414637</v>
      </c>
      <c r="O427">
        <f>COUNTIF($N$31:$N$465,"&lt;"&amp;N427)+COUNTIF($N$31:N427,N427)</f>
        <v>410</v>
      </c>
      <c r="P427" s="10">
        <f>'HOUSE DATA'!M400</f>
        <v>59.146341463414636</v>
      </c>
      <c r="Q427" t="str">
        <f>'HOUSE DATA'!N400</f>
        <v>2024 HOUSE / prior substitute</v>
      </c>
      <c r="R427" s="10">
        <f t="shared" si="60"/>
        <v>10.96</v>
      </c>
      <c r="S427" s="10">
        <f t="shared" si="61"/>
        <v>9.8955407163924249</v>
      </c>
      <c r="T427" s="10">
        <f t="shared" si="62"/>
        <v>1.0644592836075759</v>
      </c>
      <c r="U427" t="s">
        <v>73</v>
      </c>
      <c r="W427" t="s">
        <v>74</v>
      </c>
      <c r="X427" t="s">
        <v>75</v>
      </c>
    </row>
    <row r="428" spans="1:24" x14ac:dyDescent="0.2">
      <c r="A428" t="str">
        <f>'HOUSE DATA'!A401</f>
        <v>TX-38</v>
      </c>
      <c r="B428" s="10">
        <f>'HOUSE DATA'!B401</f>
        <v>-10.960076335565049</v>
      </c>
      <c r="C428" s="10">
        <f t="shared" si="54"/>
        <v>-0.29999999999999893</v>
      </c>
      <c r="D428" s="10">
        <f>2*('HOUSE DATA'!D401*('HOUSE DASHBOARD'!$B$14-42.4)+'HOUSE DATA'!E401*('HOUSE DASHBOARD'!$B$15-54.2)+'HOUSE DATA'!F401*('HOUSE DASHBOARD'!$B$16-85.4)+'HOUSE DATA'!G401*('HOUSE DASHBOARD'!$B$17-60.7)+'HOUSE DATA'!H401*('HOUSE DASHBOARD'!$B$18-53.5))/100</f>
        <v>0</v>
      </c>
      <c r="E428" s="10">
        <f>2*('HOUSE DATA'!I401*('HOUSE DASHBOARD'!$B$21-55.6)+(100-'HOUSE DATA'!I401)*('HOUSE DASHBOARD'!$B$22-44.9))/100</f>
        <v>0</v>
      </c>
      <c r="F428" s="10">
        <f>0</f>
        <v>0</v>
      </c>
      <c r="G428" s="10">
        <f t="shared" si="55"/>
        <v>0</v>
      </c>
      <c r="H428" s="2">
        <f>'HOUSE DATA'!C401+C428+G428</f>
        <v>-10.370000000000001</v>
      </c>
      <c r="I428" s="3" t="str">
        <f t="shared" si="56"/>
        <v>R</v>
      </c>
      <c r="J428" s="1" t="str">
        <f>'HOUSE DATA'!K401</f>
        <v>R</v>
      </c>
      <c r="K428" s="1" t="str">
        <f t="shared" si="57"/>
        <v>—</v>
      </c>
      <c r="L428" t="str">
        <f t="shared" si="58"/>
        <v>R+10.37</v>
      </c>
      <c r="M428">
        <f>COUNTIF($H$31:$H$465,"&gt;"&amp;H428)+COUNTIF($H$31:H428,H428)</f>
        <v>305</v>
      </c>
      <c r="N428" s="7">
        <f t="shared" si="59"/>
        <v>10.370000000000001</v>
      </c>
      <c r="O428">
        <f>COUNTIF($N$31:$N$465,"&lt;"&amp;N428)+COUNTIF($N$31:N428,N428)</f>
        <v>94</v>
      </c>
      <c r="P428" s="10">
        <f>'HOUSE DATA'!M401</f>
        <v>-20.92</v>
      </c>
      <c r="Q428" t="str">
        <f>'HOUSE DATA'!N401</f>
        <v>2024 PRESIDENT (open seat)</v>
      </c>
      <c r="R428" s="10">
        <f t="shared" si="60"/>
        <v>10.55</v>
      </c>
      <c r="S428" s="10">
        <f t="shared" si="61"/>
        <v>9.9599236644349531</v>
      </c>
      <c r="T428" s="10">
        <f t="shared" si="62"/>
        <v>0.59007633556504757</v>
      </c>
      <c r="U428" t="s">
        <v>73</v>
      </c>
      <c r="W428" t="s">
        <v>74</v>
      </c>
      <c r="X428" t="s">
        <v>75</v>
      </c>
    </row>
    <row r="429" spans="1:24" x14ac:dyDescent="0.2">
      <c r="A429" t="str">
        <f>'HOUSE DATA'!A402</f>
        <v>UT-01</v>
      </c>
      <c r="B429" s="10">
        <f>'HOUSE DATA'!B402</f>
        <v>25.885584638801021</v>
      </c>
      <c r="C429" s="10">
        <f t="shared" si="54"/>
        <v>-0.29999999999999893</v>
      </c>
      <c r="D429" s="10">
        <f>2*('HOUSE DATA'!D402*('HOUSE DASHBOARD'!$B$14-42.4)+'HOUSE DATA'!E402*('HOUSE DASHBOARD'!$B$15-54.2)+'HOUSE DATA'!F402*('HOUSE DASHBOARD'!$B$16-85.4)+'HOUSE DATA'!G402*('HOUSE DASHBOARD'!$B$17-60.7)+'HOUSE DATA'!H402*('HOUSE DASHBOARD'!$B$18-53.5))/100</f>
        <v>0</v>
      </c>
      <c r="E429" s="10">
        <f>2*('HOUSE DATA'!I402*('HOUSE DASHBOARD'!$B$21-55.6)+(100-'HOUSE DATA'!I402)*('HOUSE DASHBOARD'!$B$22-44.9))/100</f>
        <v>0</v>
      </c>
      <c r="F429" s="10">
        <f>0</f>
        <v>0</v>
      </c>
      <c r="G429" s="10">
        <f t="shared" si="55"/>
        <v>0</v>
      </c>
      <c r="H429" s="2">
        <f>'HOUSE DATA'!C402+C429+G429</f>
        <v>28.201379310344834</v>
      </c>
      <c r="I429" s="3" t="str">
        <f t="shared" si="56"/>
        <v>D</v>
      </c>
      <c r="J429" s="1" t="str">
        <f>'HOUSE DATA'!K402</f>
        <v>R</v>
      </c>
      <c r="K429" s="1" t="str">
        <f t="shared" si="57"/>
        <v>R → D</v>
      </c>
      <c r="L429" t="str">
        <f t="shared" si="58"/>
        <v>D+28.20</v>
      </c>
      <c r="M429">
        <f>COUNTIF($H$31:$H$465,"&gt;"&amp;H429)+COUNTIF($H$31:H429,H429)</f>
        <v>129</v>
      </c>
      <c r="N429" s="7">
        <f t="shared" si="59"/>
        <v>28.201379310344834</v>
      </c>
      <c r="O429">
        <f>COUNTIF($N$31:$N$465,"&lt;"&amp;N429)+COUNTIF($N$31:N429,N429)</f>
        <v>261</v>
      </c>
      <c r="P429" s="10">
        <f>'HOUSE DATA'!M402</f>
        <v>17.241379310344833</v>
      </c>
      <c r="Q429" t="str">
        <f>'HOUSE DATA'!N402</f>
        <v>2024 HOUSE / prior substitute</v>
      </c>
      <c r="R429" s="10">
        <f t="shared" si="60"/>
        <v>10.96</v>
      </c>
      <c r="S429" s="10">
        <f t="shared" si="61"/>
        <v>8.6442053284561879</v>
      </c>
      <c r="T429" s="10">
        <f t="shared" si="62"/>
        <v>2.3157946715438129</v>
      </c>
      <c r="U429" t="s">
        <v>73</v>
      </c>
      <c r="W429" t="s">
        <v>74</v>
      </c>
      <c r="X429" t="s">
        <v>75</v>
      </c>
    </row>
    <row r="430" spans="1:24" x14ac:dyDescent="0.2">
      <c r="A430" t="str">
        <f>'HOUSE DATA'!A403</f>
        <v>UT-02</v>
      </c>
      <c r="B430" s="10">
        <f>'HOUSE DATA'!B403</f>
        <v>-32.914799176080145</v>
      </c>
      <c r="C430" s="10">
        <f t="shared" si="54"/>
        <v>-0.29999999999999893</v>
      </c>
      <c r="D430" s="10">
        <f>2*('HOUSE DATA'!D403*('HOUSE DASHBOARD'!$B$14-42.4)+'HOUSE DATA'!E403*('HOUSE DASHBOARD'!$B$15-54.2)+'HOUSE DATA'!F403*('HOUSE DASHBOARD'!$B$16-85.4)+'HOUSE DATA'!G403*('HOUSE DASHBOARD'!$B$17-60.7)+'HOUSE DATA'!H403*('HOUSE DASHBOARD'!$B$18-53.5))/100</f>
        <v>0</v>
      </c>
      <c r="E430" s="10">
        <f>2*('HOUSE DATA'!I403*('HOUSE DASHBOARD'!$B$21-55.6)+(100-'HOUSE DATA'!I403)*('HOUSE DASHBOARD'!$B$22-44.9))/100</f>
        <v>0</v>
      </c>
      <c r="F430" s="10">
        <f>0</f>
        <v>0</v>
      </c>
      <c r="G430" s="10">
        <f t="shared" si="55"/>
        <v>0</v>
      </c>
      <c r="H430" s="2">
        <f>'HOUSE DATA'!C403+C430+G430</f>
        <v>-31.412881355932207</v>
      </c>
      <c r="I430" s="3" t="str">
        <f t="shared" si="56"/>
        <v>R</v>
      </c>
      <c r="J430" s="1" t="str">
        <f>'HOUSE DATA'!K403</f>
        <v>R</v>
      </c>
      <c r="K430" s="1" t="str">
        <f t="shared" si="57"/>
        <v>—</v>
      </c>
      <c r="L430" t="str">
        <f t="shared" si="58"/>
        <v>R+31.41</v>
      </c>
      <c r="M430">
        <f>COUNTIF($H$31:$H$465,"&gt;"&amp;H430)+COUNTIF($H$31:H430,H430)</f>
        <v>405</v>
      </c>
      <c r="N430" s="7">
        <f t="shared" si="59"/>
        <v>31.412881355932207</v>
      </c>
      <c r="O430">
        <f>COUNTIF($N$31:$N$465,"&lt;"&amp;N430)+COUNTIF($N$31:N430,N430)</f>
        <v>291</v>
      </c>
      <c r="P430" s="10">
        <f>'HOUSE DATA'!M403</f>
        <v>-42.372881355932208</v>
      </c>
      <c r="Q430" t="str">
        <f>'HOUSE DATA'!N403</f>
        <v>2024 HOUSE / prior substitute</v>
      </c>
      <c r="R430" s="10">
        <f t="shared" si="60"/>
        <v>10.96</v>
      </c>
      <c r="S430" s="10">
        <f t="shared" si="61"/>
        <v>9.4580821798520631</v>
      </c>
      <c r="T430" s="10">
        <f t="shared" si="62"/>
        <v>1.5019178201479377</v>
      </c>
      <c r="U430" t="s">
        <v>73</v>
      </c>
      <c r="W430" t="s">
        <v>74</v>
      </c>
      <c r="X430" t="s">
        <v>75</v>
      </c>
    </row>
    <row r="431" spans="1:24" x14ac:dyDescent="0.2">
      <c r="A431" t="str">
        <f>'HOUSE DATA'!A404</f>
        <v>UT-03</v>
      </c>
      <c r="B431" s="10">
        <f>'HOUSE DATA'!B404</f>
        <v>-41.849462399978371</v>
      </c>
      <c r="C431" s="10">
        <f t="shared" si="54"/>
        <v>-0.29999999999999893</v>
      </c>
      <c r="D431" s="10">
        <f>2*('HOUSE DATA'!D404*('HOUSE DASHBOARD'!$B$14-42.4)+'HOUSE DATA'!E404*('HOUSE DASHBOARD'!$B$15-54.2)+'HOUSE DATA'!F404*('HOUSE DASHBOARD'!$B$16-85.4)+'HOUSE DATA'!G404*('HOUSE DASHBOARD'!$B$17-60.7)+'HOUSE DATA'!H404*('HOUSE DASHBOARD'!$B$18-53.5))/100</f>
        <v>0</v>
      </c>
      <c r="E431" s="10">
        <f>2*('HOUSE DATA'!I404*('HOUSE DASHBOARD'!$B$21-55.6)+(100-'HOUSE DATA'!I404)*('HOUSE DASHBOARD'!$B$22-44.9))/100</f>
        <v>0</v>
      </c>
      <c r="F431" s="10">
        <f>0</f>
        <v>0</v>
      </c>
      <c r="G431" s="10">
        <f t="shared" si="55"/>
        <v>0</v>
      </c>
      <c r="H431" s="2">
        <f>'HOUSE DATA'!C404+C431+G431</f>
        <v>-39.25008403361344</v>
      </c>
      <c r="I431" s="3" t="str">
        <f t="shared" si="56"/>
        <v>R</v>
      </c>
      <c r="J431" s="1" t="str">
        <f>'HOUSE DATA'!K404</f>
        <v>R</v>
      </c>
      <c r="K431" s="1" t="str">
        <f t="shared" si="57"/>
        <v>—</v>
      </c>
      <c r="L431" t="str">
        <f t="shared" si="58"/>
        <v>R+39.25</v>
      </c>
      <c r="M431">
        <f>COUNTIF($H$31:$H$465,"&gt;"&amp;H431)+COUNTIF($H$31:H431,H431)</f>
        <v>425</v>
      </c>
      <c r="N431" s="7">
        <f t="shared" si="59"/>
        <v>39.25008403361344</v>
      </c>
      <c r="O431">
        <f>COUNTIF($N$31:$N$465,"&lt;"&amp;N431)+COUNTIF($N$31:N431,N431)</f>
        <v>334</v>
      </c>
      <c r="P431" s="10">
        <f>'HOUSE DATA'!M404</f>
        <v>-50.210084033613441</v>
      </c>
      <c r="Q431" t="str">
        <f>'HOUSE DATA'!N404</f>
        <v>2024 HOUSE / prior substitute</v>
      </c>
      <c r="R431" s="10">
        <f t="shared" si="60"/>
        <v>10.96</v>
      </c>
      <c r="S431" s="10">
        <f t="shared" si="61"/>
        <v>8.3606216336350698</v>
      </c>
      <c r="T431" s="10">
        <f t="shared" si="62"/>
        <v>2.599378366364931</v>
      </c>
      <c r="U431" t="s">
        <v>73</v>
      </c>
      <c r="W431" t="s">
        <v>74</v>
      </c>
      <c r="X431" t="s">
        <v>75</v>
      </c>
    </row>
    <row r="432" spans="1:24" x14ac:dyDescent="0.2">
      <c r="A432" t="str">
        <f>'HOUSE DATA'!A405</f>
        <v>UT-04</v>
      </c>
      <c r="B432" s="10">
        <f>'HOUSE DATA'!B405</f>
        <v>-35.568895560118079</v>
      </c>
      <c r="C432" s="10">
        <f t="shared" si="54"/>
        <v>-0.29999999999999893</v>
      </c>
      <c r="D432" s="10">
        <f>2*('HOUSE DATA'!D405*('HOUSE DASHBOARD'!$B$14-42.4)+'HOUSE DATA'!E405*('HOUSE DASHBOARD'!$B$15-54.2)+'HOUSE DATA'!F405*('HOUSE DASHBOARD'!$B$16-85.4)+'HOUSE DATA'!G405*('HOUSE DASHBOARD'!$B$17-60.7)+'HOUSE DATA'!H405*('HOUSE DASHBOARD'!$B$18-53.5))/100</f>
        <v>0</v>
      </c>
      <c r="E432" s="10">
        <f>2*('HOUSE DATA'!I405*('HOUSE DASHBOARD'!$B$21-55.6)+(100-'HOUSE DATA'!I405)*('HOUSE DASHBOARD'!$B$22-44.9))/100</f>
        <v>0</v>
      </c>
      <c r="F432" s="10">
        <f>0</f>
        <v>0</v>
      </c>
      <c r="G432" s="10">
        <f t="shared" si="55"/>
        <v>0</v>
      </c>
      <c r="H432" s="2">
        <f>'HOUSE DATA'!C405+C432+G432</f>
        <v>-32.731345151199157</v>
      </c>
      <c r="I432" s="3" t="str">
        <f t="shared" si="56"/>
        <v>R</v>
      </c>
      <c r="J432" s="1" t="str">
        <f>'HOUSE DATA'!K405</f>
        <v>R</v>
      </c>
      <c r="K432" s="1" t="str">
        <f t="shared" si="57"/>
        <v>—</v>
      </c>
      <c r="L432" t="str">
        <f t="shared" si="58"/>
        <v>R+32.73</v>
      </c>
      <c r="M432">
        <f>COUNTIF($H$31:$H$465,"&gt;"&amp;H432)+COUNTIF($H$31:H432,H432)</f>
        <v>409</v>
      </c>
      <c r="N432" s="7">
        <f t="shared" si="59"/>
        <v>32.731345151199157</v>
      </c>
      <c r="O432">
        <f>COUNTIF($N$31:$N$465,"&lt;"&amp;N432)+COUNTIF($N$31:N432,N432)</f>
        <v>297</v>
      </c>
      <c r="P432" s="10">
        <f>'HOUSE DATA'!M405</f>
        <v>-43.691345151199158</v>
      </c>
      <c r="Q432" t="str">
        <f>'HOUSE DATA'!N405</f>
        <v>2024 HOUSE / prior substitute</v>
      </c>
      <c r="R432" s="10">
        <f t="shared" si="60"/>
        <v>10.96</v>
      </c>
      <c r="S432" s="10">
        <f t="shared" si="61"/>
        <v>8.1224495910810788</v>
      </c>
      <c r="T432" s="10">
        <f t="shared" si="62"/>
        <v>2.8375504089189221</v>
      </c>
      <c r="U432" t="s">
        <v>73</v>
      </c>
      <c r="W432" t="s">
        <v>74</v>
      </c>
      <c r="X432" t="s">
        <v>75</v>
      </c>
    </row>
    <row r="433" spans="1:24" x14ac:dyDescent="0.2">
      <c r="A433" t="str">
        <f>'HOUSE DATA'!A406</f>
        <v>VA-01</v>
      </c>
      <c r="B433" s="10">
        <f>'HOUSE DATA'!B406</f>
        <v>-4.8048895984857491</v>
      </c>
      <c r="C433" s="10">
        <f t="shared" si="54"/>
        <v>-0.29999999999999893</v>
      </c>
      <c r="D433" s="10">
        <f>2*('HOUSE DATA'!D406*('HOUSE DASHBOARD'!$B$14-42.4)+'HOUSE DATA'!E406*('HOUSE DASHBOARD'!$B$15-54.2)+'HOUSE DATA'!F406*('HOUSE DASHBOARD'!$B$16-85.4)+'HOUSE DATA'!G406*('HOUSE DASHBOARD'!$B$17-60.7)+'HOUSE DATA'!H406*('HOUSE DASHBOARD'!$B$18-53.5))/100</f>
        <v>0</v>
      </c>
      <c r="E433" s="10">
        <f>2*('HOUSE DATA'!I406*('HOUSE DASHBOARD'!$B$21-55.6)+(100-'HOUSE DATA'!I406)*('HOUSE DASHBOARD'!$B$22-44.9))/100</f>
        <v>0</v>
      </c>
      <c r="F433" s="10">
        <f>0</f>
        <v>0</v>
      </c>
      <c r="G433" s="10">
        <f t="shared" si="55"/>
        <v>0</v>
      </c>
      <c r="H433" s="2">
        <f>'HOUSE DATA'!C406+C433+G433</f>
        <v>-1.8399999999999894</v>
      </c>
      <c r="I433" s="3" t="str">
        <f t="shared" si="56"/>
        <v>R</v>
      </c>
      <c r="J433" s="1" t="str">
        <f>'HOUSE DATA'!K406</f>
        <v>R</v>
      </c>
      <c r="K433" s="1" t="str">
        <f t="shared" si="57"/>
        <v>—</v>
      </c>
      <c r="L433" t="str">
        <f t="shared" si="58"/>
        <v>R+1.84</v>
      </c>
      <c r="M433">
        <f>COUNTIF($H$31:$H$465,"&gt;"&amp;H433)+COUNTIF($H$31:H433,H433)</f>
        <v>246</v>
      </c>
      <c r="N433" s="7">
        <f t="shared" si="59"/>
        <v>1.8399999999999894</v>
      </c>
      <c r="O433">
        <f>COUNTIF($N$31:$N$465,"&lt;"&amp;N433)+COUNTIF($N$31:N433,N433)</f>
        <v>16</v>
      </c>
      <c r="P433" s="10">
        <f>'HOUSE DATA'!M406</f>
        <v>-12.79999999999999</v>
      </c>
      <c r="Q433" t="str">
        <f>'HOUSE DATA'!N406</f>
        <v>2024 HOUSE / prior substitute</v>
      </c>
      <c r="R433" s="10">
        <f t="shared" si="60"/>
        <v>10.96</v>
      </c>
      <c r="S433" s="10">
        <f t="shared" si="61"/>
        <v>7.9951104015142409</v>
      </c>
      <c r="T433" s="10">
        <f t="shared" si="62"/>
        <v>2.9648895984857599</v>
      </c>
      <c r="U433" t="s">
        <v>73</v>
      </c>
      <c r="W433" t="s">
        <v>74</v>
      </c>
      <c r="X433" t="s">
        <v>75</v>
      </c>
    </row>
    <row r="434" spans="1:24" x14ac:dyDescent="0.2">
      <c r="A434" t="str">
        <f>'HOUSE DATA'!A407</f>
        <v>VA-02</v>
      </c>
      <c r="B434" s="10">
        <f>'HOUSE DATA'!B407</f>
        <v>5.8969601620737944</v>
      </c>
      <c r="C434" s="10">
        <f t="shared" si="54"/>
        <v>-0.29999999999999893</v>
      </c>
      <c r="D434" s="10">
        <f>2*('HOUSE DATA'!D407*('HOUSE DASHBOARD'!$B$14-42.4)+'HOUSE DATA'!E407*('HOUSE DASHBOARD'!$B$15-54.2)+'HOUSE DATA'!F407*('HOUSE DASHBOARD'!$B$16-85.4)+'HOUSE DATA'!G407*('HOUSE DASHBOARD'!$B$17-60.7)+'HOUSE DATA'!H407*('HOUSE DASHBOARD'!$B$18-53.5))/100</f>
        <v>0</v>
      </c>
      <c r="E434" s="10">
        <f>2*('HOUSE DATA'!I407*('HOUSE DASHBOARD'!$B$21-55.6)+(100-'HOUSE DATA'!I407)*('HOUSE DASHBOARD'!$B$22-44.9))/100</f>
        <v>0</v>
      </c>
      <c r="F434" s="10">
        <f>0</f>
        <v>0</v>
      </c>
      <c r="G434" s="10">
        <f t="shared" si="55"/>
        <v>0</v>
      </c>
      <c r="H434" s="2">
        <f>'HOUSE DATA'!C407+C434+G434</f>
        <v>7.019999999999996</v>
      </c>
      <c r="I434" s="3" t="str">
        <f t="shared" si="56"/>
        <v>D</v>
      </c>
      <c r="J434" s="1" t="str">
        <f>'HOUSE DATA'!K407</f>
        <v>R</v>
      </c>
      <c r="K434" s="1" t="str">
        <f t="shared" si="57"/>
        <v>R → D</v>
      </c>
      <c r="L434" t="str">
        <f t="shared" si="58"/>
        <v>D+7.02</v>
      </c>
      <c r="M434">
        <f>COUNTIF($H$31:$H$465,"&gt;"&amp;H434)+COUNTIF($H$31:H434,H434)</f>
        <v>222</v>
      </c>
      <c r="N434" s="7">
        <f t="shared" si="59"/>
        <v>7.019999999999996</v>
      </c>
      <c r="O434">
        <f>COUNTIF($N$31:$N$465,"&lt;"&amp;N434)+COUNTIF($N$31:N434,N434)</f>
        <v>58</v>
      </c>
      <c r="P434" s="10">
        <f>'HOUSE DATA'!M407</f>
        <v>-3.9400000000000048</v>
      </c>
      <c r="Q434" t="str">
        <f>'HOUSE DATA'!N407</f>
        <v>2024 HOUSE / prior substitute</v>
      </c>
      <c r="R434" s="10">
        <f t="shared" si="60"/>
        <v>10.96</v>
      </c>
      <c r="S434" s="10">
        <f t="shared" si="61"/>
        <v>9.8369601620737992</v>
      </c>
      <c r="T434" s="10">
        <f t="shared" si="62"/>
        <v>1.1230398379262017</v>
      </c>
      <c r="U434" t="s">
        <v>73</v>
      </c>
      <c r="W434" t="s">
        <v>74</v>
      </c>
      <c r="X434" t="s">
        <v>75</v>
      </c>
    </row>
    <row r="435" spans="1:24" x14ac:dyDescent="0.2">
      <c r="A435" t="str">
        <f>'HOUSE DATA'!A408</f>
        <v>VA-03</v>
      </c>
      <c r="B435" s="10">
        <f>'HOUSE DATA'!B408</f>
        <v>52.414593932563172</v>
      </c>
      <c r="C435" s="10">
        <f t="shared" si="54"/>
        <v>-0.29999999999999893</v>
      </c>
      <c r="D435" s="10">
        <f>2*('HOUSE DATA'!D408*('HOUSE DASHBOARD'!$B$14-42.4)+'HOUSE DATA'!E408*('HOUSE DASHBOARD'!$B$15-54.2)+'HOUSE DATA'!F408*('HOUSE DASHBOARD'!$B$16-85.4)+'HOUSE DATA'!G408*('HOUSE DASHBOARD'!$B$17-60.7)+'HOUSE DATA'!H408*('HOUSE DASHBOARD'!$B$18-53.5))/100</f>
        <v>0</v>
      </c>
      <c r="E435" s="10">
        <f>2*('HOUSE DATA'!I408*('HOUSE DASHBOARD'!$B$21-55.6)+(100-'HOUSE DATA'!I408)*('HOUSE DASHBOARD'!$B$22-44.9))/100</f>
        <v>0</v>
      </c>
      <c r="F435" s="10">
        <f>0</f>
        <v>0</v>
      </c>
      <c r="G435" s="10">
        <f t="shared" si="55"/>
        <v>0</v>
      </c>
      <c r="H435" s="2">
        <f>'HOUSE DATA'!C408+C435+G435</f>
        <v>51.16</v>
      </c>
      <c r="I435" s="3" t="str">
        <f t="shared" si="56"/>
        <v>D</v>
      </c>
      <c r="J435" s="1" t="str">
        <f>'HOUSE DATA'!K408</f>
        <v>D</v>
      </c>
      <c r="K435" s="1" t="str">
        <f t="shared" si="57"/>
        <v>—</v>
      </c>
      <c r="L435" t="str">
        <f t="shared" si="58"/>
        <v>D+51.16</v>
      </c>
      <c r="M435">
        <f>COUNTIF($H$31:$H$465,"&gt;"&amp;H435)+COUNTIF($H$31:H435,H435)</f>
        <v>59</v>
      </c>
      <c r="N435" s="7">
        <f t="shared" si="59"/>
        <v>51.16</v>
      </c>
      <c r="O435">
        <f>COUNTIF($N$31:$N$465,"&lt;"&amp;N435)+COUNTIF($N$31:N435,N435)</f>
        <v>368</v>
      </c>
      <c r="P435" s="10">
        <f>'HOUSE DATA'!M408</f>
        <v>40.199999999999996</v>
      </c>
      <c r="Q435" t="str">
        <f>'HOUSE DATA'!N408</f>
        <v>2024 HOUSE / prior substitute</v>
      </c>
      <c r="R435" s="10">
        <f t="shared" si="60"/>
        <v>10.96</v>
      </c>
      <c r="S435" s="10">
        <f t="shared" si="61"/>
        <v>12.214593932563176</v>
      </c>
      <c r="T435" s="10">
        <f t="shared" si="62"/>
        <v>-1.254593932563175</v>
      </c>
      <c r="U435" t="s">
        <v>73</v>
      </c>
      <c r="W435" t="s">
        <v>74</v>
      </c>
      <c r="X435" t="s">
        <v>75</v>
      </c>
    </row>
    <row r="436" spans="1:24" x14ac:dyDescent="0.2">
      <c r="A436" t="str">
        <f>'HOUSE DATA'!A409</f>
        <v>VA-04</v>
      </c>
      <c r="B436" s="10">
        <f>'HOUSE DATA'!B409</f>
        <v>46.694975742088516</v>
      </c>
      <c r="C436" s="10">
        <f t="shared" si="54"/>
        <v>-0.29999999999999893</v>
      </c>
      <c r="D436" s="10">
        <f>2*('HOUSE DATA'!D409*('HOUSE DASHBOARD'!$B$14-42.4)+'HOUSE DATA'!E409*('HOUSE DASHBOARD'!$B$15-54.2)+'HOUSE DATA'!F409*('HOUSE DASHBOARD'!$B$16-85.4)+'HOUSE DATA'!G409*('HOUSE DASHBOARD'!$B$17-60.7)+'HOUSE DATA'!H409*('HOUSE DASHBOARD'!$B$18-53.5))/100</f>
        <v>0</v>
      </c>
      <c r="E436" s="10">
        <f>2*('HOUSE DATA'!I409*('HOUSE DASHBOARD'!$B$21-55.6)+(100-'HOUSE DATA'!I409)*('HOUSE DASHBOARD'!$B$22-44.9))/100</f>
        <v>0</v>
      </c>
      <c r="F436" s="10">
        <f>0</f>
        <v>0</v>
      </c>
      <c r="G436" s="10">
        <f t="shared" si="55"/>
        <v>0</v>
      </c>
      <c r="H436" s="2">
        <f>'HOUSE DATA'!C409+C436+G436</f>
        <v>45.940000000000012</v>
      </c>
      <c r="I436" s="3" t="str">
        <f t="shared" si="56"/>
        <v>D</v>
      </c>
      <c r="J436" s="1" t="str">
        <f>'HOUSE DATA'!K409</f>
        <v>D</v>
      </c>
      <c r="K436" s="1" t="str">
        <f t="shared" si="57"/>
        <v>—</v>
      </c>
      <c r="L436" t="str">
        <f t="shared" si="58"/>
        <v>D+45.94</v>
      </c>
      <c r="M436">
        <f>COUNTIF($H$31:$H$465,"&gt;"&amp;H436)+COUNTIF($H$31:H436,H436)</f>
        <v>73</v>
      </c>
      <c r="N436" s="7">
        <f t="shared" si="59"/>
        <v>45.940000000000012</v>
      </c>
      <c r="O436">
        <f>COUNTIF($N$31:$N$465,"&lt;"&amp;N436)+COUNTIF($N$31:N436,N436)</f>
        <v>353</v>
      </c>
      <c r="P436" s="10">
        <f>'HOUSE DATA'!M409</f>
        <v>34.980000000000011</v>
      </c>
      <c r="Q436" t="str">
        <f>'HOUSE DATA'!N409</f>
        <v>2024 HOUSE / prior substitute</v>
      </c>
      <c r="R436" s="10">
        <f t="shared" si="60"/>
        <v>10.96</v>
      </c>
      <c r="S436" s="10">
        <f t="shared" si="61"/>
        <v>11.714975742088505</v>
      </c>
      <c r="T436" s="10">
        <f t="shared" si="62"/>
        <v>-0.75497574208850438</v>
      </c>
      <c r="U436" t="s">
        <v>73</v>
      </c>
      <c r="W436" t="s">
        <v>74</v>
      </c>
      <c r="X436" t="s">
        <v>75</v>
      </c>
    </row>
    <row r="437" spans="1:24" x14ac:dyDescent="0.2">
      <c r="A437" t="str">
        <f>'HOUSE DATA'!A410</f>
        <v>VA-05</v>
      </c>
      <c r="B437" s="10">
        <f>'HOUSE DATA'!B410</f>
        <v>-4.3747884565700872</v>
      </c>
      <c r="C437" s="10">
        <f t="shared" si="54"/>
        <v>-0.29999999999999893</v>
      </c>
      <c r="D437" s="10">
        <f>2*('HOUSE DATA'!D410*('HOUSE DASHBOARD'!$B$14-42.4)+'HOUSE DATA'!E410*('HOUSE DASHBOARD'!$B$15-54.2)+'HOUSE DATA'!F410*('HOUSE DASHBOARD'!$B$16-85.4)+'HOUSE DATA'!G410*('HOUSE DASHBOARD'!$B$17-60.7)+'HOUSE DATA'!H410*('HOUSE DASHBOARD'!$B$18-53.5))/100</f>
        <v>0</v>
      </c>
      <c r="E437" s="10">
        <f>2*('HOUSE DATA'!I410*('HOUSE DASHBOARD'!$B$21-55.6)+(100-'HOUSE DATA'!I410)*('HOUSE DASHBOARD'!$B$22-44.9))/100</f>
        <v>0</v>
      </c>
      <c r="F437" s="10">
        <f>0</f>
        <v>0</v>
      </c>
      <c r="G437" s="10">
        <f t="shared" si="55"/>
        <v>0</v>
      </c>
      <c r="H437" s="2">
        <f>'HOUSE DATA'!C410+C437+G437</f>
        <v>-4.1000000000000014</v>
      </c>
      <c r="I437" s="3" t="str">
        <f t="shared" si="56"/>
        <v>R</v>
      </c>
      <c r="J437" s="1" t="str">
        <f>'HOUSE DATA'!K410</f>
        <v>R</v>
      </c>
      <c r="K437" s="1" t="str">
        <f t="shared" si="57"/>
        <v>—</v>
      </c>
      <c r="L437" t="str">
        <f t="shared" si="58"/>
        <v>R+4.10</v>
      </c>
      <c r="M437">
        <f>COUNTIF($H$31:$H$465,"&gt;"&amp;H437)+COUNTIF($H$31:H437,H437)</f>
        <v>261</v>
      </c>
      <c r="N437" s="7">
        <f t="shared" si="59"/>
        <v>4.1000000000000014</v>
      </c>
      <c r="O437">
        <f>COUNTIF($N$31:$N$465,"&lt;"&amp;N437)+COUNTIF($N$31:N437,N437)</f>
        <v>34</v>
      </c>
      <c r="P437" s="10">
        <f>'HOUSE DATA'!M410</f>
        <v>-15.060000000000002</v>
      </c>
      <c r="Q437" t="str">
        <f>'HOUSE DATA'!N410</f>
        <v>2024 HOUSE / prior substitute</v>
      </c>
      <c r="R437" s="10">
        <f t="shared" si="60"/>
        <v>10.96</v>
      </c>
      <c r="S437" s="10">
        <f t="shared" si="61"/>
        <v>10.685211543429915</v>
      </c>
      <c r="T437" s="10">
        <f t="shared" si="62"/>
        <v>0.27478845657008577</v>
      </c>
      <c r="U437" t="s">
        <v>73</v>
      </c>
      <c r="W437" t="s">
        <v>74</v>
      </c>
      <c r="X437" t="s">
        <v>75</v>
      </c>
    </row>
    <row r="438" spans="1:24" x14ac:dyDescent="0.2">
      <c r="A438" t="str">
        <f>'HOUSE DATA'!A411</f>
        <v>VA-06</v>
      </c>
      <c r="B438" s="10">
        <f>'HOUSE DATA'!B411</f>
        <v>-18.946733830354923</v>
      </c>
      <c r="C438" s="10">
        <f t="shared" si="54"/>
        <v>-0.29999999999999893</v>
      </c>
      <c r="D438" s="10">
        <f>2*('HOUSE DATA'!D411*('HOUSE DASHBOARD'!$B$14-42.4)+'HOUSE DATA'!E411*('HOUSE DASHBOARD'!$B$15-54.2)+'HOUSE DATA'!F411*('HOUSE DASHBOARD'!$B$16-85.4)+'HOUSE DATA'!G411*('HOUSE DASHBOARD'!$B$17-60.7)+'HOUSE DATA'!H411*('HOUSE DASHBOARD'!$B$18-53.5))/100</f>
        <v>0</v>
      </c>
      <c r="E438" s="10">
        <f>2*('HOUSE DATA'!I411*('HOUSE DASHBOARD'!$B$21-55.6)+(100-'HOUSE DATA'!I411)*('HOUSE DASHBOARD'!$B$22-44.9))/100</f>
        <v>0</v>
      </c>
      <c r="F438" s="10">
        <f>0</f>
        <v>0</v>
      </c>
      <c r="G438" s="10">
        <f t="shared" si="55"/>
        <v>0</v>
      </c>
      <c r="H438" s="2">
        <f>'HOUSE DATA'!C411+C438+G438</f>
        <v>-17.979999999999997</v>
      </c>
      <c r="I438" s="3" t="str">
        <f t="shared" si="56"/>
        <v>R</v>
      </c>
      <c r="J438" s="1" t="str">
        <f>'HOUSE DATA'!K411</f>
        <v>R</v>
      </c>
      <c r="K438" s="1" t="str">
        <f t="shared" si="57"/>
        <v>—</v>
      </c>
      <c r="L438" t="str">
        <f t="shared" si="58"/>
        <v>R+17.98</v>
      </c>
      <c r="M438">
        <f>COUNTIF($H$31:$H$465,"&gt;"&amp;H438)+COUNTIF($H$31:H438,H438)</f>
        <v>345</v>
      </c>
      <c r="N438" s="7">
        <f t="shared" si="59"/>
        <v>17.979999999999997</v>
      </c>
      <c r="O438">
        <f>COUNTIF($N$31:$N$465,"&lt;"&amp;N438)+COUNTIF($N$31:N438,N438)</f>
        <v>161</v>
      </c>
      <c r="P438" s="10">
        <f>'HOUSE DATA'!M411</f>
        <v>-28.939999999999998</v>
      </c>
      <c r="Q438" t="str">
        <f>'HOUSE DATA'!N411</f>
        <v>2024 HOUSE / prior substitute</v>
      </c>
      <c r="R438" s="10">
        <f t="shared" si="60"/>
        <v>10.96</v>
      </c>
      <c r="S438" s="10">
        <f t="shared" si="61"/>
        <v>9.9932661696450751</v>
      </c>
      <c r="T438" s="10">
        <f t="shared" si="62"/>
        <v>0.96673383035492577</v>
      </c>
      <c r="U438" t="s">
        <v>73</v>
      </c>
      <c r="W438" t="s">
        <v>74</v>
      </c>
      <c r="X438" t="s">
        <v>75</v>
      </c>
    </row>
    <row r="439" spans="1:24" x14ac:dyDescent="0.2">
      <c r="A439" t="str">
        <f>'HOUSE DATA'!A412</f>
        <v>VA-07</v>
      </c>
      <c r="B439" s="10">
        <f>'HOUSE DATA'!B412</f>
        <v>11.916983535537204</v>
      </c>
      <c r="C439" s="10">
        <f t="shared" si="54"/>
        <v>-0.29999999999999893</v>
      </c>
      <c r="D439" s="10">
        <f>2*('HOUSE DATA'!D412*('HOUSE DASHBOARD'!$B$14-42.4)+'HOUSE DATA'!E412*('HOUSE DASHBOARD'!$B$15-54.2)+'HOUSE DATA'!F412*('HOUSE DASHBOARD'!$B$16-85.4)+'HOUSE DATA'!G412*('HOUSE DASHBOARD'!$B$17-60.7)+'HOUSE DATA'!H412*('HOUSE DASHBOARD'!$B$18-53.5))/100</f>
        <v>0</v>
      </c>
      <c r="E439" s="10">
        <f>2*('HOUSE DATA'!I412*('HOUSE DASHBOARD'!$B$21-55.6)+(100-'HOUSE DATA'!I412)*('HOUSE DASHBOARD'!$B$22-44.9))/100</f>
        <v>0</v>
      </c>
      <c r="F439" s="10">
        <f>0</f>
        <v>0</v>
      </c>
      <c r="G439" s="10">
        <f t="shared" si="55"/>
        <v>0</v>
      </c>
      <c r="H439" s="2">
        <f>'HOUSE DATA'!C412+C439+G439</f>
        <v>13.600000000000001</v>
      </c>
      <c r="I439" s="3" t="str">
        <f t="shared" si="56"/>
        <v>D</v>
      </c>
      <c r="J439" s="1" t="str">
        <f>'HOUSE DATA'!K412</f>
        <v>D</v>
      </c>
      <c r="K439" s="1" t="str">
        <f t="shared" si="57"/>
        <v>—</v>
      </c>
      <c r="L439" t="str">
        <f t="shared" si="58"/>
        <v>D+13.60</v>
      </c>
      <c r="M439">
        <f>COUNTIF($H$31:$H$465,"&gt;"&amp;H439)+COUNTIF($H$31:H439,H439)</f>
        <v>204</v>
      </c>
      <c r="N439" s="7">
        <f t="shared" si="59"/>
        <v>13.600000000000001</v>
      </c>
      <c r="O439">
        <f>COUNTIF($N$31:$N$465,"&lt;"&amp;N439)+COUNTIF($N$31:N439,N439)</f>
        <v>123</v>
      </c>
      <c r="P439" s="10">
        <f>'HOUSE DATA'!M412</f>
        <v>2.6400000000000006</v>
      </c>
      <c r="Q439" t="str">
        <f>'HOUSE DATA'!N412</f>
        <v>2024 HOUSE / prior substitute</v>
      </c>
      <c r="R439" s="10">
        <f t="shared" si="60"/>
        <v>10.96</v>
      </c>
      <c r="S439" s="10">
        <f t="shared" si="61"/>
        <v>9.2769835355372035</v>
      </c>
      <c r="T439" s="10">
        <f t="shared" si="62"/>
        <v>1.6830164644627974</v>
      </c>
      <c r="U439" t="s">
        <v>73</v>
      </c>
      <c r="W439" t="s">
        <v>74</v>
      </c>
      <c r="X439" t="s">
        <v>75</v>
      </c>
    </row>
    <row r="440" spans="1:24" x14ac:dyDescent="0.2">
      <c r="A440" t="str">
        <f>'HOUSE DATA'!A413</f>
        <v>VA-08</v>
      </c>
      <c r="B440" s="10">
        <f>'HOUSE DATA'!B413</f>
        <v>58.151205579281665</v>
      </c>
      <c r="C440" s="10">
        <f t="shared" si="54"/>
        <v>-0.29999999999999893</v>
      </c>
      <c r="D440" s="10">
        <f>2*('HOUSE DATA'!D413*('HOUSE DASHBOARD'!$B$14-42.4)+'HOUSE DATA'!E413*('HOUSE DASHBOARD'!$B$15-54.2)+'HOUSE DATA'!F413*('HOUSE DASHBOARD'!$B$16-85.4)+'HOUSE DATA'!G413*('HOUSE DASHBOARD'!$B$17-60.7)+'HOUSE DATA'!H413*('HOUSE DASHBOARD'!$B$18-53.5))/100</f>
        <v>0</v>
      </c>
      <c r="E440" s="10">
        <f>2*('HOUSE DATA'!I413*('HOUSE DASHBOARD'!$B$21-55.6)+(100-'HOUSE DATA'!I413)*('HOUSE DASHBOARD'!$B$22-44.9))/100</f>
        <v>0</v>
      </c>
      <c r="F440" s="10">
        <f>0</f>
        <v>0</v>
      </c>
      <c r="G440" s="10">
        <f t="shared" si="55"/>
        <v>0</v>
      </c>
      <c r="H440" s="2">
        <f>'HOUSE DATA'!C413+C440+G440</f>
        <v>59.68</v>
      </c>
      <c r="I440" s="3" t="str">
        <f t="shared" si="56"/>
        <v>D</v>
      </c>
      <c r="J440" s="1" t="str">
        <f>'HOUSE DATA'!K413</f>
        <v>D</v>
      </c>
      <c r="K440" s="1" t="str">
        <f t="shared" si="57"/>
        <v>—</v>
      </c>
      <c r="L440" t="str">
        <f t="shared" si="58"/>
        <v>D+59.68</v>
      </c>
      <c r="M440">
        <f>COUNTIF($H$31:$H$465,"&gt;"&amp;H440)+COUNTIF($H$31:H440,H440)</f>
        <v>33</v>
      </c>
      <c r="N440" s="7">
        <f t="shared" si="59"/>
        <v>59.68</v>
      </c>
      <c r="O440">
        <f>COUNTIF($N$31:$N$465,"&lt;"&amp;N440)+COUNTIF($N$31:N440,N440)</f>
        <v>394</v>
      </c>
      <c r="P440" s="10">
        <f>'HOUSE DATA'!M413</f>
        <v>48.72</v>
      </c>
      <c r="Q440" t="str">
        <f>'HOUSE DATA'!N413</f>
        <v>2024 HOUSE / prior substitute</v>
      </c>
      <c r="R440" s="10">
        <f t="shared" si="60"/>
        <v>10.96</v>
      </c>
      <c r="S440" s="10">
        <f t="shared" si="61"/>
        <v>9.4312055792816665</v>
      </c>
      <c r="T440" s="10">
        <f t="shared" si="62"/>
        <v>1.5287944207183344</v>
      </c>
      <c r="U440" t="s">
        <v>73</v>
      </c>
      <c r="W440" t="s">
        <v>74</v>
      </c>
      <c r="X440" t="s">
        <v>75</v>
      </c>
    </row>
    <row r="441" spans="1:24" x14ac:dyDescent="0.2">
      <c r="A441" t="str">
        <f>'HOUSE DATA'!A414</f>
        <v>VA-09</v>
      </c>
      <c r="B441" s="10">
        <f>'HOUSE DATA'!B414</f>
        <v>-34.459723153165235</v>
      </c>
      <c r="C441" s="10">
        <f t="shared" si="54"/>
        <v>-0.29999999999999893</v>
      </c>
      <c r="D441" s="10">
        <f>2*('HOUSE DATA'!D414*('HOUSE DASHBOARD'!$B$14-42.4)+'HOUSE DATA'!E414*('HOUSE DASHBOARD'!$B$15-54.2)+'HOUSE DATA'!F414*('HOUSE DASHBOARD'!$B$16-85.4)+'HOUSE DATA'!G414*('HOUSE DASHBOARD'!$B$17-60.7)+'HOUSE DATA'!H414*('HOUSE DASHBOARD'!$B$18-53.5))/100</f>
        <v>0</v>
      </c>
      <c r="E441" s="10">
        <f>2*('HOUSE DATA'!I414*('HOUSE DASHBOARD'!$B$21-55.6)+(100-'HOUSE DATA'!I414)*('HOUSE DASHBOARD'!$B$22-44.9))/100</f>
        <v>0</v>
      </c>
      <c r="F441" s="10">
        <f>0</f>
        <v>0</v>
      </c>
      <c r="G441" s="10">
        <f t="shared" si="55"/>
        <v>0</v>
      </c>
      <c r="H441" s="2">
        <f>'HOUSE DATA'!C414+C441+G441</f>
        <v>-34.279999999999994</v>
      </c>
      <c r="I441" s="3" t="str">
        <f t="shared" si="56"/>
        <v>R</v>
      </c>
      <c r="J441" s="1" t="str">
        <f>'HOUSE DATA'!K414</f>
        <v>R</v>
      </c>
      <c r="K441" s="1" t="str">
        <f t="shared" si="57"/>
        <v>—</v>
      </c>
      <c r="L441" t="str">
        <f t="shared" si="58"/>
        <v>R+34.28</v>
      </c>
      <c r="M441">
        <f>COUNTIF($H$31:$H$465,"&gt;"&amp;H441)+COUNTIF($H$31:H441,H441)</f>
        <v>410</v>
      </c>
      <c r="N441" s="7">
        <f t="shared" si="59"/>
        <v>34.279999999999994</v>
      </c>
      <c r="O441">
        <f>COUNTIF($N$31:$N$465,"&lt;"&amp;N441)+COUNTIF($N$31:N441,N441)</f>
        <v>301</v>
      </c>
      <c r="P441" s="10">
        <f>'HOUSE DATA'!M414</f>
        <v>-45.239999999999995</v>
      </c>
      <c r="Q441" t="str">
        <f>'HOUSE DATA'!N414</f>
        <v>2024 HOUSE / prior substitute</v>
      </c>
      <c r="R441" s="10">
        <f t="shared" si="60"/>
        <v>10.96</v>
      </c>
      <c r="S441" s="10">
        <f t="shared" si="61"/>
        <v>10.780276846834759</v>
      </c>
      <c r="T441" s="10">
        <f t="shared" si="62"/>
        <v>0.17972315316524146</v>
      </c>
      <c r="U441" t="s">
        <v>73</v>
      </c>
      <c r="W441" t="s">
        <v>74</v>
      </c>
      <c r="X441" t="s">
        <v>75</v>
      </c>
    </row>
    <row r="442" spans="1:24" x14ac:dyDescent="0.2">
      <c r="A442" t="str">
        <f>'HOUSE DATA'!A415</f>
        <v>VA-10</v>
      </c>
      <c r="B442" s="10">
        <f>'HOUSE DATA'!B415</f>
        <v>14.143523348729444</v>
      </c>
      <c r="C442" s="10">
        <f t="shared" si="54"/>
        <v>-0.29999999999999893</v>
      </c>
      <c r="D442" s="10">
        <f>2*('HOUSE DATA'!D415*('HOUSE DASHBOARD'!$B$14-42.4)+'HOUSE DATA'!E415*('HOUSE DASHBOARD'!$B$15-54.2)+'HOUSE DATA'!F415*('HOUSE DASHBOARD'!$B$16-85.4)+'HOUSE DATA'!G415*('HOUSE DASHBOARD'!$B$17-60.7)+'HOUSE DATA'!H415*('HOUSE DASHBOARD'!$B$18-53.5))/100</f>
        <v>0</v>
      </c>
      <c r="E442" s="10">
        <f>2*('HOUSE DATA'!I415*('HOUSE DASHBOARD'!$B$21-55.6)+(100-'HOUSE DATA'!I415)*('HOUSE DASHBOARD'!$B$22-44.9))/100</f>
        <v>0</v>
      </c>
      <c r="F442" s="10">
        <f>0</f>
        <v>0</v>
      </c>
      <c r="G442" s="10">
        <f t="shared" si="55"/>
        <v>0</v>
      </c>
      <c r="H442" s="2">
        <f>'HOUSE DATA'!C415+C442+G442</f>
        <v>15.520000000000003</v>
      </c>
      <c r="I442" s="3" t="str">
        <f t="shared" si="56"/>
        <v>D</v>
      </c>
      <c r="J442" s="1" t="str">
        <f>'HOUSE DATA'!K415</f>
        <v>D</v>
      </c>
      <c r="K442" s="1" t="str">
        <f t="shared" si="57"/>
        <v>—</v>
      </c>
      <c r="L442" t="str">
        <f t="shared" si="58"/>
        <v>D+15.52</v>
      </c>
      <c r="M442">
        <f>COUNTIF($H$31:$H$465,"&gt;"&amp;H442)+COUNTIF($H$31:H442,H442)</f>
        <v>194</v>
      </c>
      <c r="N442" s="7">
        <f t="shared" si="59"/>
        <v>15.520000000000003</v>
      </c>
      <c r="O442">
        <f>COUNTIF($N$31:$N$465,"&lt;"&amp;N442)+COUNTIF($N$31:N442,N442)</f>
        <v>138</v>
      </c>
      <c r="P442" s="10">
        <f>'HOUSE DATA'!M415</f>
        <v>4.5600000000000023</v>
      </c>
      <c r="Q442" t="str">
        <f>'HOUSE DATA'!N415</f>
        <v>2024 HOUSE / prior substitute</v>
      </c>
      <c r="R442" s="10">
        <f t="shared" si="60"/>
        <v>10.96</v>
      </c>
      <c r="S442" s="10">
        <f t="shared" si="61"/>
        <v>9.5835233487294413</v>
      </c>
      <c r="T442" s="10">
        <f t="shared" si="62"/>
        <v>1.3764766512705595</v>
      </c>
      <c r="U442" t="s">
        <v>73</v>
      </c>
      <c r="W442" t="s">
        <v>74</v>
      </c>
      <c r="X442" t="s">
        <v>75</v>
      </c>
    </row>
    <row r="443" spans="1:24" x14ac:dyDescent="0.2">
      <c r="A443" t="str">
        <f>'HOUSE DATA'!A416</f>
        <v>VA-11</v>
      </c>
      <c r="B443" s="10">
        <f>'HOUSE DATA'!B416</f>
        <v>44.032403692665632</v>
      </c>
      <c r="C443" s="10">
        <f t="shared" si="54"/>
        <v>-0.29999999999999893</v>
      </c>
      <c r="D443" s="10">
        <f>2*('HOUSE DATA'!D416*('HOUSE DASHBOARD'!$B$14-42.4)+'HOUSE DATA'!E416*('HOUSE DASHBOARD'!$B$15-54.2)+'HOUSE DATA'!F416*('HOUSE DASHBOARD'!$B$16-85.4)+'HOUSE DATA'!G416*('HOUSE DASHBOARD'!$B$17-60.7)+'HOUSE DATA'!H416*('HOUSE DASHBOARD'!$B$18-53.5))/100</f>
        <v>0</v>
      </c>
      <c r="E443" s="10">
        <f>2*('HOUSE DATA'!I416*('HOUSE DASHBOARD'!$B$21-55.6)+(100-'HOUSE DATA'!I416)*('HOUSE DASHBOARD'!$B$22-44.9))/100</f>
        <v>0</v>
      </c>
      <c r="F443" s="10">
        <f>0</f>
        <v>0</v>
      </c>
      <c r="G443" s="10">
        <f t="shared" si="55"/>
        <v>0</v>
      </c>
      <c r="H443" s="2">
        <f>'HOUSE DATA'!C416+C443+G443</f>
        <v>44.940000000000012</v>
      </c>
      <c r="I443" s="3" t="str">
        <f t="shared" si="56"/>
        <v>D</v>
      </c>
      <c r="J443" s="1" t="str">
        <f>'HOUSE DATA'!K416</f>
        <v>D</v>
      </c>
      <c r="K443" s="1" t="str">
        <f t="shared" si="57"/>
        <v>—</v>
      </c>
      <c r="L443" t="str">
        <f t="shared" si="58"/>
        <v>D+44.94</v>
      </c>
      <c r="M443">
        <f>COUNTIF($H$31:$H$465,"&gt;"&amp;H443)+COUNTIF($H$31:H443,H443)</f>
        <v>78</v>
      </c>
      <c r="N443" s="7">
        <f t="shared" si="59"/>
        <v>44.940000000000012</v>
      </c>
      <c r="O443">
        <f>COUNTIF($N$31:$N$465,"&lt;"&amp;N443)+COUNTIF($N$31:N443,N443)</f>
        <v>349</v>
      </c>
      <c r="P443" s="10">
        <f>'HOUSE DATA'!M416</f>
        <v>33.980000000000011</v>
      </c>
      <c r="Q443" t="str">
        <f>'HOUSE DATA'!N416</f>
        <v>2024 HOUSE / prior substitute</v>
      </c>
      <c r="R443" s="10">
        <f t="shared" si="60"/>
        <v>10.96</v>
      </c>
      <c r="S443" s="10">
        <f t="shared" si="61"/>
        <v>10.052403692665621</v>
      </c>
      <c r="T443" s="10">
        <f t="shared" si="62"/>
        <v>0.90759630733438001</v>
      </c>
      <c r="U443" t="s">
        <v>73</v>
      </c>
      <c r="W443" t="s">
        <v>74</v>
      </c>
      <c r="X443" t="s">
        <v>75</v>
      </c>
    </row>
    <row r="444" spans="1:24" x14ac:dyDescent="0.2">
      <c r="A444" t="str">
        <f>'HOUSE DATA'!A417</f>
        <v>VT-AL</v>
      </c>
      <c r="B444" s="10">
        <f>'HOUSE DATA'!B417</f>
        <v>44.107260560589708</v>
      </c>
      <c r="C444" s="10">
        <f t="shared" si="54"/>
        <v>-0.29999999999999893</v>
      </c>
      <c r="D444" s="10">
        <f>2*('HOUSE DATA'!D417*('HOUSE DASHBOARD'!$B$14-42.4)+'HOUSE DATA'!E417*('HOUSE DASHBOARD'!$B$15-54.2)+'HOUSE DATA'!F417*('HOUSE DASHBOARD'!$B$16-85.4)+'HOUSE DATA'!G417*('HOUSE DASHBOARD'!$B$17-60.7)+'HOUSE DATA'!H417*('HOUSE DASHBOARD'!$B$18-53.5))/100</f>
        <v>0</v>
      </c>
      <c r="E444" s="10">
        <f>2*('HOUSE DATA'!I417*('HOUSE DASHBOARD'!$B$21-55.6)+(100-'HOUSE DATA'!I417)*('HOUSE DASHBOARD'!$B$22-44.9))/100</f>
        <v>0</v>
      </c>
      <c r="F444" s="10">
        <f>0</f>
        <v>0</v>
      </c>
      <c r="G444" s="10">
        <f t="shared" si="55"/>
        <v>0</v>
      </c>
      <c r="H444" s="2">
        <f>'HOUSE DATA'!C417+C444+G444</f>
        <v>46.260000000000005</v>
      </c>
      <c r="I444" s="3" t="str">
        <f t="shared" si="56"/>
        <v>D</v>
      </c>
      <c r="J444" s="1" t="str">
        <f>'HOUSE DATA'!K417</f>
        <v>D</v>
      </c>
      <c r="K444" s="1" t="str">
        <f t="shared" si="57"/>
        <v>—</v>
      </c>
      <c r="L444" t="str">
        <f t="shared" si="58"/>
        <v>D+46.26</v>
      </c>
      <c r="M444">
        <f>COUNTIF($H$31:$H$465,"&gt;"&amp;H444)+COUNTIF($H$31:H444,H444)</f>
        <v>71</v>
      </c>
      <c r="N444" s="7">
        <f t="shared" si="59"/>
        <v>46.260000000000005</v>
      </c>
      <c r="O444">
        <f>COUNTIF($N$31:$N$465,"&lt;"&amp;N444)+COUNTIF($N$31:N444,N444)</f>
        <v>355</v>
      </c>
      <c r="P444" s="10">
        <f>'HOUSE DATA'!M417</f>
        <v>35.300000000000004</v>
      </c>
      <c r="Q444" t="str">
        <f>'HOUSE DATA'!N417</f>
        <v>2024 HOUSE / prior substitute</v>
      </c>
      <c r="R444" s="10">
        <f t="shared" si="60"/>
        <v>10.96</v>
      </c>
      <c r="S444" s="10">
        <f t="shared" si="61"/>
        <v>8.8072605605897039</v>
      </c>
      <c r="T444" s="10">
        <f t="shared" si="62"/>
        <v>2.152739439410297</v>
      </c>
      <c r="U444" t="s">
        <v>73</v>
      </c>
      <c r="W444" t="s">
        <v>74</v>
      </c>
      <c r="X444" t="s">
        <v>75</v>
      </c>
    </row>
    <row r="445" spans="1:24" x14ac:dyDescent="0.2">
      <c r="A445" t="str">
        <f>'HOUSE DATA'!A418</f>
        <v>WA-01</v>
      </c>
      <c r="B445" s="10">
        <f>'HOUSE DATA'!B418</f>
        <v>35.313169885997809</v>
      </c>
      <c r="C445" s="10">
        <f t="shared" si="54"/>
        <v>-0.29999999999999893</v>
      </c>
      <c r="D445" s="10">
        <f>2*('HOUSE DATA'!D418*('HOUSE DASHBOARD'!$B$14-42.4)+'HOUSE DATA'!E418*('HOUSE DASHBOARD'!$B$15-54.2)+'HOUSE DATA'!F418*('HOUSE DASHBOARD'!$B$16-85.4)+'HOUSE DATA'!G418*('HOUSE DASHBOARD'!$B$17-60.7)+'HOUSE DATA'!H418*('HOUSE DASHBOARD'!$B$18-53.5))/100</f>
        <v>0</v>
      </c>
      <c r="E445" s="10">
        <f>2*('HOUSE DATA'!I418*('HOUSE DASHBOARD'!$B$21-55.6)+(100-'HOUSE DATA'!I418)*('HOUSE DASHBOARD'!$B$22-44.9))/100</f>
        <v>0</v>
      </c>
      <c r="F445" s="10">
        <f>0</f>
        <v>0</v>
      </c>
      <c r="G445" s="10">
        <f t="shared" si="55"/>
        <v>0</v>
      </c>
      <c r="H445" s="2">
        <f>'HOUSE DATA'!C418+C445+G445</f>
        <v>37.28</v>
      </c>
      <c r="I445" s="3" t="str">
        <f t="shared" si="56"/>
        <v>D</v>
      </c>
      <c r="J445" s="1" t="str">
        <f>'HOUSE DATA'!K418</f>
        <v>D</v>
      </c>
      <c r="K445" s="1" t="str">
        <f t="shared" si="57"/>
        <v>—</v>
      </c>
      <c r="L445" t="str">
        <f t="shared" si="58"/>
        <v>D+37.28</v>
      </c>
      <c r="M445">
        <f>COUNTIF($H$31:$H$465,"&gt;"&amp;H445)+COUNTIF($H$31:H445,H445)</f>
        <v>91</v>
      </c>
      <c r="N445" s="7">
        <f t="shared" si="59"/>
        <v>37.28</v>
      </c>
      <c r="O445">
        <f>COUNTIF($N$31:$N$465,"&lt;"&amp;N445)+COUNTIF($N$31:N445,N445)</f>
        <v>325</v>
      </c>
      <c r="P445" s="10">
        <f>'HOUSE DATA'!M418</f>
        <v>26.32</v>
      </c>
      <c r="Q445" t="str">
        <f>'HOUSE DATA'!N418</f>
        <v>2024 HOUSE / prior substitute</v>
      </c>
      <c r="R445" s="10">
        <f t="shared" si="60"/>
        <v>10.96</v>
      </c>
      <c r="S445" s="10">
        <f t="shared" si="61"/>
        <v>8.9931698859978084</v>
      </c>
      <c r="T445" s="10">
        <f t="shared" si="62"/>
        <v>1.9668301140021924</v>
      </c>
      <c r="U445" t="s">
        <v>73</v>
      </c>
      <c r="W445" t="s">
        <v>74</v>
      </c>
      <c r="X445" t="s">
        <v>75</v>
      </c>
    </row>
    <row r="446" spans="1:24" x14ac:dyDescent="0.2">
      <c r="A446" t="str">
        <f>'HOUSE DATA'!A419</f>
        <v>WA-02</v>
      </c>
      <c r="B446" s="10">
        <f>'HOUSE DATA'!B419</f>
        <v>37.53791579606478</v>
      </c>
      <c r="C446" s="10">
        <f t="shared" si="54"/>
        <v>-0.29999999999999893</v>
      </c>
      <c r="D446" s="10">
        <f>2*('HOUSE DATA'!D419*('HOUSE DASHBOARD'!$B$14-42.4)+'HOUSE DATA'!E419*('HOUSE DASHBOARD'!$B$15-54.2)+'HOUSE DATA'!F419*('HOUSE DASHBOARD'!$B$16-85.4)+'HOUSE DATA'!G419*('HOUSE DASHBOARD'!$B$17-60.7)+'HOUSE DATA'!H419*('HOUSE DASHBOARD'!$B$18-53.5))/100</f>
        <v>0</v>
      </c>
      <c r="E446" s="10">
        <f>2*('HOUSE DATA'!I419*('HOUSE DASHBOARD'!$B$21-55.6)+(100-'HOUSE DATA'!I419)*('HOUSE DASHBOARD'!$B$22-44.9))/100</f>
        <v>0</v>
      </c>
      <c r="F446" s="10">
        <f>0</f>
        <v>0</v>
      </c>
      <c r="G446" s="10">
        <f t="shared" si="55"/>
        <v>0</v>
      </c>
      <c r="H446" s="2">
        <f>'HOUSE DATA'!C419+C446+G446</f>
        <v>39.020000000000003</v>
      </c>
      <c r="I446" s="3" t="str">
        <f t="shared" si="56"/>
        <v>D</v>
      </c>
      <c r="J446" s="1" t="str">
        <f>'HOUSE DATA'!K419</f>
        <v>D</v>
      </c>
      <c r="K446" s="1" t="str">
        <f t="shared" si="57"/>
        <v>—</v>
      </c>
      <c r="L446" t="str">
        <f t="shared" si="58"/>
        <v>D+39.02</v>
      </c>
      <c r="M446">
        <f>COUNTIF($H$31:$H$465,"&gt;"&amp;H446)+COUNTIF($H$31:H446,H446)</f>
        <v>87</v>
      </c>
      <c r="N446" s="7">
        <f t="shared" si="59"/>
        <v>39.020000000000003</v>
      </c>
      <c r="O446">
        <f>COUNTIF($N$31:$N$465,"&lt;"&amp;N446)+COUNTIF($N$31:N446,N446)</f>
        <v>333</v>
      </c>
      <c r="P446" s="10">
        <f>'HOUSE DATA'!M419</f>
        <v>28.060000000000002</v>
      </c>
      <c r="Q446" t="str">
        <f>'HOUSE DATA'!N419</f>
        <v>2024 HOUSE / prior substitute</v>
      </c>
      <c r="R446" s="10">
        <f t="shared" si="60"/>
        <v>10.96</v>
      </c>
      <c r="S446" s="10">
        <f t="shared" si="61"/>
        <v>9.477915796064778</v>
      </c>
      <c r="T446" s="10">
        <f t="shared" si="62"/>
        <v>1.4820842039352229</v>
      </c>
      <c r="U446" t="s">
        <v>73</v>
      </c>
      <c r="W446" t="s">
        <v>74</v>
      </c>
      <c r="X446" t="s">
        <v>75</v>
      </c>
    </row>
    <row r="447" spans="1:24" x14ac:dyDescent="0.2">
      <c r="A447" t="str">
        <f>'HOUSE DATA'!A420</f>
        <v>WA-03</v>
      </c>
      <c r="B447" s="10">
        <f>'HOUSE DATA'!B420</f>
        <v>12.806391327013324</v>
      </c>
      <c r="C447" s="10">
        <f t="shared" si="54"/>
        <v>-0.29999999999999893</v>
      </c>
      <c r="D447" s="10">
        <f>2*('HOUSE DATA'!D420*('HOUSE DASHBOARD'!$B$14-42.4)+'HOUSE DATA'!E420*('HOUSE DASHBOARD'!$B$15-54.2)+'HOUSE DATA'!F420*('HOUSE DASHBOARD'!$B$16-85.4)+'HOUSE DATA'!G420*('HOUSE DASHBOARD'!$B$17-60.7)+'HOUSE DATA'!H420*('HOUSE DASHBOARD'!$B$18-53.5))/100</f>
        <v>0</v>
      </c>
      <c r="E447" s="10">
        <f>2*('HOUSE DATA'!I420*('HOUSE DASHBOARD'!$B$21-55.6)+(100-'HOUSE DATA'!I420)*('HOUSE DASHBOARD'!$B$22-44.9))/100</f>
        <v>0</v>
      </c>
      <c r="F447" s="10">
        <f>0</f>
        <v>0</v>
      </c>
      <c r="G447" s="10">
        <f t="shared" si="55"/>
        <v>0</v>
      </c>
      <c r="H447" s="2">
        <f>'HOUSE DATA'!C420+C447+G447</f>
        <v>14.86</v>
      </c>
      <c r="I447" s="3" t="str">
        <f t="shared" si="56"/>
        <v>D</v>
      </c>
      <c r="J447" s="1" t="str">
        <f>'HOUSE DATA'!K420</f>
        <v>D</v>
      </c>
      <c r="K447" s="1" t="str">
        <f t="shared" si="57"/>
        <v>—</v>
      </c>
      <c r="L447" t="str">
        <f t="shared" si="58"/>
        <v>D+14.86</v>
      </c>
      <c r="M447">
        <f>COUNTIF($H$31:$H$465,"&gt;"&amp;H447)+COUNTIF($H$31:H447,H447)</f>
        <v>199</v>
      </c>
      <c r="N447" s="7">
        <f t="shared" si="59"/>
        <v>14.86</v>
      </c>
      <c r="O447">
        <f>COUNTIF($N$31:$N$465,"&lt;"&amp;N447)+COUNTIF($N$31:N447,N447)</f>
        <v>133</v>
      </c>
      <c r="P447" s="10">
        <f>'HOUSE DATA'!M420</f>
        <v>3.8999999999999986</v>
      </c>
      <c r="Q447" t="str">
        <f>'HOUSE DATA'!N420</f>
        <v>2024 HOUSE / prior substitute</v>
      </c>
      <c r="R447" s="10">
        <f t="shared" si="60"/>
        <v>10.96</v>
      </c>
      <c r="S447" s="10">
        <f t="shared" si="61"/>
        <v>8.9063913270133259</v>
      </c>
      <c r="T447" s="10">
        <f t="shared" si="62"/>
        <v>2.0536086729866749</v>
      </c>
      <c r="U447" t="s">
        <v>73</v>
      </c>
      <c r="W447" t="s">
        <v>74</v>
      </c>
      <c r="X447" t="s">
        <v>75</v>
      </c>
    </row>
    <row r="448" spans="1:24" x14ac:dyDescent="0.2">
      <c r="A448" t="str">
        <f>'HOUSE DATA'!A421</f>
        <v>WA-04</v>
      </c>
      <c r="B448" s="10">
        <f>'HOUSE DATA'!B421</f>
        <v>-9.3356505567228218</v>
      </c>
      <c r="C448" s="10">
        <f t="shared" si="54"/>
        <v>-0.29999999999999893</v>
      </c>
      <c r="D448" s="10">
        <f>2*('HOUSE DATA'!D421*('HOUSE DASHBOARD'!$B$14-42.4)+'HOUSE DATA'!E421*('HOUSE DASHBOARD'!$B$15-54.2)+'HOUSE DATA'!F421*('HOUSE DASHBOARD'!$B$16-85.4)+'HOUSE DATA'!G421*('HOUSE DASHBOARD'!$B$17-60.7)+'HOUSE DATA'!H421*('HOUSE DASHBOARD'!$B$18-53.5))/100</f>
        <v>0</v>
      </c>
      <c r="E448" s="10">
        <f>2*('HOUSE DATA'!I421*('HOUSE DASHBOARD'!$B$21-55.6)+(100-'HOUSE DATA'!I421)*('HOUSE DASHBOARD'!$B$22-44.9))/100</f>
        <v>0</v>
      </c>
      <c r="F448" s="10">
        <f>0</f>
        <v>0</v>
      </c>
      <c r="G448" s="10">
        <f t="shared" si="55"/>
        <v>0</v>
      </c>
      <c r="H448" s="2">
        <f>'HOUSE DATA'!C421+C448+G448</f>
        <v>-10.120000000000001</v>
      </c>
      <c r="I448" s="3" t="str">
        <f t="shared" si="56"/>
        <v>R</v>
      </c>
      <c r="J448" s="1" t="str">
        <f>'HOUSE DATA'!K421</f>
        <v>R</v>
      </c>
      <c r="K448" s="1" t="str">
        <f t="shared" si="57"/>
        <v>—</v>
      </c>
      <c r="L448" t="str">
        <f t="shared" si="58"/>
        <v>R+10.12</v>
      </c>
      <c r="M448">
        <f>COUNTIF($H$31:$H$465,"&gt;"&amp;H448)+COUNTIF($H$31:H448,H448)</f>
        <v>300</v>
      </c>
      <c r="N448" s="7">
        <f t="shared" si="59"/>
        <v>10.120000000000001</v>
      </c>
      <c r="O448">
        <f>COUNTIF($N$31:$N$465,"&lt;"&amp;N448)+COUNTIF($N$31:N448,N448)</f>
        <v>88</v>
      </c>
      <c r="P448" s="10">
        <f>'HOUSE DATA'!M421</f>
        <v>-20.67</v>
      </c>
      <c r="Q448" t="str">
        <f>'HOUSE DATA'!N421</f>
        <v>2024 PRESIDENT (open seat)</v>
      </c>
      <c r="R448" s="10">
        <f t="shared" si="60"/>
        <v>10.55</v>
      </c>
      <c r="S448" s="10">
        <f t="shared" si="61"/>
        <v>11.33434944327718</v>
      </c>
      <c r="T448" s="10">
        <f t="shared" si="62"/>
        <v>-0.78434944327717915</v>
      </c>
      <c r="U448" t="s">
        <v>73</v>
      </c>
      <c r="W448" t="s">
        <v>74</v>
      </c>
      <c r="X448" t="s">
        <v>75</v>
      </c>
    </row>
    <row r="449" spans="1:24" x14ac:dyDescent="0.2">
      <c r="A449" t="str">
        <f>'HOUSE DATA'!A422</f>
        <v>WA-05</v>
      </c>
      <c r="B449" s="10">
        <f>'HOUSE DATA'!B422</f>
        <v>-11.27917234307996</v>
      </c>
      <c r="C449" s="10">
        <f t="shared" si="54"/>
        <v>-0.29999999999999893</v>
      </c>
      <c r="D449" s="10">
        <f>2*('HOUSE DATA'!D422*('HOUSE DASHBOARD'!$B$14-42.4)+'HOUSE DATA'!E422*('HOUSE DASHBOARD'!$B$15-54.2)+'HOUSE DATA'!F422*('HOUSE DASHBOARD'!$B$16-85.4)+'HOUSE DATA'!G422*('HOUSE DASHBOARD'!$B$17-60.7)+'HOUSE DATA'!H422*('HOUSE DASHBOARD'!$B$18-53.5))/100</f>
        <v>0</v>
      </c>
      <c r="E449" s="10">
        <f>2*('HOUSE DATA'!I422*('HOUSE DASHBOARD'!$B$21-55.6)+(100-'HOUSE DATA'!I422)*('HOUSE DASHBOARD'!$B$22-44.9))/100</f>
        <v>0</v>
      </c>
      <c r="F449" s="10">
        <f>0</f>
        <v>0</v>
      </c>
      <c r="G449" s="10">
        <f t="shared" si="55"/>
        <v>0</v>
      </c>
      <c r="H449" s="2">
        <f>'HOUSE DATA'!C422+C449+G449</f>
        <v>-10.36</v>
      </c>
      <c r="I449" s="3" t="str">
        <f t="shared" si="56"/>
        <v>R</v>
      </c>
      <c r="J449" s="1" t="str">
        <f>'HOUSE DATA'!K422</f>
        <v>R</v>
      </c>
      <c r="K449" s="1" t="str">
        <f t="shared" si="57"/>
        <v>—</v>
      </c>
      <c r="L449" t="str">
        <f t="shared" si="58"/>
        <v>R+10.36</v>
      </c>
      <c r="M449">
        <f>COUNTIF($H$31:$H$465,"&gt;"&amp;H449)+COUNTIF($H$31:H449,H449)</f>
        <v>304</v>
      </c>
      <c r="N449" s="7">
        <f t="shared" si="59"/>
        <v>10.36</v>
      </c>
      <c r="O449">
        <f>COUNTIF($N$31:$N$465,"&lt;"&amp;N449)+COUNTIF($N$31:N449,N449)</f>
        <v>93</v>
      </c>
      <c r="P449" s="10">
        <f>'HOUSE DATA'!M422</f>
        <v>-21.32</v>
      </c>
      <c r="Q449" t="str">
        <f>'HOUSE DATA'!N422</f>
        <v>2024 HOUSE / prior substitute</v>
      </c>
      <c r="R449" s="10">
        <f t="shared" si="60"/>
        <v>10.96</v>
      </c>
      <c r="S449" s="10">
        <f t="shared" si="61"/>
        <v>10.04082765692004</v>
      </c>
      <c r="T449" s="10">
        <f t="shared" si="62"/>
        <v>0.91917234307996054</v>
      </c>
      <c r="U449" t="s">
        <v>73</v>
      </c>
      <c r="W449" t="s">
        <v>74</v>
      </c>
      <c r="X449" t="s">
        <v>75</v>
      </c>
    </row>
    <row r="450" spans="1:24" x14ac:dyDescent="0.2">
      <c r="A450" t="str">
        <f>'HOUSE DATA'!A423</f>
        <v>WA-06</v>
      </c>
      <c r="B450" s="10">
        <f>'HOUSE DATA'!B423</f>
        <v>22.711362233601385</v>
      </c>
      <c r="C450" s="10">
        <f t="shared" si="54"/>
        <v>-0.29999999999999893</v>
      </c>
      <c r="D450" s="10">
        <f>2*('HOUSE DATA'!D423*('HOUSE DASHBOARD'!$B$14-42.4)+'HOUSE DATA'!E423*('HOUSE DASHBOARD'!$B$15-54.2)+'HOUSE DATA'!F423*('HOUSE DASHBOARD'!$B$16-85.4)+'HOUSE DATA'!G423*('HOUSE DASHBOARD'!$B$17-60.7)+'HOUSE DATA'!H423*('HOUSE DASHBOARD'!$B$18-53.5))/100</f>
        <v>0</v>
      </c>
      <c r="E450" s="10">
        <f>2*('HOUSE DATA'!I423*('HOUSE DASHBOARD'!$B$21-55.6)+(100-'HOUSE DATA'!I423)*('HOUSE DASHBOARD'!$B$22-44.9))/100</f>
        <v>0</v>
      </c>
      <c r="F450" s="10">
        <f>0</f>
        <v>0</v>
      </c>
      <c r="G450" s="10">
        <f t="shared" si="55"/>
        <v>0</v>
      </c>
      <c r="H450" s="2">
        <f>'HOUSE DATA'!C423+C450+G450</f>
        <v>24.600000000000009</v>
      </c>
      <c r="I450" s="3" t="str">
        <f t="shared" si="56"/>
        <v>D</v>
      </c>
      <c r="J450" s="1" t="str">
        <f>'HOUSE DATA'!K423</f>
        <v>D</v>
      </c>
      <c r="K450" s="1" t="str">
        <f t="shared" si="57"/>
        <v>—</v>
      </c>
      <c r="L450" t="str">
        <f t="shared" si="58"/>
        <v>D+24.60</v>
      </c>
      <c r="M450">
        <f>COUNTIF($H$31:$H$465,"&gt;"&amp;H450)+COUNTIF($H$31:H450,H450)</f>
        <v>144</v>
      </c>
      <c r="N450" s="7">
        <f t="shared" si="59"/>
        <v>24.600000000000009</v>
      </c>
      <c r="O450">
        <f>COUNTIF($N$31:$N$465,"&lt;"&amp;N450)+COUNTIF($N$31:N450,N450)</f>
        <v>237</v>
      </c>
      <c r="P450" s="10">
        <f>'HOUSE DATA'!M423</f>
        <v>13.640000000000008</v>
      </c>
      <c r="Q450" t="str">
        <f>'HOUSE DATA'!N423</f>
        <v>2024 HOUSE / prior substitute</v>
      </c>
      <c r="R450" s="10">
        <f t="shared" si="60"/>
        <v>10.96</v>
      </c>
      <c r="S450" s="10">
        <f t="shared" si="61"/>
        <v>9.0713622336013771</v>
      </c>
      <c r="T450" s="10">
        <f t="shared" si="62"/>
        <v>1.8886377663986238</v>
      </c>
      <c r="U450" t="s">
        <v>73</v>
      </c>
      <c r="W450" t="s">
        <v>74</v>
      </c>
      <c r="X450" t="s">
        <v>75</v>
      </c>
    </row>
    <row r="451" spans="1:24" x14ac:dyDescent="0.2">
      <c r="A451" t="str">
        <f>'HOUSE DATA'!A424</f>
        <v>WA-07</v>
      </c>
      <c r="B451" s="10">
        <f>'HOUSE DATA'!B424</f>
        <v>77.06387865086937</v>
      </c>
      <c r="C451" s="10">
        <f t="shared" si="54"/>
        <v>-0.29999999999999893</v>
      </c>
      <c r="D451" s="10">
        <f>2*('HOUSE DATA'!D424*('HOUSE DASHBOARD'!$B$14-42.4)+'HOUSE DATA'!E424*('HOUSE DASHBOARD'!$B$15-54.2)+'HOUSE DATA'!F424*('HOUSE DASHBOARD'!$B$16-85.4)+'HOUSE DATA'!G424*('HOUSE DASHBOARD'!$B$17-60.7)+'HOUSE DATA'!H424*('HOUSE DASHBOARD'!$B$18-53.5))/100</f>
        <v>0</v>
      </c>
      <c r="E451" s="10">
        <f>2*('HOUSE DATA'!I424*('HOUSE DASHBOARD'!$B$21-55.6)+(100-'HOUSE DATA'!I424)*('HOUSE DASHBOARD'!$B$22-44.9))/100</f>
        <v>0</v>
      </c>
      <c r="F451" s="10">
        <f>0</f>
        <v>0</v>
      </c>
      <c r="G451" s="10">
        <f t="shared" si="55"/>
        <v>0</v>
      </c>
      <c r="H451" s="2">
        <f>'HOUSE DATA'!C424+C451+G451</f>
        <v>79.319999999999979</v>
      </c>
      <c r="I451" s="3" t="str">
        <f t="shared" si="56"/>
        <v>D</v>
      </c>
      <c r="J451" s="1" t="str">
        <f>'HOUSE DATA'!K424</f>
        <v>D</v>
      </c>
      <c r="K451" s="1" t="str">
        <f t="shared" si="57"/>
        <v>—</v>
      </c>
      <c r="L451" t="str">
        <f t="shared" si="58"/>
        <v>D+79.32</v>
      </c>
      <c r="M451">
        <f>COUNTIF($H$31:$H$465,"&gt;"&amp;H451)+COUNTIF($H$31:H451,H451)</f>
        <v>5</v>
      </c>
      <c r="N451" s="7">
        <f t="shared" si="59"/>
        <v>79.319999999999979</v>
      </c>
      <c r="O451">
        <f>COUNTIF($N$31:$N$465,"&lt;"&amp;N451)+COUNTIF($N$31:N451,N451)</f>
        <v>418</v>
      </c>
      <c r="P451" s="10">
        <f>'HOUSE DATA'!M424</f>
        <v>68.359999999999985</v>
      </c>
      <c r="Q451" t="str">
        <f>'HOUSE DATA'!N424</f>
        <v>2024 HOUSE / prior substitute</v>
      </c>
      <c r="R451" s="10">
        <f t="shared" si="60"/>
        <v>10.959999999999994</v>
      </c>
      <c r="S451" s="10">
        <f t="shared" si="61"/>
        <v>8.7038786508693846</v>
      </c>
      <c r="T451" s="10">
        <f t="shared" si="62"/>
        <v>2.2561213491306091</v>
      </c>
      <c r="U451" t="s">
        <v>73</v>
      </c>
      <c r="W451" t="s">
        <v>74</v>
      </c>
      <c r="X451" t="s">
        <v>75</v>
      </c>
    </row>
    <row r="452" spans="1:24" x14ac:dyDescent="0.2">
      <c r="A452" t="str">
        <f>'HOUSE DATA'!A425</f>
        <v>WA-08</v>
      </c>
      <c r="B452" s="10">
        <f>'HOUSE DATA'!B425</f>
        <v>16.508951440424369</v>
      </c>
      <c r="C452" s="10">
        <f t="shared" si="54"/>
        <v>-0.29999999999999893</v>
      </c>
      <c r="D452" s="10">
        <f>2*('HOUSE DATA'!D425*('HOUSE DASHBOARD'!$B$14-42.4)+'HOUSE DATA'!E425*('HOUSE DASHBOARD'!$B$15-54.2)+'HOUSE DATA'!F425*('HOUSE DASHBOARD'!$B$16-85.4)+'HOUSE DATA'!G425*('HOUSE DASHBOARD'!$B$17-60.7)+'HOUSE DATA'!H425*('HOUSE DASHBOARD'!$B$18-53.5))/100</f>
        <v>0</v>
      </c>
      <c r="E452" s="10">
        <f>2*('HOUSE DATA'!I425*('HOUSE DASHBOARD'!$B$21-55.6)+(100-'HOUSE DATA'!I425)*('HOUSE DASHBOARD'!$B$22-44.9))/100</f>
        <v>0</v>
      </c>
      <c r="F452" s="10">
        <f>0</f>
        <v>0</v>
      </c>
      <c r="G452" s="10">
        <f t="shared" si="55"/>
        <v>0</v>
      </c>
      <c r="H452" s="2">
        <f>'HOUSE DATA'!C425+C452+G452</f>
        <v>19.14</v>
      </c>
      <c r="I452" s="3" t="str">
        <f t="shared" si="56"/>
        <v>D</v>
      </c>
      <c r="J452" s="1" t="str">
        <f>'HOUSE DATA'!K425</f>
        <v>D</v>
      </c>
      <c r="K452" s="1" t="str">
        <f t="shared" si="57"/>
        <v>—</v>
      </c>
      <c r="L452" t="str">
        <f t="shared" si="58"/>
        <v>D+19.14</v>
      </c>
      <c r="M452">
        <f>COUNTIF($H$31:$H$465,"&gt;"&amp;H452)+COUNTIF($H$31:H452,H452)</f>
        <v>176</v>
      </c>
      <c r="N452" s="7">
        <f t="shared" si="59"/>
        <v>19.14</v>
      </c>
      <c r="O452">
        <f>COUNTIF($N$31:$N$465,"&lt;"&amp;N452)+COUNTIF($N$31:N452,N452)</f>
        <v>178</v>
      </c>
      <c r="P452" s="10">
        <f>'HOUSE DATA'!M425</f>
        <v>8.18</v>
      </c>
      <c r="Q452" t="str">
        <f>'HOUSE DATA'!N425</f>
        <v>2024 HOUSE / prior substitute</v>
      </c>
      <c r="R452" s="10">
        <f t="shared" si="60"/>
        <v>10.96</v>
      </c>
      <c r="S452" s="10">
        <f t="shared" si="61"/>
        <v>8.328951440424369</v>
      </c>
      <c r="T452" s="10">
        <f t="shared" si="62"/>
        <v>2.6310485595756319</v>
      </c>
      <c r="U452" t="s">
        <v>73</v>
      </c>
      <c r="W452" t="s">
        <v>74</v>
      </c>
      <c r="X452" t="s">
        <v>75</v>
      </c>
    </row>
    <row r="453" spans="1:24" x14ac:dyDescent="0.2">
      <c r="A453" t="str">
        <f>'HOUSE DATA'!A426</f>
        <v>WA-09</v>
      </c>
      <c r="B453" s="10">
        <f>'HOUSE DATA'!B426</f>
        <v>53.225573738408343</v>
      </c>
      <c r="C453" s="10">
        <f t="shared" si="54"/>
        <v>-0.29999999999999893</v>
      </c>
      <c r="D453" s="10">
        <f>2*('HOUSE DATA'!D426*('HOUSE DASHBOARD'!$B$14-42.4)+'HOUSE DATA'!E426*('HOUSE DASHBOARD'!$B$15-54.2)+'HOUSE DATA'!F426*('HOUSE DASHBOARD'!$B$16-85.4)+'HOUSE DATA'!G426*('HOUSE DASHBOARD'!$B$17-60.7)+'HOUSE DATA'!H426*('HOUSE DASHBOARD'!$B$18-53.5))/100</f>
        <v>0</v>
      </c>
      <c r="E453" s="10">
        <f>2*('HOUSE DATA'!I426*('HOUSE DASHBOARD'!$B$21-55.6)+(100-'HOUSE DATA'!I426)*('HOUSE DASHBOARD'!$B$22-44.9))/100</f>
        <v>0</v>
      </c>
      <c r="F453" s="10">
        <f>0</f>
        <v>0</v>
      </c>
      <c r="G453" s="10">
        <f t="shared" si="55"/>
        <v>0</v>
      </c>
      <c r="H453" s="2">
        <f>'HOUSE DATA'!C426+C453+G453</f>
        <v>53.220000000000006</v>
      </c>
      <c r="I453" s="3" t="str">
        <f t="shared" si="56"/>
        <v>D</v>
      </c>
      <c r="J453" s="1" t="str">
        <f>'HOUSE DATA'!K426</f>
        <v>D</v>
      </c>
      <c r="K453" s="1" t="str">
        <f t="shared" si="57"/>
        <v>—</v>
      </c>
      <c r="L453" t="str">
        <f t="shared" si="58"/>
        <v>D+53.22</v>
      </c>
      <c r="M453">
        <f>COUNTIF($H$31:$H$465,"&gt;"&amp;H453)+COUNTIF($H$31:H453,H453)</f>
        <v>48</v>
      </c>
      <c r="N453" s="7">
        <f t="shared" si="59"/>
        <v>53.220000000000006</v>
      </c>
      <c r="O453">
        <f>COUNTIF($N$31:$N$465,"&lt;"&amp;N453)+COUNTIF($N$31:N453,N453)</f>
        <v>378</v>
      </c>
      <c r="P453" s="10">
        <f>'HOUSE DATA'!M426</f>
        <v>42.260000000000005</v>
      </c>
      <c r="Q453" t="str">
        <f>'HOUSE DATA'!N426</f>
        <v>2024 HOUSE / prior substitute</v>
      </c>
      <c r="R453" s="10">
        <f t="shared" si="60"/>
        <v>10.96</v>
      </c>
      <c r="S453" s="10">
        <f t="shared" si="61"/>
        <v>10.965573738408338</v>
      </c>
      <c r="T453" s="10">
        <f t="shared" si="62"/>
        <v>-5.5737384083371921E-3</v>
      </c>
      <c r="U453" t="s">
        <v>73</v>
      </c>
      <c r="W453" t="s">
        <v>74</v>
      </c>
      <c r="X453" t="s">
        <v>75</v>
      </c>
    </row>
    <row r="454" spans="1:24" x14ac:dyDescent="0.2">
      <c r="A454" t="str">
        <f>'HOUSE DATA'!A427</f>
        <v>WA-10</v>
      </c>
      <c r="B454" s="10">
        <f>'HOUSE DATA'!B427</f>
        <v>27.014953311123072</v>
      </c>
      <c r="C454" s="10">
        <f t="shared" si="54"/>
        <v>-0.29999999999999893</v>
      </c>
      <c r="D454" s="10">
        <f>2*('HOUSE DATA'!D427*('HOUSE DASHBOARD'!$B$14-42.4)+'HOUSE DATA'!E427*('HOUSE DASHBOARD'!$B$15-54.2)+'HOUSE DATA'!F427*('HOUSE DASHBOARD'!$B$16-85.4)+'HOUSE DATA'!G427*('HOUSE DASHBOARD'!$B$17-60.7)+'HOUSE DATA'!H427*('HOUSE DASHBOARD'!$B$18-53.5))/100</f>
        <v>0</v>
      </c>
      <c r="E454" s="10">
        <f>2*('HOUSE DATA'!I427*('HOUSE DASHBOARD'!$B$21-55.6)+(100-'HOUSE DATA'!I427)*('HOUSE DASHBOARD'!$B$22-44.9))/100</f>
        <v>0</v>
      </c>
      <c r="F454" s="10">
        <f>0</f>
        <v>0</v>
      </c>
      <c r="G454" s="10">
        <f t="shared" si="55"/>
        <v>0</v>
      </c>
      <c r="H454" s="2">
        <f>'HOUSE DATA'!C427+C454+G454</f>
        <v>28.300000000000004</v>
      </c>
      <c r="I454" s="3" t="str">
        <f t="shared" si="56"/>
        <v>D</v>
      </c>
      <c r="J454" s="1" t="str">
        <f>'HOUSE DATA'!K427</f>
        <v>D</v>
      </c>
      <c r="K454" s="1" t="str">
        <f t="shared" si="57"/>
        <v>—</v>
      </c>
      <c r="L454" t="str">
        <f t="shared" si="58"/>
        <v>D+28.30</v>
      </c>
      <c r="M454">
        <f>COUNTIF($H$31:$H$465,"&gt;"&amp;H454)+COUNTIF($H$31:H454,H454)</f>
        <v>128</v>
      </c>
      <c r="N454" s="7">
        <f t="shared" si="59"/>
        <v>28.300000000000004</v>
      </c>
      <c r="O454">
        <f>COUNTIF($N$31:$N$465,"&lt;"&amp;N454)+COUNTIF($N$31:N454,N454)</f>
        <v>264</v>
      </c>
      <c r="P454" s="10">
        <f>'HOUSE DATA'!M427</f>
        <v>17.340000000000003</v>
      </c>
      <c r="Q454" t="str">
        <f>'HOUSE DATA'!N427</f>
        <v>2024 HOUSE / prior substitute</v>
      </c>
      <c r="R454" s="10">
        <f t="shared" si="60"/>
        <v>10.96</v>
      </c>
      <c r="S454" s="10">
        <f t="shared" si="61"/>
        <v>9.674953311123069</v>
      </c>
      <c r="T454" s="10">
        <f t="shared" si="62"/>
        <v>1.2850466888769319</v>
      </c>
      <c r="U454" t="s">
        <v>73</v>
      </c>
      <c r="W454" t="s">
        <v>74</v>
      </c>
      <c r="X454" t="s">
        <v>75</v>
      </c>
    </row>
    <row r="455" spans="1:24" x14ac:dyDescent="0.2">
      <c r="A455" t="str">
        <f>'HOUSE DATA'!A428</f>
        <v>WI-01</v>
      </c>
      <c r="B455" s="10">
        <f>'HOUSE DATA'!B428</f>
        <v>-0.52507848157236614</v>
      </c>
      <c r="C455" s="10">
        <f t="shared" si="54"/>
        <v>-0.29999999999999893</v>
      </c>
      <c r="D455" s="10">
        <f>2*('HOUSE DATA'!D428*('HOUSE DASHBOARD'!$B$14-42.4)+'HOUSE DATA'!E428*('HOUSE DASHBOARD'!$B$15-54.2)+'HOUSE DATA'!F428*('HOUSE DASHBOARD'!$B$16-85.4)+'HOUSE DATA'!G428*('HOUSE DASHBOARD'!$B$17-60.7)+'HOUSE DATA'!H428*('HOUSE DASHBOARD'!$B$18-53.5))/100</f>
        <v>0</v>
      </c>
      <c r="E455" s="10">
        <f>2*('HOUSE DATA'!I428*('HOUSE DASHBOARD'!$B$21-55.6)+(100-'HOUSE DATA'!I428)*('HOUSE DASHBOARD'!$B$22-44.9))/100</f>
        <v>0</v>
      </c>
      <c r="F455" s="10">
        <f>0</f>
        <v>0</v>
      </c>
      <c r="G455" s="10">
        <f t="shared" si="55"/>
        <v>0</v>
      </c>
      <c r="H455" s="2">
        <f>'HOUSE DATA'!C428+C455+G455</f>
        <v>0.53999999999999893</v>
      </c>
      <c r="I455" s="3" t="str">
        <f t="shared" si="56"/>
        <v>D</v>
      </c>
      <c r="J455" s="1" t="str">
        <f>'HOUSE DATA'!K428</f>
        <v>R</v>
      </c>
      <c r="K455" s="1" t="str">
        <f t="shared" si="57"/>
        <v>R → D</v>
      </c>
      <c r="L455" t="str">
        <f t="shared" si="58"/>
        <v>D+0.54</v>
      </c>
      <c r="M455">
        <f>COUNTIF($H$31:$H$465,"&gt;"&amp;H455)+COUNTIF($H$31:H455,H455)</f>
        <v>234</v>
      </c>
      <c r="N455" s="7">
        <f t="shared" si="59"/>
        <v>0.53999999999999893</v>
      </c>
      <c r="O455">
        <f>COUNTIF($N$31:$N$465,"&lt;"&amp;N455)+COUNTIF($N$31:N455,N455)</f>
        <v>6</v>
      </c>
      <c r="P455" s="10">
        <f>'HOUSE DATA'!M428</f>
        <v>-10.420000000000002</v>
      </c>
      <c r="Q455" t="str">
        <f>'HOUSE DATA'!N428</f>
        <v>2024 HOUSE / prior substitute</v>
      </c>
      <c r="R455" s="10">
        <f t="shared" si="60"/>
        <v>10.96</v>
      </c>
      <c r="S455" s="10">
        <f t="shared" si="61"/>
        <v>9.8949215184276351</v>
      </c>
      <c r="T455" s="10">
        <f t="shared" si="62"/>
        <v>1.0650784815723651</v>
      </c>
      <c r="U455" t="s">
        <v>73</v>
      </c>
      <c r="W455" t="s">
        <v>74</v>
      </c>
      <c r="X455" t="s">
        <v>75</v>
      </c>
    </row>
    <row r="456" spans="1:24" x14ac:dyDescent="0.2">
      <c r="A456" t="str">
        <f>'HOUSE DATA'!A429</f>
        <v>WI-02</v>
      </c>
      <c r="B456" s="10">
        <f>'HOUSE DATA'!B429</f>
        <v>48.887020094361858</v>
      </c>
      <c r="C456" s="10">
        <f t="shared" si="54"/>
        <v>-0.29999999999999893</v>
      </c>
      <c r="D456" s="10">
        <f>2*('HOUSE DATA'!D429*('HOUSE DASHBOARD'!$B$14-42.4)+'HOUSE DATA'!E429*('HOUSE DASHBOARD'!$B$15-54.2)+'HOUSE DATA'!F429*('HOUSE DASHBOARD'!$B$16-85.4)+'HOUSE DATA'!G429*('HOUSE DASHBOARD'!$B$17-60.7)+'HOUSE DATA'!H429*('HOUSE DASHBOARD'!$B$18-53.5))/100</f>
        <v>0</v>
      </c>
      <c r="E456" s="10">
        <f>2*('HOUSE DATA'!I429*('HOUSE DASHBOARD'!$B$21-55.6)+(100-'HOUSE DATA'!I429)*('HOUSE DASHBOARD'!$B$22-44.9))/100</f>
        <v>0</v>
      </c>
      <c r="F456" s="10">
        <f>0</f>
        <v>0</v>
      </c>
      <c r="G456" s="10">
        <f t="shared" si="55"/>
        <v>0</v>
      </c>
      <c r="H456" s="2">
        <f>'HOUSE DATA'!C429+C456+G456</f>
        <v>51.24</v>
      </c>
      <c r="I456" s="3" t="str">
        <f t="shared" si="56"/>
        <v>D</v>
      </c>
      <c r="J456" s="1" t="str">
        <f>'HOUSE DATA'!K429</f>
        <v>D</v>
      </c>
      <c r="K456" s="1" t="str">
        <f t="shared" si="57"/>
        <v>—</v>
      </c>
      <c r="L456" t="str">
        <f t="shared" si="58"/>
        <v>D — BALLOT LOCK</v>
      </c>
      <c r="M456">
        <f>COUNTIF($H$31:$H$465,"&gt;"&amp;H456)+COUNTIF($H$31:H456,H456)</f>
        <v>57</v>
      </c>
      <c r="N456" s="7">
        <f t="shared" si="59"/>
        <v>100</v>
      </c>
      <c r="O456">
        <f>COUNTIF($N$31:$N$465,"&lt;"&amp;N456)+COUNTIF($N$31:N456,N456)</f>
        <v>435</v>
      </c>
      <c r="P456" s="10">
        <f>'HOUSE DATA'!M429</f>
        <v>40.28</v>
      </c>
      <c r="Q456" t="str">
        <f>'HOUSE DATA'!N429</f>
        <v>2024 HOUSE / prior substitute</v>
      </c>
      <c r="R456" s="10">
        <f t="shared" si="60"/>
        <v>10.96</v>
      </c>
      <c r="S456" s="10">
        <f t="shared" si="61"/>
        <v>8.6070200943618573</v>
      </c>
      <c r="T456" s="10">
        <f t="shared" si="62"/>
        <v>2.3529799056381435</v>
      </c>
      <c r="U456" t="s">
        <v>84</v>
      </c>
      <c r="V456" t="s">
        <v>77</v>
      </c>
      <c r="W456" t="s">
        <v>85</v>
      </c>
      <c r="X456" t="s">
        <v>86</v>
      </c>
    </row>
    <row r="457" spans="1:24" x14ac:dyDescent="0.2">
      <c r="A457" t="str">
        <f>'HOUSE DATA'!A430</f>
        <v>WI-03</v>
      </c>
      <c r="B457" s="10">
        <f>'HOUSE DATA'!B430</f>
        <v>6.8501556841868778</v>
      </c>
      <c r="C457" s="10">
        <f t="shared" si="54"/>
        <v>-0.29999999999999893</v>
      </c>
      <c r="D457" s="10">
        <f>2*('HOUSE DATA'!D430*('HOUSE DASHBOARD'!$B$14-42.4)+'HOUSE DATA'!E430*('HOUSE DASHBOARD'!$B$15-54.2)+'HOUSE DATA'!F430*('HOUSE DASHBOARD'!$B$16-85.4)+'HOUSE DATA'!G430*('HOUSE DASHBOARD'!$B$17-60.7)+'HOUSE DATA'!H430*('HOUSE DASHBOARD'!$B$18-53.5))/100</f>
        <v>0</v>
      </c>
      <c r="E457" s="10">
        <f>2*('HOUSE DATA'!I430*('HOUSE DASHBOARD'!$B$21-55.6)+(100-'HOUSE DATA'!I430)*('HOUSE DASHBOARD'!$B$22-44.9))/100</f>
        <v>0</v>
      </c>
      <c r="F457" s="10">
        <f>0</f>
        <v>0</v>
      </c>
      <c r="G457" s="10">
        <f t="shared" si="55"/>
        <v>0</v>
      </c>
      <c r="H457" s="2">
        <f>'HOUSE DATA'!C430+C457+G457</f>
        <v>8.2400000000000091</v>
      </c>
      <c r="I457" s="3" t="str">
        <f t="shared" si="56"/>
        <v>D</v>
      </c>
      <c r="J457" s="1" t="str">
        <f>'HOUSE DATA'!K430</f>
        <v>R</v>
      </c>
      <c r="K457" s="1" t="str">
        <f t="shared" si="57"/>
        <v>R → D</v>
      </c>
      <c r="L457" t="str">
        <f t="shared" si="58"/>
        <v>D+8.24</v>
      </c>
      <c r="M457">
        <f>COUNTIF($H$31:$H$465,"&gt;"&amp;H457)+COUNTIF($H$31:H457,H457)</f>
        <v>218</v>
      </c>
      <c r="N457" s="7">
        <f t="shared" si="59"/>
        <v>8.2400000000000091</v>
      </c>
      <c r="O457">
        <f>COUNTIF($N$31:$N$465,"&lt;"&amp;N457)+COUNTIF($N$31:N457,N457)</f>
        <v>67</v>
      </c>
      <c r="P457" s="10">
        <f>'HOUSE DATA'!M430</f>
        <v>-2.7199999999999918</v>
      </c>
      <c r="Q457" t="str">
        <f>'HOUSE DATA'!N430</f>
        <v>2024 HOUSE / prior substitute</v>
      </c>
      <c r="R457" s="10">
        <f t="shared" si="60"/>
        <v>10.96</v>
      </c>
      <c r="S457" s="10">
        <f t="shared" si="61"/>
        <v>9.5701556841868687</v>
      </c>
      <c r="T457" s="10">
        <f t="shared" si="62"/>
        <v>1.3898443158131313</v>
      </c>
      <c r="U457" t="s">
        <v>73</v>
      </c>
      <c r="W457" t="s">
        <v>74</v>
      </c>
      <c r="X457" t="s">
        <v>75</v>
      </c>
    </row>
    <row r="458" spans="1:24" x14ac:dyDescent="0.2">
      <c r="A458" t="str">
        <f>'HOUSE DATA'!A431</f>
        <v>WI-04</v>
      </c>
      <c r="B458" s="10">
        <f>'HOUSE DATA'!B431</f>
        <v>66.682430091693817</v>
      </c>
      <c r="C458" s="10">
        <f t="shared" si="54"/>
        <v>-0.29999999999999893</v>
      </c>
      <c r="D458" s="10">
        <f>2*('HOUSE DATA'!D431*('HOUSE DASHBOARD'!$B$14-42.4)+'HOUSE DATA'!E431*('HOUSE DASHBOARD'!$B$15-54.2)+'HOUSE DATA'!F431*('HOUSE DASHBOARD'!$B$16-85.4)+'HOUSE DATA'!G431*('HOUSE DASHBOARD'!$B$17-60.7)+'HOUSE DATA'!H431*('HOUSE DASHBOARD'!$B$18-53.5))/100</f>
        <v>0</v>
      </c>
      <c r="E458" s="10">
        <f>2*('HOUSE DATA'!I431*('HOUSE DASHBOARD'!$B$21-55.6)+(100-'HOUSE DATA'!I431)*('HOUSE DASHBOARD'!$B$22-44.9))/100</f>
        <v>0</v>
      </c>
      <c r="F458" s="10">
        <f>0</f>
        <v>0</v>
      </c>
      <c r="G458" s="10">
        <f t="shared" si="55"/>
        <v>0</v>
      </c>
      <c r="H458" s="2">
        <f>'HOUSE DATA'!C431+C458+G458</f>
        <v>64.839999999999989</v>
      </c>
      <c r="I458" s="3" t="str">
        <f t="shared" si="56"/>
        <v>D</v>
      </c>
      <c r="J458" s="1" t="str">
        <f>'HOUSE DATA'!K431</f>
        <v>D</v>
      </c>
      <c r="K458" s="1" t="str">
        <f t="shared" si="57"/>
        <v>—</v>
      </c>
      <c r="L458" t="str">
        <f t="shared" si="58"/>
        <v>D+64.84</v>
      </c>
      <c r="M458">
        <f>COUNTIF($H$31:$H$465,"&gt;"&amp;H458)+COUNTIF($H$31:H458,H458)</f>
        <v>24</v>
      </c>
      <c r="N458" s="7">
        <f t="shared" si="59"/>
        <v>64.839999999999989</v>
      </c>
      <c r="O458">
        <f>COUNTIF($N$31:$N$465,"&lt;"&amp;N458)+COUNTIF($N$31:N458,N458)</f>
        <v>402</v>
      </c>
      <c r="P458" s="10">
        <f>'HOUSE DATA'!M431</f>
        <v>53.879999999999995</v>
      </c>
      <c r="Q458" t="str">
        <f>'HOUSE DATA'!N431</f>
        <v>2024 HOUSE / prior substitute</v>
      </c>
      <c r="R458" s="10">
        <f t="shared" si="60"/>
        <v>10.959999999999994</v>
      </c>
      <c r="S458" s="10">
        <f t="shared" si="61"/>
        <v>12.802430091693822</v>
      </c>
      <c r="T458" s="10">
        <f t="shared" si="62"/>
        <v>-1.8424300916938279</v>
      </c>
      <c r="U458" t="s">
        <v>73</v>
      </c>
      <c r="W458" t="s">
        <v>74</v>
      </c>
      <c r="X458" t="s">
        <v>75</v>
      </c>
    </row>
    <row r="459" spans="1:24" x14ac:dyDescent="0.2">
      <c r="A459" t="str">
        <f>'HOUSE DATA'!A432</f>
        <v>WI-05</v>
      </c>
      <c r="B459" s="10">
        <f>'HOUSE DATA'!B432</f>
        <v>-21.050064497400669</v>
      </c>
      <c r="C459" s="10">
        <f t="shared" si="54"/>
        <v>-0.29999999999999893</v>
      </c>
      <c r="D459" s="10">
        <f>2*('HOUSE DATA'!D432*('HOUSE DASHBOARD'!$B$14-42.4)+'HOUSE DATA'!E432*('HOUSE DASHBOARD'!$B$15-54.2)+'HOUSE DATA'!F432*('HOUSE DASHBOARD'!$B$16-85.4)+'HOUSE DATA'!G432*('HOUSE DASHBOARD'!$B$17-60.7)+'HOUSE DATA'!H432*('HOUSE DASHBOARD'!$B$18-53.5))/100</f>
        <v>0</v>
      </c>
      <c r="E459" s="10">
        <f>2*('HOUSE DATA'!I432*('HOUSE DASHBOARD'!$B$21-55.6)+(100-'HOUSE DATA'!I432)*('HOUSE DASHBOARD'!$B$22-44.9))/100</f>
        <v>0</v>
      </c>
      <c r="F459" s="10">
        <f>0</f>
        <v>0</v>
      </c>
      <c r="G459" s="10">
        <f t="shared" si="55"/>
        <v>0</v>
      </c>
      <c r="H459" s="2">
        <f>'HOUSE DATA'!C432+C459+G459</f>
        <v>-17.979999999999997</v>
      </c>
      <c r="I459" s="3" t="str">
        <f t="shared" si="56"/>
        <v>R</v>
      </c>
      <c r="J459" s="1" t="str">
        <f>'HOUSE DATA'!K432</f>
        <v>R</v>
      </c>
      <c r="K459" s="1" t="str">
        <f t="shared" si="57"/>
        <v>—</v>
      </c>
      <c r="L459" t="str">
        <f t="shared" si="58"/>
        <v>R+17.98</v>
      </c>
      <c r="M459">
        <f>COUNTIF($H$31:$H$465,"&gt;"&amp;H459)+COUNTIF($H$31:H459,H459)</f>
        <v>346</v>
      </c>
      <c r="N459" s="7">
        <f t="shared" si="59"/>
        <v>17.979999999999997</v>
      </c>
      <c r="O459">
        <f>COUNTIF($N$31:$N$465,"&lt;"&amp;N459)+COUNTIF($N$31:N459,N459)</f>
        <v>162</v>
      </c>
      <c r="P459" s="10">
        <f>'HOUSE DATA'!M432</f>
        <v>-28.939999999999998</v>
      </c>
      <c r="Q459" t="str">
        <f>'HOUSE DATA'!N432</f>
        <v>2024 HOUSE / prior substitute</v>
      </c>
      <c r="R459" s="10">
        <f t="shared" si="60"/>
        <v>10.96</v>
      </c>
      <c r="S459" s="10">
        <f t="shared" si="61"/>
        <v>7.8899355025993287</v>
      </c>
      <c r="T459" s="10">
        <f t="shared" si="62"/>
        <v>3.0700644974006721</v>
      </c>
      <c r="U459" t="s">
        <v>73</v>
      </c>
      <c r="W459" t="s">
        <v>74</v>
      </c>
      <c r="X459" t="s">
        <v>75</v>
      </c>
    </row>
    <row r="460" spans="1:24" x14ac:dyDescent="0.2">
      <c r="A460" t="str">
        <f>'HOUSE DATA'!A433</f>
        <v>WI-06</v>
      </c>
      <c r="B460" s="10">
        <f>'HOUSE DATA'!B433</f>
        <v>-12.944945535682844</v>
      </c>
      <c r="C460" s="10">
        <f t="shared" si="54"/>
        <v>-0.29999999999999893</v>
      </c>
      <c r="D460" s="10">
        <f>2*('HOUSE DATA'!D433*('HOUSE DASHBOARD'!$B$14-42.4)+'HOUSE DATA'!E433*('HOUSE DASHBOARD'!$B$15-54.2)+'HOUSE DATA'!F433*('HOUSE DASHBOARD'!$B$16-85.4)+'HOUSE DATA'!G433*('HOUSE DASHBOARD'!$B$17-60.7)+'HOUSE DATA'!H433*('HOUSE DASHBOARD'!$B$18-53.5))/100</f>
        <v>0</v>
      </c>
      <c r="E460" s="10">
        <f>2*('HOUSE DATA'!I433*('HOUSE DASHBOARD'!$B$21-55.6)+(100-'HOUSE DATA'!I433)*('HOUSE DASHBOARD'!$B$22-44.9))/100</f>
        <v>0</v>
      </c>
      <c r="F460" s="10">
        <f>0</f>
        <v>0</v>
      </c>
      <c r="G460" s="10">
        <f t="shared" si="55"/>
        <v>0</v>
      </c>
      <c r="H460" s="2">
        <f>'HOUSE DATA'!C433+C460+G460</f>
        <v>-11.639999999999993</v>
      </c>
      <c r="I460" s="3" t="str">
        <f t="shared" si="56"/>
        <v>R</v>
      </c>
      <c r="J460" s="1" t="str">
        <f>'HOUSE DATA'!K433</f>
        <v>R</v>
      </c>
      <c r="K460" s="1" t="str">
        <f t="shared" si="57"/>
        <v>—</v>
      </c>
      <c r="L460" t="str">
        <f t="shared" si="58"/>
        <v>R+11.64</v>
      </c>
      <c r="M460">
        <f>COUNTIF($H$31:$H$465,"&gt;"&amp;H460)+COUNTIF($H$31:H460,H460)</f>
        <v>314</v>
      </c>
      <c r="N460" s="7">
        <f t="shared" si="59"/>
        <v>11.639999999999993</v>
      </c>
      <c r="O460">
        <f>COUNTIF($N$31:$N$465,"&lt;"&amp;N460)+COUNTIF($N$31:N460,N460)</f>
        <v>105</v>
      </c>
      <c r="P460" s="10">
        <f>'HOUSE DATA'!M433</f>
        <v>-22.599999999999994</v>
      </c>
      <c r="Q460" t="str">
        <f>'HOUSE DATA'!N433</f>
        <v>2024 HOUSE / prior substitute</v>
      </c>
      <c r="R460" s="10">
        <f t="shared" si="60"/>
        <v>10.96</v>
      </c>
      <c r="S460" s="10">
        <f t="shared" si="61"/>
        <v>9.6550544643171499</v>
      </c>
      <c r="T460" s="10">
        <f t="shared" si="62"/>
        <v>1.304945535682851</v>
      </c>
      <c r="U460" t="s">
        <v>73</v>
      </c>
      <c r="W460" t="s">
        <v>74</v>
      </c>
      <c r="X460" t="s">
        <v>75</v>
      </c>
    </row>
    <row r="461" spans="1:24" x14ac:dyDescent="0.2">
      <c r="A461" t="str">
        <f>'HOUSE DATA'!A434</f>
        <v>WI-07</v>
      </c>
      <c r="B461" s="10">
        <f>'HOUSE DATA'!B434</f>
        <v>-12.89636584628253</v>
      </c>
      <c r="C461" s="10">
        <f t="shared" si="54"/>
        <v>-0.29999999999999893</v>
      </c>
      <c r="D461" s="10">
        <f>2*('HOUSE DATA'!D434*('HOUSE DASHBOARD'!$B$14-42.4)+'HOUSE DATA'!E434*('HOUSE DASHBOARD'!$B$15-54.2)+'HOUSE DATA'!F434*('HOUSE DASHBOARD'!$B$16-85.4)+'HOUSE DATA'!G434*('HOUSE DASHBOARD'!$B$17-60.7)+'HOUSE DATA'!H434*('HOUSE DASHBOARD'!$B$18-53.5))/100</f>
        <v>0</v>
      </c>
      <c r="E461" s="10">
        <f>2*('HOUSE DATA'!I434*('HOUSE DASHBOARD'!$B$21-55.6)+(100-'HOUSE DATA'!I434)*('HOUSE DASHBOARD'!$B$22-44.9))/100</f>
        <v>0</v>
      </c>
      <c r="F461" s="10">
        <f>0</f>
        <v>0</v>
      </c>
      <c r="G461" s="10">
        <f t="shared" si="55"/>
        <v>0</v>
      </c>
      <c r="H461" s="2">
        <f>'HOUSE DATA'!C434+C461+G461</f>
        <v>-11.95</v>
      </c>
      <c r="I461" s="3" t="str">
        <f t="shared" si="56"/>
        <v>R</v>
      </c>
      <c r="J461" s="1" t="str">
        <f>'HOUSE DATA'!K434</f>
        <v>R</v>
      </c>
      <c r="K461" s="1" t="str">
        <f t="shared" si="57"/>
        <v>—</v>
      </c>
      <c r="L461" t="str">
        <f t="shared" si="58"/>
        <v>R+11.95</v>
      </c>
      <c r="M461">
        <f>COUNTIF($H$31:$H$465,"&gt;"&amp;H461)+COUNTIF($H$31:H461,H461)</f>
        <v>317</v>
      </c>
      <c r="N461" s="7">
        <f t="shared" si="59"/>
        <v>11.95</v>
      </c>
      <c r="O461">
        <f>COUNTIF($N$31:$N$465,"&lt;"&amp;N461)+COUNTIF($N$31:N461,N461)</f>
        <v>108</v>
      </c>
      <c r="P461" s="10">
        <f>'HOUSE DATA'!M434</f>
        <v>-22.5</v>
      </c>
      <c r="Q461" t="str">
        <f>'HOUSE DATA'!N434</f>
        <v>2024 PRESIDENT (open seat)</v>
      </c>
      <c r="R461" s="10">
        <f t="shared" si="60"/>
        <v>10.55</v>
      </c>
      <c r="S461" s="10">
        <f t="shared" si="61"/>
        <v>9.6036341537174703</v>
      </c>
      <c r="T461" s="10">
        <f t="shared" si="62"/>
        <v>0.9463658462825304</v>
      </c>
      <c r="U461" t="s">
        <v>73</v>
      </c>
      <c r="W461" t="s">
        <v>74</v>
      </c>
      <c r="X461" t="s">
        <v>75</v>
      </c>
    </row>
    <row r="462" spans="1:24" x14ac:dyDescent="0.2">
      <c r="A462" t="str">
        <f>'HOUSE DATA'!A435</f>
        <v>WI-08</v>
      </c>
      <c r="B462" s="10">
        <f>'HOUSE DATA'!B435</f>
        <v>-5.3065780827428117</v>
      </c>
      <c r="C462" s="10">
        <f t="shared" si="54"/>
        <v>-0.29999999999999893</v>
      </c>
      <c r="D462" s="10">
        <f>2*('HOUSE DATA'!D435*('HOUSE DASHBOARD'!$B$14-42.4)+'HOUSE DATA'!E435*('HOUSE DASHBOARD'!$B$15-54.2)+'HOUSE DATA'!F435*('HOUSE DASHBOARD'!$B$16-85.4)+'HOUSE DATA'!G435*('HOUSE DASHBOARD'!$B$17-60.7)+'HOUSE DATA'!H435*('HOUSE DASHBOARD'!$B$18-53.5))/100</f>
        <v>0</v>
      </c>
      <c r="E462" s="10">
        <f>2*('HOUSE DATA'!I435*('HOUSE DASHBOARD'!$B$21-55.6)+(100-'HOUSE DATA'!I435)*('HOUSE DASHBOARD'!$B$22-44.9))/100</f>
        <v>0</v>
      </c>
      <c r="F462" s="10">
        <f>0</f>
        <v>0</v>
      </c>
      <c r="G462" s="10">
        <f t="shared" si="55"/>
        <v>0</v>
      </c>
      <c r="H462" s="2">
        <f>'HOUSE DATA'!C435+C462+G462</f>
        <v>-3.7000000000000028</v>
      </c>
      <c r="I462" s="3" t="str">
        <f t="shared" si="56"/>
        <v>R</v>
      </c>
      <c r="J462" s="1" t="str">
        <f>'HOUSE DATA'!K435</f>
        <v>R</v>
      </c>
      <c r="K462" s="1" t="str">
        <f t="shared" si="57"/>
        <v>—</v>
      </c>
      <c r="L462" t="str">
        <f t="shared" si="58"/>
        <v>R+3.70</v>
      </c>
      <c r="M462">
        <f>COUNTIF($H$31:$H$465,"&gt;"&amp;H462)+COUNTIF($H$31:H462,H462)</f>
        <v>259</v>
      </c>
      <c r="N462" s="7">
        <f t="shared" si="59"/>
        <v>3.7000000000000028</v>
      </c>
      <c r="O462">
        <f>COUNTIF($N$31:$N$465,"&lt;"&amp;N462)+COUNTIF($N$31:N462,N462)</f>
        <v>31</v>
      </c>
      <c r="P462" s="10">
        <f>'HOUSE DATA'!M435</f>
        <v>-14.660000000000004</v>
      </c>
      <c r="Q462" t="str">
        <f>'HOUSE DATA'!N435</f>
        <v>2024 HOUSE / prior substitute</v>
      </c>
      <c r="R462" s="10">
        <f t="shared" si="60"/>
        <v>10.96</v>
      </c>
      <c r="S462" s="10">
        <f t="shared" si="61"/>
        <v>9.353421917257192</v>
      </c>
      <c r="T462" s="10">
        <f t="shared" si="62"/>
        <v>1.6065780827428089</v>
      </c>
      <c r="U462" t="s">
        <v>73</v>
      </c>
      <c r="W462" t="s">
        <v>74</v>
      </c>
      <c r="X462" t="s">
        <v>75</v>
      </c>
    </row>
    <row r="463" spans="1:24" x14ac:dyDescent="0.2">
      <c r="A463" t="str">
        <f>'HOUSE DATA'!A436</f>
        <v>WV-01</v>
      </c>
      <c r="B463" s="10">
        <f>'HOUSE DATA'!B436</f>
        <v>-32.770954328078339</v>
      </c>
      <c r="C463" s="10">
        <f t="shared" si="54"/>
        <v>-0.29999999999999893</v>
      </c>
      <c r="D463" s="10">
        <f>2*('HOUSE DATA'!D436*('HOUSE DASHBOARD'!$B$14-42.4)+'HOUSE DATA'!E436*('HOUSE DASHBOARD'!$B$15-54.2)+'HOUSE DATA'!F436*('HOUSE DASHBOARD'!$B$16-85.4)+'HOUSE DATA'!G436*('HOUSE DASHBOARD'!$B$17-60.7)+'HOUSE DATA'!H436*('HOUSE DASHBOARD'!$B$18-53.5))/100</f>
        <v>0</v>
      </c>
      <c r="E463" s="10">
        <f>2*('HOUSE DATA'!I436*('HOUSE DASHBOARD'!$B$21-55.6)+(100-'HOUSE DATA'!I436)*('HOUSE DASHBOARD'!$B$22-44.9))/100</f>
        <v>0</v>
      </c>
      <c r="F463" s="10">
        <f>0</f>
        <v>0</v>
      </c>
      <c r="G463" s="10">
        <f t="shared" si="55"/>
        <v>0</v>
      </c>
      <c r="H463" s="2">
        <f>'HOUSE DATA'!C436+C463+G463</f>
        <v>-32.500000000000007</v>
      </c>
      <c r="I463" s="3" t="str">
        <f t="shared" si="56"/>
        <v>R</v>
      </c>
      <c r="J463" s="1" t="str">
        <f>'HOUSE DATA'!K436</f>
        <v>R</v>
      </c>
      <c r="K463" s="1" t="str">
        <f t="shared" si="57"/>
        <v>—</v>
      </c>
      <c r="L463" t="str">
        <f t="shared" si="58"/>
        <v>R+32.50</v>
      </c>
      <c r="M463">
        <f>COUNTIF($H$31:$H$465,"&gt;"&amp;H463)+COUNTIF($H$31:H463,H463)</f>
        <v>407</v>
      </c>
      <c r="N463" s="7">
        <f t="shared" si="59"/>
        <v>32.500000000000007</v>
      </c>
      <c r="O463">
        <f>COUNTIF($N$31:$N$465,"&lt;"&amp;N463)+COUNTIF($N$31:N463,N463)</f>
        <v>294</v>
      </c>
      <c r="P463" s="10">
        <f>'HOUSE DATA'!M436</f>
        <v>-43.460000000000008</v>
      </c>
      <c r="Q463" t="str">
        <f>'HOUSE DATA'!N436</f>
        <v>2024 HOUSE / prior substitute</v>
      </c>
      <c r="R463" s="10">
        <f t="shared" si="60"/>
        <v>10.96</v>
      </c>
      <c r="S463" s="10">
        <f t="shared" si="61"/>
        <v>10.689045671921669</v>
      </c>
      <c r="T463" s="10">
        <f t="shared" si="62"/>
        <v>0.2709543280783322</v>
      </c>
      <c r="U463" t="s">
        <v>73</v>
      </c>
      <c r="W463" t="s">
        <v>74</v>
      </c>
      <c r="X463" t="s">
        <v>75</v>
      </c>
    </row>
    <row r="464" spans="1:24" x14ac:dyDescent="0.2">
      <c r="A464" t="str">
        <f>'HOUSE DATA'!A437</f>
        <v>WV-02</v>
      </c>
      <c r="B464" s="10">
        <f>'HOUSE DATA'!B437</f>
        <v>-31.365456785322039</v>
      </c>
      <c r="C464" s="10">
        <f t="shared" si="54"/>
        <v>-0.29999999999999893</v>
      </c>
      <c r="D464" s="10">
        <f>2*('HOUSE DATA'!D437*('HOUSE DASHBOARD'!$B$14-42.4)+'HOUSE DATA'!E437*('HOUSE DASHBOARD'!$B$15-54.2)+'HOUSE DATA'!F437*('HOUSE DASHBOARD'!$B$16-85.4)+'HOUSE DATA'!G437*('HOUSE DASHBOARD'!$B$17-60.7)+'HOUSE DATA'!H437*('HOUSE DASHBOARD'!$B$18-53.5))/100</f>
        <v>0</v>
      </c>
      <c r="E464" s="10">
        <f>2*('HOUSE DATA'!I437*('HOUSE DASHBOARD'!$B$21-55.6)+(100-'HOUSE DATA'!I437)*('HOUSE DASHBOARD'!$B$22-44.9))/100</f>
        <v>0</v>
      </c>
      <c r="F464" s="10">
        <f>0</f>
        <v>0</v>
      </c>
      <c r="G464" s="10">
        <f t="shared" si="55"/>
        <v>0</v>
      </c>
      <c r="H464" s="2">
        <f>'HOUSE DATA'!C437+C464+G464</f>
        <v>-30.579999999999991</v>
      </c>
      <c r="I464" s="3" t="str">
        <f t="shared" si="56"/>
        <v>R</v>
      </c>
      <c r="J464" s="1" t="str">
        <f>'HOUSE DATA'!K437</f>
        <v>R</v>
      </c>
      <c r="K464" s="1" t="str">
        <f t="shared" si="57"/>
        <v>—</v>
      </c>
      <c r="L464" t="str">
        <f t="shared" si="58"/>
        <v>R+30.58</v>
      </c>
      <c r="M464">
        <f>COUNTIF($H$31:$H$465,"&gt;"&amp;H464)+COUNTIF($H$31:H464,H464)</f>
        <v>404</v>
      </c>
      <c r="N464" s="7">
        <f t="shared" si="59"/>
        <v>30.579999999999991</v>
      </c>
      <c r="O464">
        <f>COUNTIF($N$31:$N$465,"&lt;"&amp;N464)+COUNTIF($N$31:N464,N464)</f>
        <v>284</v>
      </c>
      <c r="P464" s="10">
        <f>'HOUSE DATA'!M437</f>
        <v>-41.539999999999992</v>
      </c>
      <c r="Q464" t="str">
        <f>'HOUSE DATA'!N437</f>
        <v>2024 HOUSE / prior substitute</v>
      </c>
      <c r="R464" s="10">
        <f t="shared" si="60"/>
        <v>10.96</v>
      </c>
      <c r="S464" s="10">
        <f t="shared" si="61"/>
        <v>10.174543214677954</v>
      </c>
      <c r="T464" s="10">
        <f t="shared" si="62"/>
        <v>0.78545678532204732</v>
      </c>
      <c r="U464" t="s">
        <v>73</v>
      </c>
      <c r="W464" t="s">
        <v>74</v>
      </c>
      <c r="X464" t="s">
        <v>75</v>
      </c>
    </row>
    <row r="465" spans="1:24" x14ac:dyDescent="0.2">
      <c r="A465" t="str">
        <f>'HOUSE DATA'!A438</f>
        <v>WY-AL</v>
      </c>
      <c r="B465" s="10">
        <f>'HOUSE DATA'!B438</f>
        <v>-36.519947011819525</v>
      </c>
      <c r="C465" s="10">
        <f t="shared" si="54"/>
        <v>-0.29999999999999893</v>
      </c>
      <c r="D465" s="10">
        <f>2*('HOUSE DATA'!D438*('HOUSE DASHBOARD'!$B$14-42.4)+'HOUSE DATA'!E438*('HOUSE DASHBOARD'!$B$15-54.2)+'HOUSE DATA'!F438*('HOUSE DASHBOARD'!$B$16-85.4)+'HOUSE DATA'!G438*('HOUSE DASHBOARD'!$B$17-60.7)+'HOUSE DATA'!H438*('HOUSE DASHBOARD'!$B$18-53.5))/100</f>
        <v>0</v>
      </c>
      <c r="E465" s="10">
        <f>2*('HOUSE DATA'!I438*('HOUSE DASHBOARD'!$B$21-55.6)+(100-'HOUSE DATA'!I438)*('HOUSE DASHBOARD'!$B$22-44.9))/100</f>
        <v>0</v>
      </c>
      <c r="F465" s="10">
        <f>0</f>
        <v>0</v>
      </c>
      <c r="G465" s="10">
        <f t="shared" si="55"/>
        <v>0</v>
      </c>
      <c r="H465" s="2">
        <f>'HOUSE DATA'!C438+C465+G465</f>
        <v>-35.669999999999995</v>
      </c>
      <c r="I465" s="3" t="str">
        <f t="shared" si="56"/>
        <v>R</v>
      </c>
      <c r="J465" s="1" t="str">
        <f>'HOUSE DATA'!K438</f>
        <v>R</v>
      </c>
      <c r="K465" s="1" t="str">
        <f t="shared" si="57"/>
        <v>—</v>
      </c>
      <c r="L465" t="str">
        <f t="shared" si="58"/>
        <v>R+35.67</v>
      </c>
      <c r="M465">
        <f>COUNTIF($H$31:$H$465,"&gt;"&amp;H465)+COUNTIF($H$31:H465,H465)</f>
        <v>416</v>
      </c>
      <c r="N465" s="7">
        <f t="shared" si="59"/>
        <v>35.669999999999995</v>
      </c>
      <c r="O465">
        <f>COUNTIF($N$31:$N$465,"&lt;"&amp;N465)+COUNTIF($N$31:N465,N465)</f>
        <v>315</v>
      </c>
      <c r="P465" s="10">
        <f>'HOUSE DATA'!M438</f>
        <v>-46.22</v>
      </c>
      <c r="Q465" t="str">
        <f>'HOUSE DATA'!N438</f>
        <v>2024 PRESIDENT (open seat)</v>
      </c>
      <c r="R465" s="10">
        <f t="shared" si="60"/>
        <v>10.550000000000004</v>
      </c>
      <c r="S465" s="10">
        <f t="shared" si="61"/>
        <v>9.7000529881804738</v>
      </c>
      <c r="T465" s="10">
        <f t="shared" si="62"/>
        <v>0.84994701181953047</v>
      </c>
      <c r="U465" t="s">
        <v>73</v>
      </c>
      <c r="W465" t="s">
        <v>74</v>
      </c>
      <c r="X465" t="s">
        <v>75</v>
      </c>
    </row>
  </sheetData>
  <mergeCells count="13">
    <mergeCell ref="A1:L1"/>
    <mergeCell ref="A2:L2"/>
    <mergeCell ref="A4:E4"/>
    <mergeCell ref="G4:L4"/>
    <mergeCell ref="G5:H5"/>
    <mergeCell ref="I5:J5"/>
    <mergeCell ref="A23:L23"/>
    <mergeCell ref="A24:L24"/>
    <mergeCell ref="G6:H7"/>
    <mergeCell ref="I6:J7"/>
    <mergeCell ref="G10:L10"/>
    <mergeCell ref="A12:E12"/>
    <mergeCell ref="G12:L12"/>
  </mergeCells>
  <dataValidations count="5">
    <dataValidation type="list" sqref="B6" xr:uid="{00000000-0002-0000-0000-000000000000}">
      <formula1>"All edited groups"</formula1>
    </dataValidation>
    <dataValidation type="list" sqref="B9" xr:uid="{00000000-0002-0000-0000-000001000000}">
      <formula1>"Custom,D+12,D+8.7,D+5,D+3,Even,R+3,R+5,R+8"</formula1>
    </dataValidation>
    <dataValidation type="list" sqref="B10" xr:uid="{00000000-0002-0000-0000-000002000000}">
      <formula1>"Uniform swing,Original forecast"</formula1>
    </dataValidation>
    <dataValidation type="list" sqref="B11" xr:uid="{00000000-0002-0000-0000-000003000000}">
      <formula1>"Generic ballot,Demographic-driven"</formula1>
    </dataValidation>
    <dataValidation type="list" sqref="H14 P21 P14 H21" xr:uid="{00000000-0002-0000-0000-000004000000}">
      <formula1>"Use entered,2024 baseline"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zoomScale="82" workbookViewId="0">
      <pane ySplit="4" topLeftCell="A15" activePane="bottomLeft" state="frozen"/>
      <selection pane="bottomLeft" sqref="A1:L1"/>
    </sheetView>
  </sheetViews>
  <sheetFormatPr defaultRowHeight="15" x14ac:dyDescent="0.2"/>
  <cols>
    <col min="1" max="1" width="34.97265625" customWidth="1"/>
    <col min="2" max="2" width="18.96484375" customWidth="1"/>
    <col min="3" max="3" width="25.01953125" customWidth="1"/>
    <col min="4" max="4" width="24.6171875" customWidth="1"/>
    <col min="5" max="5" width="22.734375" customWidth="1"/>
    <col min="6" max="6" width="13.046875" customWidth="1"/>
    <col min="7" max="9" width="18.96484375" customWidth="1"/>
    <col min="10" max="10" width="23.9453125" customWidth="1"/>
    <col min="11" max="14" width="16.94921875" customWidth="1"/>
    <col min="15" max="15" width="18.96484375" customWidth="1"/>
    <col min="16" max="16" width="18.0234375" customWidth="1"/>
    <col min="17" max="18" width="18.96484375" customWidth="1"/>
    <col min="19" max="20" width="23" customWidth="1"/>
    <col min="21" max="24" width="18.96484375" customWidth="1"/>
  </cols>
  <sheetData>
    <row r="1" spans="1:26" ht="39" customHeight="1" x14ac:dyDescent="0.2">
      <c r="A1" s="93" t="s">
        <v>90</v>
      </c>
      <c r="B1" s="93"/>
      <c r="C1" s="93"/>
      <c r="D1" s="93"/>
      <c r="E1" s="93"/>
      <c r="F1" s="93"/>
      <c r="G1" s="93"/>
      <c r="H1" s="93"/>
      <c r="I1" s="93"/>
      <c r="J1" s="94"/>
      <c r="K1" s="94"/>
      <c r="L1" s="94"/>
    </row>
    <row r="2" spans="1:26" ht="25.15" customHeight="1" x14ac:dyDescent="0.2">
      <c r="A2" s="95" t="s">
        <v>91</v>
      </c>
      <c r="B2" s="95"/>
      <c r="C2" s="95"/>
      <c r="D2" s="95"/>
      <c r="E2" s="95"/>
      <c r="F2" s="95"/>
      <c r="G2" s="95"/>
      <c r="H2" s="95"/>
      <c r="I2" s="95"/>
      <c r="J2" s="96"/>
      <c r="K2" s="96"/>
      <c r="L2" s="96"/>
    </row>
    <row r="3" spans="1:26" ht="19.149999999999999" customHeigh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26" ht="23.1" customHeight="1" x14ac:dyDescent="0.2">
      <c r="A4" s="98" t="s">
        <v>92</v>
      </c>
      <c r="B4" s="98"/>
      <c r="C4" s="84"/>
      <c r="D4" s="84"/>
      <c r="E4" s="84"/>
      <c r="F4" s="66"/>
      <c r="G4" s="100" t="s">
        <v>93</v>
      </c>
      <c r="H4" s="100"/>
      <c r="I4" s="100"/>
      <c r="J4" s="84"/>
      <c r="K4" s="84"/>
      <c r="L4" s="84"/>
    </row>
    <row r="5" spans="1:26" ht="24" customHeight="1" x14ac:dyDescent="0.3">
      <c r="A5" s="69" t="s">
        <v>94</v>
      </c>
      <c r="B5" s="76">
        <f>'HOUSE DASHBOARD'!B5</f>
        <v>8.4</v>
      </c>
      <c r="C5" s="68">
        <v>8.6999999999999993</v>
      </c>
      <c r="D5" s="68">
        <f>'HOUSE DASHBOARD'!D5</f>
        <v>-0.29999999999999893</v>
      </c>
      <c r="E5" s="66" t="s">
        <v>95</v>
      </c>
      <c r="F5" s="66"/>
      <c r="G5" s="101" t="s">
        <v>5</v>
      </c>
      <c r="H5" s="101"/>
      <c r="I5" s="102" t="s">
        <v>6</v>
      </c>
      <c r="J5" s="103"/>
      <c r="K5" s="66"/>
      <c r="L5" s="66"/>
    </row>
    <row r="6" spans="1:26" ht="24" customHeight="1" x14ac:dyDescent="0.2">
      <c r="A6" s="69" t="s">
        <v>7</v>
      </c>
      <c r="B6" s="77" t="s">
        <v>8</v>
      </c>
      <c r="C6" s="66"/>
      <c r="D6" s="66"/>
      <c r="E6" s="66" t="s">
        <v>9</v>
      </c>
      <c r="F6" s="66"/>
      <c r="G6" s="86">
        <f>34+COUNTIF(I32:I66,"D")</f>
        <v>52</v>
      </c>
      <c r="H6" s="86"/>
      <c r="I6" s="88">
        <f>31+COUNTIF(I32:I66,"R")</f>
        <v>48</v>
      </c>
      <c r="J6" s="89"/>
      <c r="K6" s="66"/>
      <c r="L6" s="66"/>
    </row>
    <row r="7" spans="1:26" ht="24" customHeight="1" x14ac:dyDescent="0.2">
      <c r="A7" s="69" t="s">
        <v>10</v>
      </c>
      <c r="B7" s="76">
        <f>'HOUSE DASHBOARD'!B7</f>
        <v>0</v>
      </c>
      <c r="C7" s="66"/>
      <c r="D7" s="66"/>
      <c r="E7" s="66" t="s">
        <v>11</v>
      </c>
      <c r="F7" s="66"/>
      <c r="G7" s="87"/>
      <c r="H7" s="87"/>
      <c r="I7" s="89"/>
      <c r="J7" s="89"/>
      <c r="K7" s="66"/>
      <c r="L7" s="66"/>
    </row>
    <row r="8" spans="1:26" ht="24" customHeight="1" x14ac:dyDescent="0.2">
      <c r="A8" s="69" t="s">
        <v>96</v>
      </c>
      <c r="B8" s="78">
        <f>'HOUSE DASHBOARD'!B8</f>
        <v>8.4</v>
      </c>
      <c r="C8" s="66"/>
      <c r="D8" s="66"/>
      <c r="E8" s="66" t="s">
        <v>804</v>
      </c>
      <c r="F8" s="66"/>
      <c r="G8" s="66"/>
      <c r="H8" s="66"/>
      <c r="I8" s="66"/>
      <c r="J8" s="66"/>
      <c r="K8" s="66"/>
      <c r="L8" s="66"/>
    </row>
    <row r="9" spans="1:26" ht="24" customHeight="1" x14ac:dyDescent="0.2">
      <c r="A9" s="70" t="s">
        <v>97</v>
      </c>
      <c r="B9" s="79" t="str">
        <f>'HOUSE DASHBOARD'!B9</f>
        <v>Custom</v>
      </c>
      <c r="C9" s="37" t="s">
        <v>12</v>
      </c>
      <c r="D9" s="37"/>
      <c r="E9" s="37"/>
      <c r="F9" s="37"/>
      <c r="G9" s="28" t="s">
        <v>13</v>
      </c>
      <c r="H9" s="29">
        <f>G6-47</f>
        <v>5</v>
      </c>
      <c r="I9" s="28" t="s">
        <v>14</v>
      </c>
      <c r="J9" s="4">
        <f>-H9</f>
        <v>-5</v>
      </c>
      <c r="K9" s="66"/>
      <c r="L9" s="66"/>
    </row>
    <row r="10" spans="1:26" ht="24" customHeight="1" x14ac:dyDescent="0.2">
      <c r="A10" s="69" t="s">
        <v>98</v>
      </c>
      <c r="B10" s="80" t="str">
        <f>'HOUSE DASHBOARD'!B10</f>
        <v>Uniform swing</v>
      </c>
      <c r="C10" s="37" t="s">
        <v>16</v>
      </c>
      <c r="D10" s="37"/>
      <c r="E10" s="37" t="s">
        <v>99</v>
      </c>
      <c r="F10" s="37"/>
      <c r="G10" s="90" t="s">
        <v>100</v>
      </c>
      <c r="H10" s="90"/>
      <c r="I10" s="90"/>
      <c r="J10" s="90"/>
      <c r="K10" s="90"/>
      <c r="L10" s="90"/>
    </row>
    <row r="11" spans="1:26" ht="24" customHeight="1" x14ac:dyDescent="0.2">
      <c r="A11" s="70" t="s">
        <v>101</v>
      </c>
      <c r="B11" s="80" t="str">
        <f>'HOUSE DASHBOARD'!B11</f>
        <v>Generic ballot</v>
      </c>
      <c r="C11" s="27">
        <v>-1.48</v>
      </c>
      <c r="D11" s="37" t="s">
        <v>18</v>
      </c>
      <c r="E11" s="37" t="s">
        <v>812</v>
      </c>
      <c r="F11" s="37"/>
      <c r="G11" s="66"/>
      <c r="H11" s="66"/>
      <c r="I11" s="66"/>
      <c r="J11" s="66"/>
      <c r="K11" s="66"/>
      <c r="L11" s="66"/>
    </row>
    <row r="12" spans="1:26" ht="18" customHeight="1" x14ac:dyDescent="0.2">
      <c r="A12" s="91"/>
      <c r="B12" s="91"/>
      <c r="C12" s="92"/>
      <c r="D12" s="92"/>
      <c r="E12" s="92"/>
      <c r="F12" s="37"/>
      <c r="G12" s="84"/>
      <c r="H12" s="84"/>
      <c r="I12" s="84"/>
      <c r="J12" s="84"/>
      <c r="K12" s="84"/>
      <c r="L12" s="84"/>
    </row>
    <row r="13" spans="1:26" ht="23.1" customHeight="1" x14ac:dyDescent="0.2">
      <c r="A13" s="30" t="s">
        <v>20</v>
      </c>
      <c r="B13" s="30" t="s">
        <v>39</v>
      </c>
      <c r="C13" s="41" t="s">
        <v>22</v>
      </c>
      <c r="D13" s="41" t="s">
        <v>23</v>
      </c>
      <c r="E13" s="42" t="s">
        <v>24</v>
      </c>
      <c r="F13" s="17" t="s">
        <v>102</v>
      </c>
      <c r="G13" s="16" t="s">
        <v>103</v>
      </c>
      <c r="H13" s="16"/>
      <c r="I13" s="16" t="s">
        <v>25</v>
      </c>
      <c r="J13" s="16" t="s">
        <v>26</v>
      </c>
      <c r="K13" s="17" t="s">
        <v>27</v>
      </c>
      <c r="L13" s="17" t="s">
        <v>28</v>
      </c>
      <c r="M13" s="18" t="s">
        <v>29</v>
      </c>
      <c r="N13" s="18" t="s">
        <v>30</v>
      </c>
      <c r="O13" s="19"/>
      <c r="P13" s="48"/>
      <c r="Q13" s="49"/>
      <c r="R13" s="49"/>
      <c r="S13" s="48"/>
      <c r="T13" s="48"/>
      <c r="U13" s="50"/>
      <c r="V13" s="50"/>
      <c r="W13" s="50"/>
      <c r="X13" s="50"/>
      <c r="Y13" s="47"/>
      <c r="Z13" s="47"/>
    </row>
    <row r="14" spans="1:26" ht="27" customHeight="1" x14ac:dyDescent="0.2">
      <c r="A14" s="66" t="s">
        <v>31</v>
      </c>
      <c r="B14" s="74">
        <f>'HOUSE DASHBOARD'!B14</f>
        <v>42.4</v>
      </c>
      <c r="C14" s="43">
        <v>42.4</v>
      </c>
      <c r="D14" s="44">
        <v>42</v>
      </c>
      <c r="E14" s="44">
        <v>45</v>
      </c>
      <c r="F14" s="21">
        <f>'HOUSE DASHBOARD'!F14</f>
        <v>42.4</v>
      </c>
      <c r="G14" s="17" t="s">
        <v>26</v>
      </c>
      <c r="H14" s="22">
        <f>'HOUSE DASHBOARD'!H14</f>
        <v>0</v>
      </c>
      <c r="I14" s="20">
        <f>'HOUSE DASHBOARD'!I14</f>
        <v>44</v>
      </c>
      <c r="J14" s="37" t="s">
        <v>32</v>
      </c>
      <c r="K14" s="21">
        <f>'HOUSE DASHBOARD'!K14</f>
        <v>75</v>
      </c>
      <c r="L14" s="21">
        <f>'HOUSE DASHBOARD'!L14</f>
        <v>75</v>
      </c>
      <c r="M14" s="23">
        <f>'HOUSE DASHBOARD'!M14</f>
        <v>75</v>
      </c>
      <c r="N14" s="23">
        <f>M14-K14</f>
        <v>0</v>
      </c>
      <c r="O14" s="19" t="s">
        <v>33</v>
      </c>
      <c r="P14" s="48"/>
      <c r="Q14" s="51"/>
      <c r="R14" s="51"/>
      <c r="S14" s="48"/>
      <c r="T14" s="48"/>
      <c r="U14" s="52"/>
      <c r="V14" s="52"/>
      <c r="W14" s="52"/>
      <c r="X14" s="52"/>
      <c r="Y14" s="47"/>
      <c r="Z14" s="47"/>
    </row>
    <row r="15" spans="1:26" ht="27" customHeight="1" x14ac:dyDescent="0.2">
      <c r="A15" s="66" t="s">
        <v>34</v>
      </c>
      <c r="B15" s="75">
        <f>'HOUSE DASHBOARD'!B15</f>
        <v>54.2</v>
      </c>
      <c r="C15" s="44">
        <v>54.2</v>
      </c>
      <c r="D15" s="44">
        <v>63</v>
      </c>
      <c r="E15" s="44">
        <v>67</v>
      </c>
      <c r="F15" s="21">
        <f>'HOUSE DASHBOARD'!F15</f>
        <v>54.2</v>
      </c>
      <c r="G15" s="24" t="s">
        <v>104</v>
      </c>
      <c r="H15" s="22"/>
      <c r="I15" s="20">
        <f>'HOUSE DASHBOARD'!I15</f>
        <v>69</v>
      </c>
      <c r="J15" s="37" t="s">
        <v>34</v>
      </c>
      <c r="K15" s="21">
        <f>'HOUSE DASHBOARD'!K15</f>
        <v>10</v>
      </c>
      <c r="L15" s="21">
        <f>'HOUSE DASHBOARD'!L15</f>
        <v>10</v>
      </c>
      <c r="M15" s="23">
        <f>'HOUSE DASHBOARD'!M15</f>
        <v>10</v>
      </c>
      <c r="N15" s="23">
        <f>M15-K15</f>
        <v>0</v>
      </c>
      <c r="O15" s="19"/>
      <c r="P15" s="48"/>
      <c r="Q15" s="51"/>
      <c r="R15" s="51"/>
      <c r="S15" s="51"/>
      <c r="T15" s="51"/>
      <c r="U15" s="52"/>
      <c r="V15" s="52"/>
      <c r="W15" s="52"/>
      <c r="X15" s="52"/>
      <c r="Y15" s="47"/>
      <c r="Z15" s="47"/>
    </row>
    <row r="16" spans="1:26" ht="27" customHeight="1" x14ac:dyDescent="0.2">
      <c r="A16" s="66" t="s">
        <v>35</v>
      </c>
      <c r="B16" s="75">
        <f>'HOUSE DASHBOARD'!B16</f>
        <v>85.4</v>
      </c>
      <c r="C16" s="44">
        <v>85.4</v>
      </c>
      <c r="D16" s="44">
        <v>90</v>
      </c>
      <c r="E16" s="44">
        <v>91</v>
      </c>
      <c r="F16" s="21">
        <f>'HOUSE DASHBOARD'!F16</f>
        <v>85.4</v>
      </c>
      <c r="G16" s="37"/>
      <c r="H16" s="22"/>
      <c r="I16" s="20">
        <f>'HOUSE DASHBOARD'!I16</f>
        <v>90</v>
      </c>
      <c r="J16" s="37" t="s">
        <v>35</v>
      </c>
      <c r="K16" s="21">
        <f>'HOUSE DASHBOARD'!K16</f>
        <v>10</v>
      </c>
      <c r="L16" s="21">
        <f>'HOUSE DASHBOARD'!L16</f>
        <v>10</v>
      </c>
      <c r="M16" s="23">
        <f>'HOUSE DASHBOARD'!M16</f>
        <v>10</v>
      </c>
      <c r="N16" s="23">
        <f>M16-K16</f>
        <v>0</v>
      </c>
      <c r="O16" s="19"/>
      <c r="P16" s="48"/>
      <c r="Q16" s="51"/>
      <c r="R16" s="51"/>
      <c r="S16" s="51"/>
      <c r="T16" s="51"/>
      <c r="U16" s="52"/>
      <c r="V16" s="52"/>
      <c r="W16" s="52"/>
      <c r="X16" s="52"/>
      <c r="Y16" s="47"/>
      <c r="Z16" s="47"/>
    </row>
    <row r="17" spans="1:26" ht="27" customHeight="1" x14ac:dyDescent="0.2">
      <c r="A17" s="66" t="s">
        <v>36</v>
      </c>
      <c r="B17" s="75">
        <f>'HOUSE DASHBOARD'!B17</f>
        <v>60.7</v>
      </c>
      <c r="C17" s="44">
        <v>60.7</v>
      </c>
      <c r="D17" s="44">
        <v>64</v>
      </c>
      <c r="E17" s="44">
        <v>62</v>
      </c>
      <c r="F17" s="21">
        <f>'HOUSE DASHBOARD'!F17</f>
        <v>60.7</v>
      </c>
      <c r="G17" s="37"/>
      <c r="H17" s="22"/>
      <c r="I17" s="20">
        <f>'HOUSE DASHBOARD'!I17</f>
        <v>77</v>
      </c>
      <c r="J17" s="37" t="s">
        <v>36</v>
      </c>
      <c r="K17" s="21">
        <f>'HOUSE DASHBOARD'!K17</f>
        <v>2.3011941182275732</v>
      </c>
      <c r="L17" s="21">
        <f>'HOUSE DASHBOARD'!L17</f>
        <v>2.3011941182275732</v>
      </c>
      <c r="M17" s="23">
        <f>'HOUSE DASHBOARD'!M17</f>
        <v>2.3011941182275732</v>
      </c>
      <c r="N17" s="23">
        <f>M17-K17</f>
        <v>0</v>
      </c>
      <c r="O17" s="19"/>
      <c r="P17" s="48"/>
      <c r="Q17" s="51"/>
      <c r="R17" s="51"/>
      <c r="S17" s="51"/>
      <c r="T17" s="51"/>
      <c r="U17" s="52"/>
      <c r="V17" s="52"/>
      <c r="W17" s="52"/>
      <c r="X17" s="52"/>
      <c r="Y17" s="47"/>
      <c r="Z17" s="47"/>
    </row>
    <row r="18" spans="1:26" ht="27" customHeight="1" x14ac:dyDescent="0.2">
      <c r="A18" s="66" t="s">
        <v>37</v>
      </c>
      <c r="B18" s="75">
        <f>'HOUSE DASHBOARD'!B18</f>
        <v>53.5</v>
      </c>
      <c r="C18" s="44">
        <v>53.5</v>
      </c>
      <c r="D18" s="44"/>
      <c r="E18" s="44"/>
      <c r="F18" s="21">
        <f>'HOUSE DASHBOARD'!F18</f>
        <v>53.5</v>
      </c>
      <c r="G18" s="37"/>
      <c r="H18" s="22"/>
      <c r="I18" s="20"/>
      <c r="J18" s="37" t="s">
        <v>37</v>
      </c>
      <c r="K18" s="21">
        <f>'HOUSE DASHBOARD'!K18</f>
        <v>2.6988058817724268</v>
      </c>
      <c r="L18" s="21">
        <f>'HOUSE DASHBOARD'!L18</f>
        <v>2.6988058817724268</v>
      </c>
      <c r="M18" s="23">
        <f>'HOUSE DASHBOARD'!M18</f>
        <v>2.6988058817724268</v>
      </c>
      <c r="N18" s="23">
        <f>M18-K18</f>
        <v>0</v>
      </c>
      <c r="O18" s="19"/>
      <c r="P18" s="48"/>
      <c r="Q18" s="51"/>
      <c r="R18" s="51"/>
      <c r="S18" s="51"/>
      <c r="T18" s="51"/>
      <c r="U18" s="52"/>
      <c r="V18" s="52"/>
      <c r="W18" s="52"/>
      <c r="X18" s="52"/>
      <c r="Y18" s="47"/>
      <c r="Z18" s="47"/>
    </row>
    <row r="19" spans="1:26" ht="19.149999999999999" customHeight="1" x14ac:dyDescent="0.2">
      <c r="A19" s="66"/>
      <c r="B19" s="66"/>
      <c r="C19" s="37"/>
      <c r="D19" s="37"/>
      <c r="E19" s="21"/>
      <c r="F19" s="37"/>
      <c r="G19" s="37"/>
      <c r="H19" s="37"/>
      <c r="I19" s="37"/>
      <c r="J19" s="37"/>
      <c r="K19" s="21"/>
      <c r="L19" s="21"/>
      <c r="M19" s="23"/>
      <c r="N19" s="23"/>
      <c r="O19" s="19"/>
      <c r="P19" s="48"/>
      <c r="Q19" s="48"/>
      <c r="R19" s="48"/>
      <c r="S19" s="51"/>
      <c r="T19" s="51"/>
      <c r="U19" s="52"/>
      <c r="V19" s="52"/>
      <c r="W19" s="52"/>
      <c r="X19" s="52"/>
      <c r="Y19" s="47"/>
      <c r="Z19" s="47"/>
    </row>
    <row r="20" spans="1:26" ht="23.1" customHeight="1" x14ac:dyDescent="0.2">
      <c r="A20" s="30" t="s">
        <v>38</v>
      </c>
      <c r="B20" s="30" t="s">
        <v>39</v>
      </c>
      <c r="C20" s="54" t="s">
        <v>22</v>
      </c>
      <c r="D20" s="54" t="s">
        <v>23</v>
      </c>
      <c r="E20" s="55" t="s">
        <v>24</v>
      </c>
      <c r="F20" s="17" t="s">
        <v>102</v>
      </c>
      <c r="G20" s="37"/>
      <c r="H20" s="37"/>
      <c r="I20" s="37"/>
      <c r="J20" s="17" t="s">
        <v>40</v>
      </c>
      <c r="K20" s="25" t="s">
        <v>41</v>
      </c>
      <c r="L20" s="25" t="s">
        <v>28</v>
      </c>
      <c r="M20" s="26" t="s">
        <v>29</v>
      </c>
      <c r="N20" s="26" t="s">
        <v>30</v>
      </c>
      <c r="O20" s="19"/>
      <c r="P20" s="48"/>
      <c r="Q20" s="49"/>
      <c r="R20" s="49"/>
      <c r="S20" s="48"/>
      <c r="T20" s="48"/>
      <c r="U20" s="53"/>
      <c r="V20" s="53"/>
      <c r="W20" s="52"/>
      <c r="X20" s="52"/>
      <c r="Y20" s="47"/>
      <c r="Z20" s="47"/>
    </row>
    <row r="21" spans="1:26" ht="27" customHeight="1" x14ac:dyDescent="0.2">
      <c r="A21" s="66" t="s">
        <v>42</v>
      </c>
      <c r="B21" s="74">
        <f>'HOUSE DASHBOARD'!B21</f>
        <v>55.6</v>
      </c>
      <c r="C21" s="56">
        <v>55.6</v>
      </c>
      <c r="D21" s="57">
        <v>56</v>
      </c>
      <c r="E21" s="57">
        <v>57</v>
      </c>
      <c r="F21" s="21">
        <f>'HOUSE DASHBOARD'!F21</f>
        <v>55.6</v>
      </c>
      <c r="G21" s="17" t="s">
        <v>40</v>
      </c>
      <c r="H21" s="37">
        <f>'HOUSE DASHBOARD'!H21</f>
        <v>0</v>
      </c>
      <c r="I21" s="20"/>
      <c r="J21" s="37" t="s">
        <v>42</v>
      </c>
      <c r="K21" s="21">
        <f>'HOUSE DASHBOARD'!K21</f>
        <v>42</v>
      </c>
      <c r="L21" s="21">
        <f>'HOUSE DASHBOARD'!L21</f>
        <v>42</v>
      </c>
      <c r="M21" s="23">
        <f>'HOUSE DASHBOARD'!M21</f>
        <v>42</v>
      </c>
      <c r="N21" s="23">
        <f>M21-K21</f>
        <v>0</v>
      </c>
      <c r="O21" s="19" t="s">
        <v>43</v>
      </c>
      <c r="P21" s="48"/>
      <c r="Q21" s="51"/>
      <c r="R21" s="51"/>
      <c r="S21" s="48"/>
      <c r="T21" s="48"/>
      <c r="U21" s="52"/>
      <c r="V21" s="52"/>
      <c r="W21" s="52"/>
      <c r="X21" s="52"/>
      <c r="Y21" s="47"/>
      <c r="Z21" s="47"/>
    </row>
    <row r="22" spans="1:26" ht="27" customHeight="1" x14ac:dyDescent="0.2">
      <c r="A22" s="66" t="s">
        <v>45</v>
      </c>
      <c r="B22" s="74">
        <f>'HOUSE DASHBOARD'!B22</f>
        <v>44.9</v>
      </c>
      <c r="C22" s="57">
        <v>44.9</v>
      </c>
      <c r="D22" s="57">
        <v>49</v>
      </c>
      <c r="E22" s="57">
        <v>52</v>
      </c>
      <c r="F22" s="21">
        <f>'HOUSE DASHBOARD'!F22</f>
        <v>44.9</v>
      </c>
      <c r="G22" s="37"/>
      <c r="H22" s="37"/>
      <c r="I22" s="37"/>
      <c r="J22" s="37" t="s">
        <v>46</v>
      </c>
      <c r="K22" s="21">
        <f>'HOUSE DASHBOARD'!K22</f>
        <v>58</v>
      </c>
      <c r="L22" s="21">
        <f>'HOUSE DASHBOARD'!L22</f>
        <v>58</v>
      </c>
      <c r="M22" s="23">
        <f>'HOUSE DASHBOARD'!M22</f>
        <v>58</v>
      </c>
      <c r="N22" s="23">
        <f>M22-K22</f>
        <v>0</v>
      </c>
      <c r="O22" s="19"/>
      <c r="P22" s="48"/>
      <c r="Q22" s="51"/>
      <c r="R22" s="51"/>
      <c r="S22" s="48"/>
      <c r="T22" s="48"/>
      <c r="U22" s="52"/>
      <c r="V22" s="52"/>
      <c r="W22" s="52"/>
      <c r="X22" s="52"/>
      <c r="Y22" s="47"/>
      <c r="Z22" s="47"/>
    </row>
    <row r="23" spans="1:26" ht="1.1499999999999999" customHeight="1" x14ac:dyDescent="0.2">
      <c r="A23" s="106"/>
      <c r="B23" s="107"/>
      <c r="C23" s="108"/>
      <c r="D23" s="108"/>
      <c r="E23" s="108"/>
      <c r="F23" s="108"/>
      <c r="G23" s="108"/>
      <c r="H23" s="108"/>
      <c r="I23" s="108"/>
      <c r="J23" s="108" t="s">
        <v>105</v>
      </c>
      <c r="K23" s="108"/>
      <c r="L23" s="108"/>
      <c r="M23" s="19"/>
      <c r="N23" s="19"/>
      <c r="O23" s="19"/>
      <c r="P23" s="19"/>
      <c r="Q23" s="19"/>
      <c r="R23" s="19"/>
      <c r="S23" s="19"/>
      <c r="T23" s="19"/>
    </row>
    <row r="24" spans="1:26" ht="18" hidden="1" customHeight="1" x14ac:dyDescent="0.2">
      <c r="A24" s="106"/>
      <c r="B24" s="107"/>
      <c r="C24" s="108"/>
      <c r="D24" s="108"/>
      <c r="E24" s="108"/>
      <c r="F24" s="108"/>
      <c r="G24" s="108"/>
      <c r="H24" s="108"/>
      <c r="I24" s="108"/>
      <c r="J24" s="108" t="s">
        <v>106</v>
      </c>
      <c r="K24" s="108"/>
      <c r="L24" s="108"/>
      <c r="M24" s="19"/>
      <c r="N24" s="19"/>
      <c r="O24" s="19"/>
      <c r="P24" s="19"/>
      <c r="Q24" s="19"/>
      <c r="R24" s="19"/>
      <c r="S24" s="19"/>
      <c r="T24" s="19"/>
    </row>
    <row r="25" spans="1:26" ht="18" hidden="1" customHeight="1" x14ac:dyDescent="0.2">
      <c r="A25" s="71"/>
      <c r="B25" s="66"/>
      <c r="C25" s="37"/>
      <c r="D25" s="37"/>
      <c r="E25" s="37"/>
      <c r="F25" s="37"/>
      <c r="G25" s="37"/>
      <c r="H25" s="37"/>
      <c r="I25" s="37"/>
      <c r="J25" s="37" t="s">
        <v>107</v>
      </c>
      <c r="K25" s="37"/>
      <c r="L25" s="37"/>
      <c r="M25" s="19"/>
      <c r="N25" s="19"/>
      <c r="O25" s="19"/>
      <c r="P25" s="19"/>
      <c r="Q25" s="19"/>
      <c r="R25" s="19"/>
      <c r="S25" s="19"/>
      <c r="T25" s="19"/>
    </row>
    <row r="26" spans="1:26" ht="18" hidden="1" customHeight="1" x14ac:dyDescent="0.2">
      <c r="A26" s="71"/>
      <c r="B26" s="104"/>
      <c r="C26" s="105"/>
      <c r="D26" s="105"/>
      <c r="E26" s="105"/>
      <c r="F26" s="37"/>
      <c r="G26" s="37" t="s">
        <v>108</v>
      </c>
      <c r="H26" s="105" t="s">
        <v>109</v>
      </c>
      <c r="I26" s="105"/>
      <c r="J26" s="105" t="s">
        <v>110</v>
      </c>
      <c r="K26" s="105"/>
      <c r="L26" s="105"/>
      <c r="M26" s="19"/>
      <c r="N26" s="19"/>
      <c r="O26" s="19"/>
      <c r="P26" s="19"/>
      <c r="Q26" s="19"/>
      <c r="R26" s="19"/>
      <c r="S26" s="19"/>
      <c r="T26" s="19"/>
    </row>
    <row r="27" spans="1:26" ht="18" hidden="1" customHeight="1" x14ac:dyDescent="0.2">
      <c r="A27" s="71"/>
      <c r="B27" s="104"/>
      <c r="C27" s="105"/>
      <c r="D27" s="105"/>
      <c r="E27" s="105"/>
      <c r="F27" s="37"/>
      <c r="G27" s="37" t="s">
        <v>111</v>
      </c>
      <c r="H27" s="105" t="s">
        <v>112</v>
      </c>
      <c r="I27" s="105"/>
      <c r="J27" s="105" t="s">
        <v>113</v>
      </c>
      <c r="K27" s="105"/>
      <c r="L27" s="105"/>
      <c r="M27" s="19"/>
      <c r="N27" s="19"/>
      <c r="O27" s="19"/>
      <c r="P27" s="19"/>
      <c r="Q27" s="19"/>
      <c r="R27" s="19"/>
      <c r="S27" s="19"/>
      <c r="T27" s="19"/>
    </row>
    <row r="28" spans="1:26" ht="18" hidden="1" customHeight="1" x14ac:dyDescent="0.2">
      <c r="A28" s="71"/>
      <c r="B28" s="66"/>
      <c r="C28" s="37"/>
      <c r="D28" s="37"/>
      <c r="E28" s="37"/>
      <c r="F28" s="37"/>
      <c r="G28" s="37"/>
      <c r="H28" s="37"/>
      <c r="I28" s="37"/>
      <c r="J28" s="37" t="s">
        <v>114</v>
      </c>
      <c r="K28" s="37"/>
      <c r="L28" s="37"/>
      <c r="M28" s="19"/>
      <c r="N28" s="19"/>
      <c r="O28" s="19"/>
      <c r="P28" s="19"/>
      <c r="Q28" s="19"/>
      <c r="R28" s="19"/>
      <c r="S28" s="19"/>
      <c r="T28" s="19"/>
    </row>
    <row r="29" spans="1:26" ht="26.1" customHeight="1" x14ac:dyDescent="0.2">
      <c r="A29" s="84" t="s">
        <v>115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</row>
    <row r="30" spans="1:26" ht="22.9" customHeight="1" x14ac:dyDescent="0.2">
      <c r="A30" s="72" t="s">
        <v>116</v>
      </c>
      <c r="B30" s="8">
        <f>LARGE(H32:H66,17)</f>
        <v>2.791764705882354</v>
      </c>
      <c r="C30" s="66"/>
      <c r="D30" s="66" t="s">
        <v>48</v>
      </c>
      <c r="E30" s="9" t="str">
        <f>INDEX(A32:A66,MATCH(17,M32:M66,0))</f>
        <v>Maine</v>
      </c>
      <c r="F30" s="66"/>
      <c r="G30" s="72" t="s">
        <v>117</v>
      </c>
      <c r="H30" s="9">
        <f>MAX(0,51-G6)</f>
        <v>0</v>
      </c>
      <c r="I30" s="72" t="s">
        <v>49</v>
      </c>
      <c r="J30" s="9">
        <f>MAX(0,51-I6)</f>
        <v>3</v>
      </c>
      <c r="K30" s="66"/>
      <c r="L30" s="66"/>
    </row>
    <row r="31" spans="1:26" ht="27.75" x14ac:dyDescent="0.2">
      <c r="A31" s="5" t="s">
        <v>51</v>
      </c>
      <c r="B31" s="5" t="s">
        <v>52</v>
      </c>
      <c r="C31" s="5" t="s">
        <v>53</v>
      </c>
      <c r="D31" s="5" t="s">
        <v>54</v>
      </c>
      <c r="E31" s="5" t="s">
        <v>55</v>
      </c>
      <c r="F31" s="5" t="s">
        <v>816</v>
      </c>
      <c r="G31" s="5" t="s">
        <v>817</v>
      </c>
      <c r="H31" s="5" t="s">
        <v>56</v>
      </c>
      <c r="I31" s="5" t="s">
        <v>57</v>
      </c>
      <c r="J31" s="5" t="s">
        <v>58</v>
      </c>
      <c r="K31" s="5" t="s">
        <v>59</v>
      </c>
      <c r="L31" s="5" t="s">
        <v>60</v>
      </c>
      <c r="M31" s="14" t="s">
        <v>61</v>
      </c>
      <c r="N31" s="14" t="s">
        <v>62</v>
      </c>
      <c r="O31" s="14" t="s">
        <v>63</v>
      </c>
      <c r="P31" s="14" t="s">
        <v>64</v>
      </c>
      <c r="Q31" s="14" t="s">
        <v>65</v>
      </c>
      <c r="R31" s="14" t="s">
        <v>66</v>
      </c>
      <c r="S31" s="14" t="s">
        <v>67</v>
      </c>
      <c r="T31" s="14" t="s">
        <v>68</v>
      </c>
    </row>
    <row r="32" spans="1:26" x14ac:dyDescent="0.2">
      <c r="A32" t="str">
        <f>'SENATE DATA'!A4</f>
        <v>Alabama</v>
      </c>
      <c r="B32" s="10">
        <f>'SENATE DATA'!B4</f>
        <v>-20.096478851208992</v>
      </c>
      <c r="C32" s="10">
        <f t="shared" ref="C32:C66" si="0">$D$5</f>
        <v>-0.29999999999999893</v>
      </c>
      <c r="D32" s="10">
        <f>2*('SENATE DATA'!D4*('HOUSE DASHBOARD'!$B$14-42.4)+'SENATE DATA'!E4*('HOUSE DASHBOARD'!$B$15-54.2)+'SENATE DATA'!F4*('HOUSE DASHBOARD'!$B$16-85.4)+'SENATE DATA'!G4*('HOUSE DASHBOARD'!$B$17-60.7)+'SENATE DATA'!H4*('HOUSE DASHBOARD'!$B$18-53.5))/100</f>
        <v>0</v>
      </c>
      <c r="E32" s="10">
        <f>2*('SENATE DATA'!I4*('HOUSE DASHBOARD'!$B$21-55.6)+(100-'SENATE DATA'!I4)*('HOUSE DASHBOARD'!$B$22-44.9))/100</f>
        <v>0</v>
      </c>
      <c r="F32" s="10">
        <f>0</f>
        <v>0</v>
      </c>
      <c r="G32" s="10">
        <f t="shared" ref="G32:G66" si="1">(D32+E32)/2</f>
        <v>0</v>
      </c>
      <c r="H32" s="2">
        <f>'SENATE DATA'!C4+C32+G32</f>
        <v>-20.599999999999994</v>
      </c>
      <c r="I32" s="3" t="str">
        <f t="shared" ref="I32:I66" si="2">IF(H32&gt;=0,"D","R")</f>
        <v>R</v>
      </c>
      <c r="J32" s="1" t="str">
        <f>'SENATE DATA'!K4</f>
        <v>R</v>
      </c>
      <c r="K32" s="1" t="str">
        <f t="shared" ref="K32:K66" si="3">IF(I32=J32,"—",J32&amp;" → "&amp;I32)</f>
        <v>—</v>
      </c>
      <c r="L32" t="str">
        <f t="shared" ref="L32:L66" si="4">IF(H32&gt;=0,"D+"&amp;TEXT(H32,"0.00"),"R+"&amp;TEXT(-H32,"0.00"))</f>
        <v>R+20.60</v>
      </c>
      <c r="M32">
        <f>COUNTIF($H$32:$H$66,"&gt;"&amp;H32)+COUNTIF($H$32:H32,H32)</f>
        <v>29</v>
      </c>
      <c r="N32" s="7">
        <f t="shared" ref="N32:N66" si="5">ABS(H32)</f>
        <v>20.599999999999994</v>
      </c>
      <c r="O32">
        <f>COUNTIF($N$32:$N$66,"&lt;"&amp;N32)+COUNTIF($N$32:N32,N32)</f>
        <v>25</v>
      </c>
      <c r="P32" s="10">
        <f>'SENATE DATA'!M4</f>
        <v>-30.47</v>
      </c>
      <c r="Q32" t="str">
        <f>'SENATE DATA'!N4</f>
        <v>2024 PRESIDENTIAL</v>
      </c>
      <c r="R32" s="10">
        <f t="shared" ref="R32:R66" si="6">H32-P32</f>
        <v>9.8700000000000045</v>
      </c>
      <c r="S32" s="10">
        <f t="shared" ref="S32:S66" si="7">B32-P32</f>
        <v>10.373521148791006</v>
      </c>
      <c r="T32" s="10">
        <f t="shared" ref="T32:T66" si="8">H32-B32</f>
        <v>-0.50352114879100185</v>
      </c>
    </row>
    <row r="33" spans="1:20" x14ac:dyDescent="0.2">
      <c r="A33" t="str">
        <f>'SENATE DATA'!A5</f>
        <v>Alaska</v>
      </c>
      <c r="B33" s="10">
        <f>'SENATE DATA'!B5</f>
        <v>-0.37847583707557453</v>
      </c>
      <c r="C33" s="10">
        <f t="shared" si="0"/>
        <v>-0.29999999999999893</v>
      </c>
      <c r="D33" s="10">
        <f>2*('SENATE DATA'!D5*('HOUSE DASHBOARD'!$B$14-42.4)+'SENATE DATA'!E5*('HOUSE DASHBOARD'!$B$15-54.2)+'SENATE DATA'!F5*('HOUSE DASHBOARD'!$B$16-85.4)+'SENATE DATA'!G5*('HOUSE DASHBOARD'!$B$17-60.7)+'SENATE DATA'!H5*('HOUSE DASHBOARD'!$B$18-53.5))/100</f>
        <v>0</v>
      </c>
      <c r="E33" s="10">
        <f>2*('SENATE DATA'!I5*('HOUSE DASHBOARD'!$B$21-55.6)+(100-'SENATE DATA'!I5)*('HOUSE DASHBOARD'!$B$22-44.9))/100</f>
        <v>0</v>
      </c>
      <c r="F33" s="10">
        <f>0</f>
        <v>0</v>
      </c>
      <c r="G33" s="10">
        <f t="shared" si="1"/>
        <v>0</v>
      </c>
      <c r="H33" s="2">
        <f>'SENATE DATA'!C5+C33+G33</f>
        <v>1.0000000000000004</v>
      </c>
      <c r="I33" s="3" t="str">
        <f t="shared" si="2"/>
        <v>D</v>
      </c>
      <c r="J33" s="1" t="str">
        <f>'SENATE DATA'!K5</f>
        <v>R</v>
      </c>
      <c r="K33" s="1" t="str">
        <f t="shared" si="3"/>
        <v>R → D</v>
      </c>
      <c r="L33" t="str">
        <f t="shared" si="4"/>
        <v>D+1.00</v>
      </c>
      <c r="M33">
        <f>COUNTIF($H$32:$H$66,"&gt;"&amp;H33)+COUNTIF($H$32:H33,H33)</f>
        <v>18</v>
      </c>
      <c r="N33" s="7">
        <f t="shared" si="5"/>
        <v>1.0000000000000004</v>
      </c>
      <c r="O33">
        <f>COUNTIF($N$32:$N$66,"&lt;"&amp;N33)+COUNTIF($N$32:N33,N33)</f>
        <v>1</v>
      </c>
      <c r="P33" s="10">
        <f>'SENATE DATA'!M5</f>
        <v>1.2999999999999994</v>
      </c>
      <c r="Q33" t="str">
        <f>'SENATE DATA'!N5</f>
        <v>2020 PRES + 2024 HOUSE (50/50)</v>
      </c>
      <c r="R33" s="10">
        <f t="shared" si="6"/>
        <v>-0.29999999999999893</v>
      </c>
      <c r="S33" s="10">
        <f t="shared" si="7"/>
        <v>-1.6784758370755739</v>
      </c>
      <c r="T33" s="10">
        <f t="shared" si="8"/>
        <v>1.378475837075575</v>
      </c>
    </row>
    <row r="34" spans="1:20" x14ac:dyDescent="0.2">
      <c r="A34" t="str">
        <f>'SENATE DATA'!A6</f>
        <v>Arkansas</v>
      </c>
      <c r="B34" s="10">
        <f>'SENATE DATA'!B6</f>
        <v>-20.222228335728545</v>
      </c>
      <c r="C34" s="10">
        <f t="shared" si="0"/>
        <v>-0.29999999999999893</v>
      </c>
      <c r="D34" s="10">
        <f>2*('SENATE DATA'!D6*('HOUSE DASHBOARD'!$B$14-42.4)+'SENATE DATA'!E6*('HOUSE DASHBOARD'!$B$15-54.2)+'SENATE DATA'!F6*('HOUSE DASHBOARD'!$B$16-85.4)+'SENATE DATA'!G6*('HOUSE DASHBOARD'!$B$17-60.7)+'SENATE DATA'!H6*('HOUSE DASHBOARD'!$B$18-53.5))/100</f>
        <v>0</v>
      </c>
      <c r="E34" s="10">
        <f>2*('SENATE DATA'!I6*('HOUSE DASHBOARD'!$B$21-55.6)+(100-'SENATE DATA'!I6)*('HOUSE DASHBOARD'!$B$22-44.9))/100</f>
        <v>0</v>
      </c>
      <c r="F34" s="10">
        <f>0</f>
        <v>0</v>
      </c>
      <c r="G34" s="10">
        <f t="shared" si="1"/>
        <v>0</v>
      </c>
      <c r="H34" s="2">
        <f>'SENATE DATA'!C6+C34+G34</f>
        <v>-20.769999999999996</v>
      </c>
      <c r="I34" s="3" t="str">
        <f t="shared" si="2"/>
        <v>R</v>
      </c>
      <c r="J34" s="1" t="str">
        <f>'SENATE DATA'!K6</f>
        <v>R</v>
      </c>
      <c r="K34" s="1" t="str">
        <f t="shared" si="3"/>
        <v>—</v>
      </c>
      <c r="L34" t="str">
        <f t="shared" si="4"/>
        <v>R+20.77</v>
      </c>
      <c r="M34">
        <f>COUNTIF($H$32:$H$66,"&gt;"&amp;H34)+COUNTIF($H$32:H34,H34)</f>
        <v>31</v>
      </c>
      <c r="N34" s="7">
        <f t="shared" si="5"/>
        <v>20.769999999999996</v>
      </c>
      <c r="O34">
        <f>COUNTIF($N$32:$N$66,"&lt;"&amp;N34)+COUNTIF($N$32:N34,N34)</f>
        <v>27</v>
      </c>
      <c r="P34" s="10">
        <f>'SENATE DATA'!M6</f>
        <v>-30.64</v>
      </c>
      <c r="Q34" t="str">
        <f>'SENATE DATA'!N6</f>
        <v>2024 PRESIDENTIAL</v>
      </c>
      <c r="R34" s="10">
        <f t="shared" si="6"/>
        <v>9.8700000000000045</v>
      </c>
      <c r="S34" s="10">
        <f t="shared" si="7"/>
        <v>10.417771664271456</v>
      </c>
      <c r="T34" s="10">
        <f t="shared" si="8"/>
        <v>-0.54777166427145119</v>
      </c>
    </row>
    <row r="35" spans="1:20" x14ac:dyDescent="0.2">
      <c r="A35" t="str">
        <f>'SENATE DATA'!A7</f>
        <v>Colorado</v>
      </c>
      <c r="B35" s="10">
        <f>'SENATE DATA'!B7</f>
        <v>11.952217513516842</v>
      </c>
      <c r="C35" s="10">
        <f t="shared" si="0"/>
        <v>-0.29999999999999893</v>
      </c>
      <c r="D35" s="10">
        <f>2*('SENATE DATA'!D7*('HOUSE DASHBOARD'!$B$14-42.4)+'SENATE DATA'!E7*('HOUSE DASHBOARD'!$B$15-54.2)+'SENATE DATA'!F7*('HOUSE DASHBOARD'!$B$16-85.4)+'SENATE DATA'!G7*('HOUSE DASHBOARD'!$B$17-60.7)+'SENATE DATA'!H7*('HOUSE DASHBOARD'!$B$18-53.5))/100</f>
        <v>0</v>
      </c>
      <c r="E35" s="10">
        <f>2*('SENATE DATA'!I7*('HOUSE DASHBOARD'!$B$21-55.6)+(100-'SENATE DATA'!I7)*('HOUSE DASHBOARD'!$B$22-44.9))/100</f>
        <v>0</v>
      </c>
      <c r="F35" s="10">
        <f>0</f>
        <v>0</v>
      </c>
      <c r="G35" s="10">
        <f t="shared" si="1"/>
        <v>0</v>
      </c>
      <c r="H35" s="2">
        <f>'SENATE DATA'!C7+C35+G35</f>
        <v>13.250000000000002</v>
      </c>
      <c r="I35" s="3" t="str">
        <f t="shared" si="2"/>
        <v>D</v>
      </c>
      <c r="J35" s="1" t="str">
        <f>'SENATE DATA'!K7</f>
        <v>D</v>
      </c>
      <c r="K35" s="1" t="str">
        <f t="shared" si="3"/>
        <v>—</v>
      </c>
      <c r="L35" t="str">
        <f t="shared" si="4"/>
        <v>D+13.25</v>
      </c>
      <c r="M35">
        <f>COUNTIF($H$32:$H$66,"&gt;"&amp;H35)+COUNTIF($H$32:H35,H35)</f>
        <v>9</v>
      </c>
      <c r="N35" s="7">
        <f t="shared" si="5"/>
        <v>13.250000000000002</v>
      </c>
      <c r="O35">
        <f>COUNTIF($N$32:$N$66,"&lt;"&amp;N35)+COUNTIF($N$32:N35,N35)</f>
        <v>19</v>
      </c>
      <c r="P35" s="10">
        <f>'SENATE DATA'!M7</f>
        <v>9.3000000000000007</v>
      </c>
      <c r="Q35" t="str">
        <f>'SENATE DATA'!N7</f>
        <v>2020 SENATE</v>
      </c>
      <c r="R35" s="10">
        <f t="shared" si="6"/>
        <v>3.9500000000000011</v>
      </c>
      <c r="S35" s="10">
        <f t="shared" si="7"/>
        <v>2.6522175135168418</v>
      </c>
      <c r="T35" s="10">
        <f t="shared" si="8"/>
        <v>1.2977824864831593</v>
      </c>
    </row>
    <row r="36" spans="1:20" x14ac:dyDescent="0.2">
      <c r="A36" t="str">
        <f>'SENATE DATA'!A8</f>
        <v>Delaware</v>
      </c>
      <c r="B36" s="10">
        <f>'SENATE DATA'!B8</f>
        <v>24.645628584327653</v>
      </c>
      <c r="C36" s="10">
        <f t="shared" si="0"/>
        <v>-0.29999999999999893</v>
      </c>
      <c r="D36" s="10">
        <f>2*('SENATE DATA'!D8*('HOUSE DASHBOARD'!$B$14-42.4)+'SENATE DATA'!E8*('HOUSE DASHBOARD'!$B$15-54.2)+'SENATE DATA'!F8*('HOUSE DASHBOARD'!$B$16-85.4)+'SENATE DATA'!G8*('HOUSE DASHBOARD'!$B$17-60.7)+'SENATE DATA'!H8*('HOUSE DASHBOARD'!$B$18-53.5))/100</f>
        <v>0</v>
      </c>
      <c r="E36" s="10">
        <f>2*('SENATE DATA'!I8*('HOUSE DASHBOARD'!$B$21-55.6)+(100-'SENATE DATA'!I8)*('HOUSE DASHBOARD'!$B$22-44.9))/100</f>
        <v>0</v>
      </c>
      <c r="F36" s="10">
        <f>0</f>
        <v>0</v>
      </c>
      <c r="G36" s="10">
        <f t="shared" si="1"/>
        <v>0</v>
      </c>
      <c r="H36" s="2">
        <f>'SENATE DATA'!C8+C36+G36</f>
        <v>25.450000000000003</v>
      </c>
      <c r="I36" s="3" t="str">
        <f t="shared" si="2"/>
        <v>D</v>
      </c>
      <c r="J36" s="1" t="str">
        <f>'SENATE DATA'!K8</f>
        <v>D</v>
      </c>
      <c r="K36" s="1" t="str">
        <f t="shared" si="3"/>
        <v>—</v>
      </c>
      <c r="L36" t="str">
        <f t="shared" si="4"/>
        <v>D+25.45</v>
      </c>
      <c r="M36">
        <f>COUNTIF($H$32:$H$66,"&gt;"&amp;H36)+COUNTIF($H$32:H36,H36)</f>
        <v>3</v>
      </c>
      <c r="N36" s="7">
        <f t="shared" si="5"/>
        <v>25.450000000000003</v>
      </c>
      <c r="O36">
        <f>COUNTIF($N$32:$N$66,"&lt;"&amp;N36)+COUNTIF($N$32:N36,N36)</f>
        <v>31</v>
      </c>
      <c r="P36" s="10">
        <f>'SENATE DATA'!M8</f>
        <v>21.5</v>
      </c>
      <c r="Q36" t="str">
        <f>'SENATE DATA'!N8</f>
        <v>2020 SENATE</v>
      </c>
      <c r="R36" s="10">
        <f t="shared" si="6"/>
        <v>3.9500000000000028</v>
      </c>
      <c r="S36" s="10">
        <f t="shared" si="7"/>
        <v>3.1456285843276532</v>
      </c>
      <c r="T36" s="10">
        <f t="shared" si="8"/>
        <v>0.8043714156723496</v>
      </c>
    </row>
    <row r="37" spans="1:20" x14ac:dyDescent="0.2">
      <c r="A37" t="str">
        <f>'SENATE DATA'!A9</f>
        <v>Florida</v>
      </c>
      <c r="B37" s="10">
        <f>'SENATE DATA'!B9</f>
        <v>-2.066283101388346</v>
      </c>
      <c r="C37" s="10">
        <f t="shared" si="0"/>
        <v>-0.29999999999999893</v>
      </c>
      <c r="D37" s="10">
        <f>2*('SENATE DATA'!D9*('HOUSE DASHBOARD'!$B$14-42.4)+'SENATE DATA'!E9*('HOUSE DASHBOARD'!$B$15-54.2)+'SENATE DATA'!F9*('HOUSE DASHBOARD'!$B$16-85.4)+'SENATE DATA'!G9*('HOUSE DASHBOARD'!$B$17-60.7)+'SENATE DATA'!H9*('HOUSE DASHBOARD'!$B$18-53.5))/100</f>
        <v>0</v>
      </c>
      <c r="E37" s="10">
        <f>2*('SENATE DATA'!I9*('HOUSE DASHBOARD'!$B$21-55.6)+(100-'SENATE DATA'!I9)*('HOUSE DASHBOARD'!$B$22-44.9))/100</f>
        <v>0</v>
      </c>
      <c r="F37" s="10">
        <f>0</f>
        <v>0</v>
      </c>
      <c r="G37" s="10">
        <f t="shared" si="1"/>
        <v>0</v>
      </c>
      <c r="H37" s="2">
        <f>'SENATE DATA'!C9+C37+G37</f>
        <v>-3.2299999999999986</v>
      </c>
      <c r="I37" s="3" t="str">
        <f t="shared" si="2"/>
        <v>R</v>
      </c>
      <c r="J37" s="1" t="str">
        <f>'SENATE DATA'!K9</f>
        <v>R</v>
      </c>
      <c r="K37" s="1" t="str">
        <f t="shared" si="3"/>
        <v>—</v>
      </c>
      <c r="L37" t="str">
        <f t="shared" si="4"/>
        <v>R+3.23</v>
      </c>
      <c r="M37">
        <f>COUNTIF($H$32:$H$66,"&gt;"&amp;H37)+COUNTIF($H$32:H37,H37)</f>
        <v>19</v>
      </c>
      <c r="N37" s="7">
        <f t="shared" si="5"/>
        <v>3.2299999999999986</v>
      </c>
      <c r="O37">
        <f>COUNTIF($N$32:$N$66,"&lt;"&amp;N37)+COUNTIF($N$32:N37,N37)</f>
        <v>4</v>
      </c>
      <c r="P37" s="10">
        <f>'SENATE DATA'!M9</f>
        <v>-13.1</v>
      </c>
      <c r="Q37" t="str">
        <f>'SENATE DATA'!N9</f>
        <v>2024 PRESIDENTIAL</v>
      </c>
      <c r="R37" s="10">
        <f t="shared" si="6"/>
        <v>9.870000000000001</v>
      </c>
      <c r="S37" s="10">
        <f t="shared" si="7"/>
        <v>11.033716898611654</v>
      </c>
      <c r="T37" s="10">
        <f t="shared" si="8"/>
        <v>-1.1637168986116526</v>
      </c>
    </row>
    <row r="38" spans="1:20" x14ac:dyDescent="0.2">
      <c r="A38" t="str">
        <f>'SENATE DATA'!A10</f>
        <v>Georgia</v>
      </c>
      <c r="B38" s="10">
        <f>'SENATE DATA'!B10</f>
        <v>5.5586340927889077</v>
      </c>
      <c r="C38" s="10">
        <f t="shared" si="0"/>
        <v>-0.29999999999999893</v>
      </c>
      <c r="D38" s="10">
        <f>2*('SENATE DATA'!D10*('HOUSE DASHBOARD'!$B$14-42.4)+'SENATE DATA'!E10*('HOUSE DASHBOARD'!$B$15-54.2)+'SENATE DATA'!F10*('HOUSE DASHBOARD'!$B$16-85.4)+'SENATE DATA'!G10*('HOUSE DASHBOARD'!$B$17-60.7)+'SENATE DATA'!H10*('HOUSE DASHBOARD'!$B$18-53.5))/100</f>
        <v>0</v>
      </c>
      <c r="E38" s="10">
        <f>2*('SENATE DATA'!I10*('HOUSE DASHBOARD'!$B$21-55.6)+(100-'SENATE DATA'!I10)*('HOUSE DASHBOARD'!$B$22-44.9))/100</f>
        <v>0</v>
      </c>
      <c r="F38" s="10">
        <f>0</f>
        <v>0</v>
      </c>
      <c r="G38" s="10">
        <f t="shared" si="1"/>
        <v>0</v>
      </c>
      <c r="H38" s="2">
        <f>'SENATE DATA'!C10+C38+G38</f>
        <v>5.1751000000000005</v>
      </c>
      <c r="I38" s="3" t="str">
        <f t="shared" si="2"/>
        <v>D</v>
      </c>
      <c r="J38" s="1" t="str">
        <f>'SENATE DATA'!K10</f>
        <v>D</v>
      </c>
      <c r="K38" s="1" t="str">
        <f t="shared" si="3"/>
        <v>—</v>
      </c>
      <c r="L38" t="str">
        <f t="shared" si="4"/>
        <v>D+5.18</v>
      </c>
      <c r="M38">
        <f>COUNTIF($H$32:$H$66,"&gt;"&amp;H38)+COUNTIF($H$32:H38,H38)</f>
        <v>15</v>
      </c>
      <c r="N38" s="7">
        <f t="shared" si="5"/>
        <v>5.1751000000000005</v>
      </c>
      <c r="O38">
        <f>COUNTIF($N$32:$N$66,"&lt;"&amp;N38)+COUNTIF($N$32:N38,N38)</f>
        <v>7</v>
      </c>
      <c r="P38" s="10">
        <f>'SENATE DATA'!M10</f>
        <v>1.2251000000000001</v>
      </c>
      <c r="Q38" t="str">
        <f>'SENATE DATA'!N10</f>
        <v>2021 SENATE RUNOFF</v>
      </c>
      <c r="R38" s="10">
        <f t="shared" si="6"/>
        <v>3.95</v>
      </c>
      <c r="S38" s="10">
        <f t="shared" si="7"/>
        <v>4.3335340927889074</v>
      </c>
      <c r="T38" s="10">
        <f t="shared" si="8"/>
        <v>-0.38353409278890727</v>
      </c>
    </row>
    <row r="39" spans="1:20" x14ac:dyDescent="0.2">
      <c r="A39" t="str">
        <f>'SENATE DATA'!A11</f>
        <v>Idaho</v>
      </c>
      <c r="B39" s="10">
        <f>'SENATE DATA'!B11</f>
        <v>-25.15</v>
      </c>
      <c r="C39" s="10">
        <f t="shared" si="0"/>
        <v>-0.29999999999999893</v>
      </c>
      <c r="D39" s="10">
        <f>2*('SENATE DATA'!D11*('HOUSE DASHBOARD'!$B$14-42.4)+'SENATE DATA'!E11*('HOUSE DASHBOARD'!$B$15-54.2)+'SENATE DATA'!F11*('HOUSE DASHBOARD'!$B$16-85.4)+'SENATE DATA'!G11*('HOUSE DASHBOARD'!$B$17-60.7)+'SENATE DATA'!H11*('HOUSE DASHBOARD'!$B$18-53.5))/100</f>
        <v>0</v>
      </c>
      <c r="E39" s="10">
        <f>2*('SENATE DATA'!I11*('HOUSE DASHBOARD'!$B$21-55.6)+(100-'SENATE DATA'!I11)*('HOUSE DASHBOARD'!$B$22-44.9))/100</f>
        <v>0</v>
      </c>
      <c r="F39" s="10">
        <f>0</f>
        <v>0</v>
      </c>
      <c r="G39" s="10">
        <f t="shared" si="1"/>
        <v>0</v>
      </c>
      <c r="H39" s="2">
        <f>'SENATE DATA'!C11+C39+G39+'SENATE DATA'!$P$3</f>
        <v>-11.549999999999995</v>
      </c>
      <c r="I39" s="3" t="str">
        <f t="shared" si="2"/>
        <v>R</v>
      </c>
      <c r="J39" s="1" t="str">
        <f>'SENATE DATA'!K11</f>
        <v>R</v>
      </c>
      <c r="K39" s="1" t="str">
        <f t="shared" si="3"/>
        <v>—</v>
      </c>
      <c r="L39" t="str">
        <f t="shared" si="4"/>
        <v>R+11.55</v>
      </c>
      <c r="M39">
        <f>COUNTIF($H$32:$H$66,"&gt;"&amp;H39)+COUNTIF($H$32:H39,H39)</f>
        <v>26</v>
      </c>
      <c r="N39" s="7">
        <f t="shared" si="5"/>
        <v>11.549999999999995</v>
      </c>
      <c r="O39">
        <f>COUNTIF($N$32:$N$66,"&lt;"&amp;N39)+COUNTIF($N$32:N39,N39)</f>
        <v>16</v>
      </c>
      <c r="P39" s="10">
        <f>'SENATE DATA'!M11</f>
        <v>-29.4</v>
      </c>
      <c r="Q39" t="str">
        <f>'SENATE DATA'!N11</f>
        <v>2020 SENATE</v>
      </c>
      <c r="R39" s="10">
        <f t="shared" si="6"/>
        <v>17.850000000000001</v>
      </c>
      <c r="S39" s="10">
        <f t="shared" si="7"/>
        <v>4.25</v>
      </c>
      <c r="T39" s="10">
        <f t="shared" si="8"/>
        <v>13.600000000000003</v>
      </c>
    </row>
    <row r="40" spans="1:20" x14ac:dyDescent="0.2">
      <c r="A40" t="str">
        <f>'SENATE DATA'!A12</f>
        <v>Illinois</v>
      </c>
      <c r="B40" s="10">
        <f>'SENATE DATA'!B12</f>
        <v>20.786306849353789</v>
      </c>
      <c r="C40" s="10">
        <f t="shared" si="0"/>
        <v>-0.29999999999999893</v>
      </c>
      <c r="D40" s="10">
        <f>2*('SENATE DATA'!D12*('HOUSE DASHBOARD'!$B$14-42.4)+'SENATE DATA'!E12*('HOUSE DASHBOARD'!$B$15-54.2)+'SENATE DATA'!F12*('HOUSE DASHBOARD'!$B$16-85.4)+'SENATE DATA'!G12*('HOUSE DASHBOARD'!$B$17-60.7)+'SENATE DATA'!H12*('HOUSE DASHBOARD'!$B$18-53.5))/100</f>
        <v>0</v>
      </c>
      <c r="E40" s="10">
        <f>2*('SENATE DATA'!I12*('HOUSE DASHBOARD'!$B$21-55.6)+(100-'SENATE DATA'!I12)*('HOUSE DASHBOARD'!$B$22-44.9))/100</f>
        <v>0</v>
      </c>
      <c r="F40" s="10">
        <f>0</f>
        <v>0</v>
      </c>
      <c r="G40" s="10">
        <f t="shared" si="1"/>
        <v>0</v>
      </c>
      <c r="H40" s="2">
        <f>'SENATE DATA'!C12+C40+G40</f>
        <v>20.770000000000003</v>
      </c>
      <c r="I40" s="3" t="str">
        <f t="shared" si="2"/>
        <v>D</v>
      </c>
      <c r="J40" s="1" t="str">
        <f>'SENATE DATA'!K12</f>
        <v>D</v>
      </c>
      <c r="K40" s="1" t="str">
        <f t="shared" si="3"/>
        <v>—</v>
      </c>
      <c r="L40" t="str">
        <f t="shared" si="4"/>
        <v>D+20.77</v>
      </c>
      <c r="M40">
        <f>COUNTIF($H$32:$H$66,"&gt;"&amp;H40)+COUNTIF($H$32:H40,H40)</f>
        <v>4</v>
      </c>
      <c r="N40" s="7">
        <f t="shared" si="5"/>
        <v>20.770000000000003</v>
      </c>
      <c r="O40">
        <f>COUNTIF($N$32:$N$66,"&lt;"&amp;N40)+COUNTIF($N$32:N40,N40)</f>
        <v>28</v>
      </c>
      <c r="P40" s="10">
        <f>'SENATE DATA'!M12</f>
        <v>10.9</v>
      </c>
      <c r="Q40" t="str">
        <f>'SENATE DATA'!N12</f>
        <v>2024 PRESIDENTIAL</v>
      </c>
      <c r="R40" s="10">
        <f t="shared" si="6"/>
        <v>9.8700000000000028</v>
      </c>
      <c r="S40" s="10">
        <f t="shared" si="7"/>
        <v>9.8863068493537885</v>
      </c>
      <c r="T40" s="10">
        <f t="shared" si="8"/>
        <v>-1.630684935378568E-2</v>
      </c>
    </row>
    <row r="41" spans="1:20" x14ac:dyDescent="0.2">
      <c r="A41" t="str">
        <f>'SENATE DATA'!A13</f>
        <v>Iowa</v>
      </c>
      <c r="B41" s="10">
        <f>'SENATE DATA'!B13</f>
        <v>-4.2738161255336333</v>
      </c>
      <c r="C41" s="10">
        <f t="shared" si="0"/>
        <v>-0.29999999999999893</v>
      </c>
      <c r="D41" s="10">
        <f>2*('SENATE DATA'!D13*('HOUSE DASHBOARD'!$B$14-42.4)+'SENATE DATA'!E13*('HOUSE DASHBOARD'!$B$15-54.2)+'SENATE DATA'!F13*('HOUSE DASHBOARD'!$B$16-85.4)+'SENATE DATA'!G13*('HOUSE DASHBOARD'!$B$17-60.7)+'SENATE DATA'!H13*('HOUSE DASHBOARD'!$B$18-53.5))/100</f>
        <v>0</v>
      </c>
      <c r="E41" s="10">
        <f>2*('SENATE DATA'!I13*('HOUSE DASHBOARD'!$B$21-55.6)+(100-'SENATE DATA'!I13)*('HOUSE DASHBOARD'!$B$22-44.9))/100</f>
        <v>0</v>
      </c>
      <c r="F41" s="10">
        <f>0</f>
        <v>0</v>
      </c>
      <c r="G41" s="10">
        <f t="shared" si="1"/>
        <v>0</v>
      </c>
      <c r="H41" s="2">
        <f>'SENATE DATA'!C13+C41+G41</f>
        <v>-3.34</v>
      </c>
      <c r="I41" s="3" t="str">
        <f t="shared" si="2"/>
        <v>R</v>
      </c>
      <c r="J41" s="1" t="str">
        <f>'SENATE DATA'!K13</f>
        <v>R</v>
      </c>
      <c r="K41" s="1" t="str">
        <f t="shared" si="3"/>
        <v>—</v>
      </c>
      <c r="L41" t="str">
        <f t="shared" si="4"/>
        <v>R+3.34</v>
      </c>
      <c r="M41">
        <f>COUNTIF($H$32:$H$66,"&gt;"&amp;H41)+COUNTIF($H$32:H41,H41)</f>
        <v>20</v>
      </c>
      <c r="N41" s="7">
        <f t="shared" si="5"/>
        <v>3.34</v>
      </c>
      <c r="O41">
        <f>COUNTIF($N$32:$N$66,"&lt;"&amp;N41)+COUNTIF($N$32:N41,N41)</f>
        <v>5</v>
      </c>
      <c r="P41" s="10">
        <f>'SENATE DATA'!M13</f>
        <v>-13.21</v>
      </c>
      <c r="Q41" t="str">
        <f>'SENATE DATA'!N13</f>
        <v>2024 PRESIDENTIAL</v>
      </c>
      <c r="R41" s="10">
        <f t="shared" si="6"/>
        <v>9.870000000000001</v>
      </c>
      <c r="S41" s="10">
        <f t="shared" si="7"/>
        <v>8.9361838744663675</v>
      </c>
      <c r="T41" s="10">
        <f t="shared" si="8"/>
        <v>0.93381612553363347</v>
      </c>
    </row>
    <row r="42" spans="1:20" x14ac:dyDescent="0.2">
      <c r="A42" t="str">
        <f>'SENATE DATA'!A14</f>
        <v>Kansas</v>
      </c>
      <c r="B42" s="10">
        <f>'SENATE DATA'!B14</f>
        <v>-7.9011663508008079</v>
      </c>
      <c r="C42" s="10">
        <f t="shared" si="0"/>
        <v>-0.29999999999999893</v>
      </c>
      <c r="D42" s="10">
        <f>2*('SENATE DATA'!D14*('HOUSE DASHBOARD'!$B$14-42.4)+'SENATE DATA'!E14*('HOUSE DASHBOARD'!$B$15-54.2)+'SENATE DATA'!F14*('HOUSE DASHBOARD'!$B$16-85.4)+'SENATE DATA'!G14*('HOUSE DASHBOARD'!$B$17-60.7)+'SENATE DATA'!H14*('HOUSE DASHBOARD'!$B$18-53.5))/100</f>
        <v>0</v>
      </c>
      <c r="E42" s="10">
        <f>2*('SENATE DATA'!I14*('HOUSE DASHBOARD'!$B$21-55.6)+(100-'SENATE DATA'!I14)*('HOUSE DASHBOARD'!$B$22-44.9))/100</f>
        <v>0</v>
      </c>
      <c r="F42" s="10">
        <f>0</f>
        <v>0</v>
      </c>
      <c r="G42" s="10">
        <f t="shared" si="1"/>
        <v>0</v>
      </c>
      <c r="H42" s="2">
        <f>'SENATE DATA'!C14+C42+G42</f>
        <v>-7.45</v>
      </c>
      <c r="I42" s="3" t="str">
        <f t="shared" si="2"/>
        <v>R</v>
      </c>
      <c r="J42" s="1" t="str">
        <f>'SENATE DATA'!K14</f>
        <v>R</v>
      </c>
      <c r="K42" s="1" t="str">
        <f t="shared" si="3"/>
        <v>—</v>
      </c>
      <c r="L42" t="str">
        <f t="shared" si="4"/>
        <v>R+7.45</v>
      </c>
      <c r="M42">
        <f>COUNTIF($H$32:$H$66,"&gt;"&amp;H42)+COUNTIF($H$32:H42,H42)</f>
        <v>23</v>
      </c>
      <c r="N42" s="7">
        <f t="shared" si="5"/>
        <v>7.45</v>
      </c>
      <c r="O42">
        <f>COUNTIF($N$32:$N$66,"&lt;"&amp;N42)+COUNTIF($N$32:N42,N42)</f>
        <v>11</v>
      </c>
      <c r="P42" s="10">
        <f>'SENATE DATA'!M14</f>
        <v>-11.4</v>
      </c>
      <c r="Q42" t="str">
        <f>'SENATE DATA'!N14</f>
        <v>2020 SENATE</v>
      </c>
      <c r="R42" s="10">
        <f t="shared" si="6"/>
        <v>3.95</v>
      </c>
      <c r="S42" s="10">
        <f t="shared" si="7"/>
        <v>3.4988336491991925</v>
      </c>
      <c r="T42" s="10">
        <f t="shared" si="8"/>
        <v>0.45116635080080769</v>
      </c>
    </row>
    <row r="43" spans="1:20" x14ac:dyDescent="0.2">
      <c r="A43" t="str">
        <f>'SENATE DATA'!A15</f>
        <v>Kentucky</v>
      </c>
      <c r="B43" s="10">
        <f>'SENATE DATA'!B15</f>
        <v>-20.951571678129724</v>
      </c>
      <c r="C43" s="10">
        <f t="shared" si="0"/>
        <v>-0.29999999999999893</v>
      </c>
      <c r="D43" s="10">
        <f>2*('SENATE DATA'!D15*('HOUSE DASHBOARD'!$B$14-42.4)+'SENATE DATA'!E15*('HOUSE DASHBOARD'!$B$15-54.2)+'SENATE DATA'!F15*('HOUSE DASHBOARD'!$B$16-85.4)+'SENATE DATA'!G15*('HOUSE DASHBOARD'!$B$17-60.7)+'SENATE DATA'!H15*('HOUSE DASHBOARD'!$B$18-53.5))/100</f>
        <v>0</v>
      </c>
      <c r="E43" s="10">
        <f>2*('SENATE DATA'!I15*('HOUSE DASHBOARD'!$B$21-55.6)+(100-'SENATE DATA'!I15)*('HOUSE DASHBOARD'!$B$22-44.9))/100</f>
        <v>0</v>
      </c>
      <c r="F43" s="10">
        <f>0</f>
        <v>0</v>
      </c>
      <c r="G43" s="10">
        <f t="shared" si="1"/>
        <v>0</v>
      </c>
      <c r="H43" s="2">
        <f>'SENATE DATA'!C15+C43+G43</f>
        <v>-20.659999999999997</v>
      </c>
      <c r="I43" s="3" t="str">
        <f t="shared" si="2"/>
        <v>R</v>
      </c>
      <c r="J43" s="1" t="str">
        <f>'SENATE DATA'!K15</f>
        <v>R</v>
      </c>
      <c r="K43" s="1" t="str">
        <f t="shared" si="3"/>
        <v>—</v>
      </c>
      <c r="L43" t="str">
        <f t="shared" si="4"/>
        <v>R+20.66</v>
      </c>
      <c r="M43">
        <f>COUNTIF($H$32:$H$66,"&gt;"&amp;H43)+COUNTIF($H$32:H43,H43)</f>
        <v>30</v>
      </c>
      <c r="N43" s="7">
        <f t="shared" si="5"/>
        <v>20.659999999999997</v>
      </c>
      <c r="O43">
        <f>COUNTIF($N$32:$N$66,"&lt;"&amp;N43)+COUNTIF($N$32:N43,N43)</f>
        <v>26</v>
      </c>
      <c r="P43" s="10">
        <f>'SENATE DATA'!M15</f>
        <v>-30.53</v>
      </c>
      <c r="Q43" t="str">
        <f>'SENATE DATA'!N15</f>
        <v>2024 PRESIDENTIAL</v>
      </c>
      <c r="R43" s="10">
        <f t="shared" si="6"/>
        <v>9.8700000000000045</v>
      </c>
      <c r="S43" s="10">
        <f t="shared" si="7"/>
        <v>9.5784283218702768</v>
      </c>
      <c r="T43" s="10">
        <f t="shared" si="8"/>
        <v>0.29157167812972773</v>
      </c>
    </row>
    <row r="44" spans="1:20" x14ac:dyDescent="0.2">
      <c r="A44" t="str">
        <f>'SENATE DATA'!A16</f>
        <v>Louisiana</v>
      </c>
      <c r="B44" s="10">
        <f>'SENATE DATA'!B16</f>
        <v>-11.04281446106962</v>
      </c>
      <c r="C44" s="10">
        <f t="shared" si="0"/>
        <v>-0.29999999999999893</v>
      </c>
      <c r="D44" s="10">
        <f>2*('SENATE DATA'!D16*('HOUSE DASHBOARD'!$B$14-42.4)+'SENATE DATA'!E16*('HOUSE DASHBOARD'!$B$15-54.2)+'SENATE DATA'!F16*('HOUSE DASHBOARD'!$B$16-85.4)+'SENATE DATA'!G16*('HOUSE DASHBOARD'!$B$17-60.7)+'SENATE DATA'!H16*('HOUSE DASHBOARD'!$B$18-53.5))/100</f>
        <v>0</v>
      </c>
      <c r="E44" s="10">
        <f>2*('SENATE DATA'!I16*('HOUSE DASHBOARD'!$B$21-55.6)+(100-'SENATE DATA'!I16)*('HOUSE DASHBOARD'!$B$22-44.9))/100</f>
        <v>0</v>
      </c>
      <c r="F44" s="10">
        <f>0</f>
        <v>0</v>
      </c>
      <c r="G44" s="10">
        <f t="shared" si="1"/>
        <v>0</v>
      </c>
      <c r="H44" s="2">
        <f>'SENATE DATA'!C16+C44+G44</f>
        <v>-12.14</v>
      </c>
      <c r="I44" s="3" t="str">
        <f t="shared" si="2"/>
        <v>R</v>
      </c>
      <c r="J44" s="1" t="str">
        <f>'SENATE DATA'!K16</f>
        <v>R</v>
      </c>
      <c r="K44" s="1" t="str">
        <f t="shared" si="3"/>
        <v>—</v>
      </c>
      <c r="L44" t="str">
        <f t="shared" si="4"/>
        <v>R+12.14</v>
      </c>
      <c r="M44">
        <f>COUNTIF($H$32:$H$66,"&gt;"&amp;H44)+COUNTIF($H$32:H44,H44)</f>
        <v>27</v>
      </c>
      <c r="N44" s="7">
        <f t="shared" si="5"/>
        <v>12.14</v>
      </c>
      <c r="O44">
        <f>COUNTIF($N$32:$N$66,"&lt;"&amp;N44)+COUNTIF($N$32:N44,N44)</f>
        <v>17</v>
      </c>
      <c r="P44" s="10">
        <f>'SENATE DATA'!M16</f>
        <v>-22.01</v>
      </c>
      <c r="Q44" t="str">
        <f>'SENATE DATA'!N16</f>
        <v>2024 PRESIDENTIAL</v>
      </c>
      <c r="R44" s="10">
        <f t="shared" si="6"/>
        <v>9.870000000000001</v>
      </c>
      <c r="S44" s="10">
        <f t="shared" si="7"/>
        <v>10.967185538930382</v>
      </c>
      <c r="T44" s="10">
        <f t="shared" si="8"/>
        <v>-1.0971855389303808</v>
      </c>
    </row>
    <row r="45" spans="1:20" x14ac:dyDescent="0.2">
      <c r="A45" t="str">
        <f>'SENATE DATA'!A17</f>
        <v>Maine</v>
      </c>
      <c r="B45" s="10">
        <f>'SENATE DATA'!B17</f>
        <v>1.3743930543618728</v>
      </c>
      <c r="C45" s="10">
        <f t="shared" si="0"/>
        <v>-0.29999999999999893</v>
      </c>
      <c r="D45" s="10">
        <f>2*('SENATE DATA'!D17*('HOUSE DASHBOARD'!$B$14-42.4)+'SENATE DATA'!E17*('HOUSE DASHBOARD'!$B$15-54.2)+'SENATE DATA'!F17*('HOUSE DASHBOARD'!$B$16-85.4)+'SENATE DATA'!G17*('HOUSE DASHBOARD'!$B$17-60.7)+'SENATE DATA'!H17*('HOUSE DASHBOARD'!$B$18-53.5))/100</f>
        <v>0</v>
      </c>
      <c r="E45" s="10">
        <f>2*('SENATE DATA'!I17*('HOUSE DASHBOARD'!$B$21-55.6)+(100-'SENATE DATA'!I17)*('HOUSE DASHBOARD'!$B$22-44.9))/100</f>
        <v>0</v>
      </c>
      <c r="F45" s="10">
        <f>0</f>
        <v>0</v>
      </c>
      <c r="G45" s="10">
        <f t="shared" si="1"/>
        <v>0</v>
      </c>
      <c r="H45" s="2">
        <f>'SENATE DATA'!C17+C45+G45</f>
        <v>2.791764705882354</v>
      </c>
      <c r="I45" s="3" t="str">
        <f t="shared" si="2"/>
        <v>D</v>
      </c>
      <c r="J45" s="1" t="str">
        <f>'SENATE DATA'!K17</f>
        <v>R</v>
      </c>
      <c r="K45" s="1" t="str">
        <f t="shared" si="3"/>
        <v>R → D</v>
      </c>
      <c r="L45" t="str">
        <f t="shared" si="4"/>
        <v>D+2.79</v>
      </c>
      <c r="M45">
        <f>COUNTIF($H$32:$H$66,"&gt;"&amp;H45)+COUNTIF($H$32:H45,H45)</f>
        <v>17</v>
      </c>
      <c r="N45" s="7">
        <f t="shared" si="5"/>
        <v>2.791764705882354</v>
      </c>
      <c r="O45">
        <f>COUNTIF($N$32:$N$66,"&lt;"&amp;N45)+COUNTIF($N$32:N45,N45)</f>
        <v>2</v>
      </c>
      <c r="P45" s="10">
        <f>'SENATE DATA'!M17</f>
        <v>-8.5</v>
      </c>
      <c r="Q45" t="str">
        <f>'SENATE DATA'!N17</f>
        <v>2020 SENATE</v>
      </c>
      <c r="R45" s="10">
        <f t="shared" si="6"/>
        <v>11.291764705882354</v>
      </c>
      <c r="S45" s="10">
        <f t="shared" si="7"/>
        <v>9.8743930543618728</v>
      </c>
      <c r="T45" s="10">
        <f t="shared" si="8"/>
        <v>1.4173716515204813</v>
      </c>
    </row>
    <row r="46" spans="1:20" x14ac:dyDescent="0.2">
      <c r="A46" t="str">
        <f>'SENATE DATA'!A18</f>
        <v>Massachusetts</v>
      </c>
      <c r="B46" s="10">
        <f>'SENATE DATA'!B18</f>
        <v>33.791055022223055</v>
      </c>
      <c r="C46" s="10">
        <f t="shared" si="0"/>
        <v>-0.29999999999999893</v>
      </c>
      <c r="D46" s="10">
        <f>2*('SENATE DATA'!D18*('HOUSE DASHBOARD'!$B$14-42.4)+'SENATE DATA'!E18*('HOUSE DASHBOARD'!$B$15-54.2)+'SENATE DATA'!F18*('HOUSE DASHBOARD'!$B$16-85.4)+'SENATE DATA'!G18*('HOUSE DASHBOARD'!$B$17-60.7)+'SENATE DATA'!H18*('HOUSE DASHBOARD'!$B$18-53.5))/100</f>
        <v>0</v>
      </c>
      <c r="E46" s="10">
        <f>2*('SENATE DATA'!I18*('HOUSE DASHBOARD'!$B$21-55.6)+(100-'SENATE DATA'!I18)*('HOUSE DASHBOARD'!$B$22-44.9))/100</f>
        <v>0</v>
      </c>
      <c r="F46" s="10">
        <f>0</f>
        <v>0</v>
      </c>
      <c r="G46" s="10">
        <f t="shared" si="1"/>
        <v>0</v>
      </c>
      <c r="H46" s="2">
        <f>'SENATE DATA'!C18+C46+G46</f>
        <v>35.458823529411767</v>
      </c>
      <c r="I46" s="3" t="str">
        <f t="shared" si="2"/>
        <v>D</v>
      </c>
      <c r="J46" s="1" t="str">
        <f>'SENATE DATA'!K18</f>
        <v>D</v>
      </c>
      <c r="K46" s="1" t="str">
        <f t="shared" si="3"/>
        <v>—</v>
      </c>
      <c r="L46" t="str">
        <f t="shared" si="4"/>
        <v>D+35.46</v>
      </c>
      <c r="M46">
        <f>COUNTIF($H$32:$H$66,"&gt;"&amp;H46)+COUNTIF($H$32:H46,H46)</f>
        <v>1</v>
      </c>
      <c r="N46" s="7">
        <f t="shared" si="5"/>
        <v>35.458823529411767</v>
      </c>
      <c r="O46">
        <f>COUNTIF($N$32:$N$66,"&lt;"&amp;N46)+COUNTIF($N$32:N46,N46)</f>
        <v>33</v>
      </c>
      <c r="P46" s="10">
        <f>'SENATE DATA'!M18</f>
        <v>32.299999999999997</v>
      </c>
      <c r="Q46" t="str">
        <f>'SENATE DATA'!N18</f>
        <v>2020 SENATE</v>
      </c>
      <c r="R46" s="10">
        <f t="shared" si="6"/>
        <v>3.1588235294117695</v>
      </c>
      <c r="S46" s="10">
        <f t="shared" si="7"/>
        <v>1.4910550222230583</v>
      </c>
      <c r="T46" s="10">
        <f t="shared" si="8"/>
        <v>1.6677685071887112</v>
      </c>
    </row>
    <row r="47" spans="1:20" x14ac:dyDescent="0.2">
      <c r="A47" t="str">
        <f>'SENATE DATA'!A19</f>
        <v>Michigan</v>
      </c>
      <c r="B47" s="10">
        <f>'SENATE DATA'!B19</f>
        <v>8.1077773597609397</v>
      </c>
      <c r="C47" s="10">
        <f t="shared" si="0"/>
        <v>-0.29999999999999893</v>
      </c>
      <c r="D47" s="10">
        <f>2*('SENATE DATA'!D19*('HOUSE DASHBOARD'!$B$14-42.4)+'SENATE DATA'!E19*('HOUSE DASHBOARD'!$B$15-54.2)+'SENATE DATA'!F19*('HOUSE DASHBOARD'!$B$16-85.4)+'SENATE DATA'!G19*('HOUSE DASHBOARD'!$B$17-60.7)+'SENATE DATA'!H19*('HOUSE DASHBOARD'!$B$18-53.5))/100</f>
        <v>0</v>
      </c>
      <c r="E47" s="10">
        <f>2*('SENATE DATA'!I19*('HOUSE DASHBOARD'!$B$21-55.6)+(100-'SENATE DATA'!I19)*('HOUSE DASHBOARD'!$B$22-44.9))/100</f>
        <v>0</v>
      </c>
      <c r="F47" s="10">
        <f>0</f>
        <v>0</v>
      </c>
      <c r="G47" s="10">
        <f t="shared" si="1"/>
        <v>0</v>
      </c>
      <c r="H47" s="2">
        <f>'SENATE DATA'!C19+C47+G47</f>
        <v>8.4500000000000011</v>
      </c>
      <c r="I47" s="3" t="str">
        <f t="shared" si="2"/>
        <v>D</v>
      </c>
      <c r="J47" s="1" t="str">
        <f>'SENATE DATA'!K19</f>
        <v>D</v>
      </c>
      <c r="K47" s="1" t="str">
        <f t="shared" si="3"/>
        <v>—</v>
      </c>
      <c r="L47" t="str">
        <f t="shared" si="4"/>
        <v>D+8.45</v>
      </c>
      <c r="M47">
        <f>COUNTIF($H$32:$H$66,"&gt;"&amp;H47)+COUNTIF($H$32:H47,H47)</f>
        <v>12</v>
      </c>
      <c r="N47" s="7">
        <f t="shared" si="5"/>
        <v>8.4500000000000011</v>
      </c>
      <c r="O47">
        <f>COUNTIF($N$32:$N$66,"&lt;"&amp;N47)+COUNTIF($N$32:N47,N47)</f>
        <v>13</v>
      </c>
      <c r="P47" s="10">
        <f>'SENATE DATA'!M19</f>
        <v>-1.42</v>
      </c>
      <c r="Q47" t="str">
        <f>'SENATE DATA'!N19</f>
        <v>2024 PRESIDENTIAL</v>
      </c>
      <c r="R47" s="10">
        <f t="shared" si="6"/>
        <v>9.870000000000001</v>
      </c>
      <c r="S47" s="10">
        <f t="shared" si="7"/>
        <v>9.5277773597609396</v>
      </c>
      <c r="T47" s="10">
        <f t="shared" si="8"/>
        <v>0.34222264023906135</v>
      </c>
    </row>
    <row r="48" spans="1:20" x14ac:dyDescent="0.2">
      <c r="A48" t="str">
        <f>'SENATE DATA'!A20</f>
        <v>Minnesota</v>
      </c>
      <c r="B48" s="10">
        <f>'SENATE DATA'!B20</f>
        <v>12.401650997713446</v>
      </c>
      <c r="C48" s="10">
        <f t="shared" si="0"/>
        <v>-0.29999999999999893</v>
      </c>
      <c r="D48" s="10">
        <f>2*('SENATE DATA'!D20*('HOUSE DASHBOARD'!$B$14-42.4)+'SENATE DATA'!E20*('HOUSE DASHBOARD'!$B$15-54.2)+'SENATE DATA'!F20*('HOUSE DASHBOARD'!$B$16-85.4)+'SENATE DATA'!G20*('HOUSE DASHBOARD'!$B$17-60.7)+'SENATE DATA'!H20*('HOUSE DASHBOARD'!$B$18-53.5))/100</f>
        <v>0</v>
      </c>
      <c r="E48" s="10">
        <f>2*('SENATE DATA'!I20*('HOUSE DASHBOARD'!$B$21-55.6)+(100-'SENATE DATA'!I20)*('HOUSE DASHBOARD'!$B$22-44.9))/100</f>
        <v>0</v>
      </c>
      <c r="F48" s="10">
        <f>0</f>
        <v>0</v>
      </c>
      <c r="G48" s="10">
        <f t="shared" si="1"/>
        <v>0</v>
      </c>
      <c r="H48" s="2">
        <f>'SENATE DATA'!C20+C48+G48</f>
        <v>14.110000000000001</v>
      </c>
      <c r="I48" s="3" t="str">
        <f t="shared" si="2"/>
        <v>D</v>
      </c>
      <c r="J48" s="1" t="str">
        <f>'SENATE DATA'!K20</f>
        <v>D</v>
      </c>
      <c r="K48" s="1" t="str">
        <f t="shared" si="3"/>
        <v>—</v>
      </c>
      <c r="L48" t="str">
        <f t="shared" si="4"/>
        <v>D+14.11</v>
      </c>
      <c r="M48">
        <f>COUNTIF($H$32:$H$66,"&gt;"&amp;H48)+COUNTIF($H$32:H48,H48)</f>
        <v>8</v>
      </c>
      <c r="N48" s="7">
        <f t="shared" si="5"/>
        <v>14.110000000000001</v>
      </c>
      <c r="O48">
        <f>COUNTIF($N$32:$N$66,"&lt;"&amp;N48)+COUNTIF($N$32:N48,N48)</f>
        <v>21</v>
      </c>
      <c r="P48" s="10">
        <f>'SENATE DATA'!M20</f>
        <v>4.24</v>
      </c>
      <c r="Q48" t="str">
        <f>'SENATE DATA'!N20</f>
        <v>2024 PRESIDENTIAL</v>
      </c>
      <c r="R48" s="10">
        <f t="shared" si="6"/>
        <v>9.870000000000001</v>
      </c>
      <c r="S48" s="10">
        <f t="shared" si="7"/>
        <v>8.1616509977134459</v>
      </c>
      <c r="T48" s="10">
        <f t="shared" si="8"/>
        <v>1.7083490022865551</v>
      </c>
    </row>
    <row r="49" spans="1:20" x14ac:dyDescent="0.2">
      <c r="A49" t="str">
        <f>'SENATE DATA'!A21</f>
        <v>Mississippi</v>
      </c>
      <c r="B49" s="10">
        <f>'SENATE DATA'!B21</f>
        <v>-4.7078959241796863</v>
      </c>
      <c r="C49" s="10">
        <f t="shared" si="0"/>
        <v>-0.29999999999999893</v>
      </c>
      <c r="D49" s="10">
        <f>2*('SENATE DATA'!D21*('HOUSE DASHBOARD'!$B$14-42.4)+'SENATE DATA'!E21*('HOUSE DASHBOARD'!$B$15-54.2)+'SENATE DATA'!F21*('HOUSE DASHBOARD'!$B$16-85.4)+'SENATE DATA'!G21*('HOUSE DASHBOARD'!$B$17-60.7)+'SENATE DATA'!H21*('HOUSE DASHBOARD'!$B$18-53.5))/100</f>
        <v>0</v>
      </c>
      <c r="E49" s="10">
        <f>2*('SENATE DATA'!I21*('HOUSE DASHBOARD'!$B$21-55.6)+(100-'SENATE DATA'!I21)*('HOUSE DASHBOARD'!$B$22-44.9))/100</f>
        <v>0</v>
      </c>
      <c r="F49" s="10">
        <f>0</f>
        <v>0</v>
      </c>
      <c r="G49" s="10">
        <f t="shared" si="1"/>
        <v>0</v>
      </c>
      <c r="H49" s="2">
        <f>'SENATE DATA'!C21+C49+G49</f>
        <v>-6.05</v>
      </c>
      <c r="I49" s="3" t="str">
        <f t="shared" si="2"/>
        <v>R</v>
      </c>
      <c r="J49" s="1" t="str">
        <f>'SENATE DATA'!K21</f>
        <v>R</v>
      </c>
      <c r="K49" s="1" t="str">
        <f t="shared" si="3"/>
        <v>—</v>
      </c>
      <c r="L49" t="str">
        <f t="shared" si="4"/>
        <v>R+6.05</v>
      </c>
      <c r="M49">
        <f>COUNTIF($H$32:$H$66,"&gt;"&amp;H49)+COUNTIF($H$32:H49,H49)</f>
        <v>22</v>
      </c>
      <c r="N49" s="7">
        <f t="shared" si="5"/>
        <v>6.05</v>
      </c>
      <c r="O49">
        <f>COUNTIF($N$32:$N$66,"&lt;"&amp;N49)+COUNTIF($N$32:N49,N49)</f>
        <v>8</v>
      </c>
      <c r="P49" s="10">
        <f>'SENATE DATA'!M21</f>
        <v>-10</v>
      </c>
      <c r="Q49" t="str">
        <f>'SENATE DATA'!N21</f>
        <v>2020 SENATE</v>
      </c>
      <c r="R49" s="10">
        <f t="shared" si="6"/>
        <v>3.95</v>
      </c>
      <c r="S49" s="10">
        <f t="shared" si="7"/>
        <v>5.2921040758203137</v>
      </c>
      <c r="T49" s="10">
        <f t="shared" si="8"/>
        <v>-1.3421040758203135</v>
      </c>
    </row>
    <row r="50" spans="1:20" x14ac:dyDescent="0.2">
      <c r="A50" t="str">
        <f>'SENATE DATA'!A22</f>
        <v>Montana</v>
      </c>
      <c r="B50" s="10">
        <f>'SENATE DATA'!B22</f>
        <v>-11.18296158241262</v>
      </c>
      <c r="C50" s="10">
        <f t="shared" si="0"/>
        <v>-0.29999999999999893</v>
      </c>
      <c r="D50" s="10">
        <f>2*('SENATE DATA'!D22*('HOUSE DASHBOARD'!$B$14-42.4)+'SENATE DATA'!E22*('HOUSE DASHBOARD'!$B$15-54.2)+'SENATE DATA'!F22*('HOUSE DASHBOARD'!$B$16-85.4)+'SENATE DATA'!G22*('HOUSE DASHBOARD'!$B$17-60.7)+'SENATE DATA'!H22*('HOUSE DASHBOARD'!$B$18-53.5))/100</f>
        <v>0</v>
      </c>
      <c r="E50" s="10">
        <f>2*('SENATE DATA'!I22*('HOUSE DASHBOARD'!$B$21-55.6)+(100-'SENATE DATA'!I22)*('HOUSE DASHBOARD'!$B$22-44.9))/100</f>
        <v>0</v>
      </c>
      <c r="F50" s="10">
        <f>0</f>
        <v>0</v>
      </c>
      <c r="G50" s="10">
        <f t="shared" si="1"/>
        <v>0</v>
      </c>
      <c r="H50" s="2">
        <f>'SENATE DATA'!C22+C50+G50</f>
        <v>-10.059999999999999</v>
      </c>
      <c r="I50" s="3" t="str">
        <f t="shared" si="2"/>
        <v>R</v>
      </c>
      <c r="J50" s="1" t="str">
        <f>'SENATE DATA'!K22</f>
        <v>R</v>
      </c>
      <c r="K50" s="1" t="str">
        <f t="shared" si="3"/>
        <v>—</v>
      </c>
      <c r="L50" t="str">
        <f t="shared" si="4"/>
        <v>R+10.06</v>
      </c>
      <c r="M50">
        <f>COUNTIF($H$32:$H$66,"&gt;"&amp;H50)+COUNTIF($H$32:H50,H50)</f>
        <v>25</v>
      </c>
      <c r="N50" s="7">
        <f t="shared" si="5"/>
        <v>10.059999999999999</v>
      </c>
      <c r="O50">
        <f>COUNTIF($N$32:$N$66,"&lt;"&amp;N50)+COUNTIF($N$32:N50,N50)</f>
        <v>15</v>
      </c>
      <c r="P50" s="10">
        <f>'SENATE DATA'!M22</f>
        <v>-19.93</v>
      </c>
      <c r="Q50" t="str">
        <f>'SENATE DATA'!N22</f>
        <v>2024 PRESIDENTIAL</v>
      </c>
      <c r="R50" s="10">
        <f t="shared" si="6"/>
        <v>9.870000000000001</v>
      </c>
      <c r="S50" s="10">
        <f t="shared" si="7"/>
        <v>8.7470384175873797</v>
      </c>
      <c r="T50" s="10">
        <f t="shared" si="8"/>
        <v>1.1229615824126213</v>
      </c>
    </row>
    <row r="51" spans="1:20" x14ac:dyDescent="0.2">
      <c r="A51" t="str">
        <f>'SENATE DATA'!A23</f>
        <v>Nebraska</v>
      </c>
      <c r="B51" s="10">
        <f>'SENATE DATA'!B23</f>
        <v>2.4381446123916213</v>
      </c>
      <c r="C51" s="10">
        <f t="shared" si="0"/>
        <v>-0.29999999999999893</v>
      </c>
      <c r="D51" s="10">
        <f>2*('SENATE DATA'!D23*('HOUSE DASHBOARD'!$B$14-42.4)+'SENATE DATA'!E23*('HOUSE DASHBOARD'!$B$15-54.2)+'SENATE DATA'!F23*('HOUSE DASHBOARD'!$B$16-85.4)+'SENATE DATA'!G23*('HOUSE DASHBOARD'!$B$17-60.7)+'SENATE DATA'!H23*('HOUSE DASHBOARD'!$B$18-53.5))/100</f>
        <v>0</v>
      </c>
      <c r="E51" s="10">
        <f>2*('SENATE DATA'!I23*('HOUSE DASHBOARD'!$B$21-55.6)+(100-'SENATE DATA'!I23)*('HOUSE DASHBOARD'!$B$22-44.9))/100</f>
        <v>0</v>
      </c>
      <c r="F51" s="10">
        <f>0</f>
        <v>0</v>
      </c>
      <c r="G51" s="10">
        <f t="shared" si="1"/>
        <v>0</v>
      </c>
      <c r="H51" s="2">
        <f>'SENATE DATA'!C23+C51+G51</f>
        <v>3.1953120417419782</v>
      </c>
      <c r="I51" s="3" t="str">
        <f t="shared" si="2"/>
        <v>D</v>
      </c>
      <c r="J51" s="1" t="str">
        <f>'SENATE DATA'!K23</f>
        <v>R</v>
      </c>
      <c r="K51" s="1" t="str">
        <f t="shared" si="3"/>
        <v>R → D</v>
      </c>
      <c r="L51" t="str">
        <f t="shared" si="4"/>
        <v>D+3.20</v>
      </c>
      <c r="M51">
        <f>COUNTIF($H$32:$H$66,"&gt;"&amp;H51)+COUNTIF($H$32:H51,H51)</f>
        <v>16</v>
      </c>
      <c r="N51" s="7">
        <f t="shared" si="5"/>
        <v>3.1953120417419782</v>
      </c>
      <c r="O51">
        <f>COUNTIF($N$32:$N$66,"&lt;"&amp;N51)+COUNTIF($N$32:N51,N51)</f>
        <v>3</v>
      </c>
      <c r="P51" s="10">
        <f>'SENATE DATA'!M23</f>
        <v>-6.6746879582580227</v>
      </c>
      <c r="Q51" t="str">
        <f>'SENATE DATA'!N23</f>
        <v>2024 SENATE (returning challenger)</v>
      </c>
      <c r="R51" s="10">
        <f t="shared" si="6"/>
        <v>9.870000000000001</v>
      </c>
      <c r="S51" s="10">
        <f t="shared" si="7"/>
        <v>9.112832570649644</v>
      </c>
      <c r="T51" s="10">
        <f t="shared" si="8"/>
        <v>0.75716742935035697</v>
      </c>
    </row>
    <row r="52" spans="1:20" x14ac:dyDescent="0.2">
      <c r="A52" t="str">
        <f>'SENATE DATA'!A24</f>
        <v>New Hampshire</v>
      </c>
      <c r="B52" s="10">
        <f>'SENATE DATA'!B24</f>
        <v>9.9217723567824905</v>
      </c>
      <c r="C52" s="10">
        <f t="shared" si="0"/>
        <v>-0.29999999999999893</v>
      </c>
      <c r="D52" s="10">
        <f>2*('SENATE DATA'!D24*('HOUSE DASHBOARD'!$B$14-42.4)+'SENATE DATA'!E24*('HOUSE DASHBOARD'!$B$15-54.2)+'SENATE DATA'!F24*('HOUSE DASHBOARD'!$B$16-85.4)+'SENATE DATA'!G24*('HOUSE DASHBOARD'!$B$17-60.7)+'SENATE DATA'!H24*('HOUSE DASHBOARD'!$B$18-53.5))/100</f>
        <v>0</v>
      </c>
      <c r="E52" s="10">
        <f>2*('SENATE DATA'!I24*('HOUSE DASHBOARD'!$B$21-55.6)+(100-'SENATE DATA'!I24)*('HOUSE DASHBOARD'!$B$22-44.9))/100</f>
        <v>0</v>
      </c>
      <c r="F52" s="10">
        <f>0</f>
        <v>0</v>
      </c>
      <c r="G52" s="10">
        <f t="shared" si="1"/>
        <v>0</v>
      </c>
      <c r="H52" s="2">
        <f>'SENATE DATA'!C24+C52+G52</f>
        <v>12.65</v>
      </c>
      <c r="I52" s="3" t="str">
        <f t="shared" si="2"/>
        <v>D</v>
      </c>
      <c r="J52" s="1" t="str">
        <f>'SENATE DATA'!K24</f>
        <v>D</v>
      </c>
      <c r="K52" s="1" t="str">
        <f t="shared" si="3"/>
        <v>—</v>
      </c>
      <c r="L52" t="str">
        <f t="shared" si="4"/>
        <v>D+12.65</v>
      </c>
      <c r="M52">
        <f>COUNTIF($H$32:$H$66,"&gt;"&amp;H52)+COUNTIF($H$32:H52,H52)</f>
        <v>10</v>
      </c>
      <c r="N52" s="7">
        <f t="shared" si="5"/>
        <v>12.65</v>
      </c>
      <c r="O52">
        <f>COUNTIF($N$32:$N$66,"&lt;"&amp;N52)+COUNTIF($N$32:N52,N52)</f>
        <v>18</v>
      </c>
      <c r="P52" s="10">
        <f>'SENATE DATA'!M24</f>
        <v>2.78</v>
      </c>
      <c r="Q52" t="str">
        <f>'SENATE DATA'!N24</f>
        <v>2024 PRESIDENTIAL</v>
      </c>
      <c r="R52" s="10">
        <f t="shared" si="6"/>
        <v>9.870000000000001</v>
      </c>
      <c r="S52" s="10">
        <f t="shared" si="7"/>
        <v>7.1417723567824911</v>
      </c>
      <c r="T52" s="10">
        <f t="shared" si="8"/>
        <v>2.7282276432175099</v>
      </c>
    </row>
    <row r="53" spans="1:20" x14ac:dyDescent="0.2">
      <c r="A53" t="str">
        <f>'SENATE DATA'!A25</f>
        <v>New Jersey</v>
      </c>
      <c r="B53" s="10">
        <f>'SENATE DATA'!B25</f>
        <v>16.91549628526548</v>
      </c>
      <c r="C53" s="10">
        <f t="shared" si="0"/>
        <v>-0.29999999999999893</v>
      </c>
      <c r="D53" s="10">
        <f>2*('SENATE DATA'!D25*('HOUSE DASHBOARD'!$B$14-42.4)+'SENATE DATA'!E25*('HOUSE DASHBOARD'!$B$15-54.2)+'SENATE DATA'!F25*('HOUSE DASHBOARD'!$B$16-85.4)+'SENATE DATA'!G25*('HOUSE DASHBOARD'!$B$17-60.7)+'SENATE DATA'!H25*('HOUSE DASHBOARD'!$B$18-53.5))/100</f>
        <v>0</v>
      </c>
      <c r="E53" s="10">
        <f>2*('SENATE DATA'!I25*('HOUSE DASHBOARD'!$B$21-55.6)+(100-'SENATE DATA'!I25)*('HOUSE DASHBOARD'!$B$22-44.9))/100</f>
        <v>0</v>
      </c>
      <c r="F53" s="10">
        <f>0</f>
        <v>0</v>
      </c>
      <c r="G53" s="10">
        <f t="shared" si="1"/>
        <v>0</v>
      </c>
      <c r="H53" s="2">
        <f>'SENATE DATA'!C25+C53+G53</f>
        <v>17.152941176470591</v>
      </c>
      <c r="I53" s="3" t="str">
        <f t="shared" si="2"/>
        <v>D</v>
      </c>
      <c r="J53" s="1" t="str">
        <f>'SENATE DATA'!K25</f>
        <v>D</v>
      </c>
      <c r="K53" s="1" t="str">
        <f t="shared" si="3"/>
        <v>—</v>
      </c>
      <c r="L53" t="str">
        <f t="shared" si="4"/>
        <v>D+17.15</v>
      </c>
      <c r="M53">
        <f>COUNTIF($H$32:$H$66,"&gt;"&amp;H53)+COUNTIF($H$32:H53,H53)</f>
        <v>5</v>
      </c>
      <c r="N53" s="7">
        <f t="shared" si="5"/>
        <v>17.152941176470591</v>
      </c>
      <c r="O53">
        <f>COUNTIF($N$32:$N$66,"&lt;"&amp;N53)+COUNTIF($N$32:N53,N53)</f>
        <v>24</v>
      </c>
      <c r="P53" s="10">
        <f>'SENATE DATA'!M25</f>
        <v>16.3</v>
      </c>
      <c r="Q53" t="str">
        <f>'SENATE DATA'!N25</f>
        <v>2020 SENATE</v>
      </c>
      <c r="R53" s="10">
        <f t="shared" si="6"/>
        <v>0.85294117647059053</v>
      </c>
      <c r="S53" s="10">
        <f t="shared" si="7"/>
        <v>0.61549628526547906</v>
      </c>
      <c r="T53" s="10">
        <f t="shared" si="8"/>
        <v>0.23744489120511147</v>
      </c>
    </row>
    <row r="54" spans="1:20" x14ac:dyDescent="0.2">
      <c r="A54" t="str">
        <f>'SENATE DATA'!A26</f>
        <v>New Mexico</v>
      </c>
      <c r="B54" s="10">
        <f>'SENATE DATA'!B26</f>
        <v>13.380567734586766</v>
      </c>
      <c r="C54" s="10">
        <f t="shared" si="0"/>
        <v>-0.29999999999999893</v>
      </c>
      <c r="D54" s="10">
        <f>2*('SENATE DATA'!D26*('HOUSE DASHBOARD'!$B$14-42.4)+'SENATE DATA'!E26*('HOUSE DASHBOARD'!$B$15-54.2)+'SENATE DATA'!F26*('HOUSE DASHBOARD'!$B$16-85.4)+'SENATE DATA'!G26*('HOUSE DASHBOARD'!$B$17-60.7)+'SENATE DATA'!H26*('HOUSE DASHBOARD'!$B$18-53.5))/100</f>
        <v>0</v>
      </c>
      <c r="E54" s="10">
        <f>2*('SENATE DATA'!I26*('HOUSE DASHBOARD'!$B$21-55.6)+(100-'SENATE DATA'!I26)*('HOUSE DASHBOARD'!$B$22-44.9))/100</f>
        <v>0</v>
      </c>
      <c r="F54" s="10">
        <f>0</f>
        <v>0</v>
      </c>
      <c r="G54" s="10">
        <f t="shared" si="1"/>
        <v>0</v>
      </c>
      <c r="H54" s="2">
        <f>'SENATE DATA'!C26+C54+G54</f>
        <v>10.049999999999999</v>
      </c>
      <c r="I54" s="3" t="str">
        <f t="shared" si="2"/>
        <v>D</v>
      </c>
      <c r="J54" s="1" t="str">
        <f>'SENATE DATA'!K26</f>
        <v>D</v>
      </c>
      <c r="K54" s="1" t="str">
        <f t="shared" si="3"/>
        <v>—</v>
      </c>
      <c r="L54" t="str">
        <f t="shared" si="4"/>
        <v>D+10.05</v>
      </c>
      <c r="M54">
        <f>COUNTIF($H$32:$H$66,"&gt;"&amp;H54)+COUNTIF($H$32:H54,H54)</f>
        <v>11</v>
      </c>
      <c r="N54" s="7">
        <f t="shared" si="5"/>
        <v>10.049999999999999</v>
      </c>
      <c r="O54">
        <f>COUNTIF($N$32:$N$66,"&lt;"&amp;N54)+COUNTIF($N$32:N54,N54)</f>
        <v>14</v>
      </c>
      <c r="P54" s="10">
        <f>'SENATE DATA'!M26</f>
        <v>6.1</v>
      </c>
      <c r="Q54" t="str">
        <f>'SENATE DATA'!N26</f>
        <v>2020 SENATE</v>
      </c>
      <c r="R54" s="10">
        <f t="shared" si="6"/>
        <v>3.9499999999999993</v>
      </c>
      <c r="S54" s="10">
        <f t="shared" si="7"/>
        <v>7.2805677345867661</v>
      </c>
      <c r="T54" s="10">
        <f t="shared" si="8"/>
        <v>-3.3305677345867668</v>
      </c>
    </row>
    <row r="55" spans="1:20" x14ac:dyDescent="0.2">
      <c r="A55" t="str">
        <f>'SENATE DATA'!A27</f>
        <v>North Carolina</v>
      </c>
      <c r="B55" s="10">
        <f>'SENATE DATA'!B27</f>
        <v>6.7515311202656445</v>
      </c>
      <c r="C55" s="10">
        <f t="shared" si="0"/>
        <v>-0.29999999999999893</v>
      </c>
      <c r="D55" s="10">
        <f>2*('SENATE DATA'!D27*('HOUSE DASHBOARD'!$B$14-42.4)+'SENATE DATA'!E27*('HOUSE DASHBOARD'!$B$15-54.2)+'SENATE DATA'!F27*('HOUSE DASHBOARD'!$B$16-85.4)+'SENATE DATA'!G27*('HOUSE DASHBOARD'!$B$17-60.7)+'SENATE DATA'!H27*('HOUSE DASHBOARD'!$B$18-53.5))/100</f>
        <v>0</v>
      </c>
      <c r="E55" s="10">
        <f>2*('SENATE DATA'!I27*('HOUSE DASHBOARD'!$B$21-55.6)+(100-'SENATE DATA'!I27)*('HOUSE DASHBOARD'!$B$22-44.9))/100</f>
        <v>0</v>
      </c>
      <c r="F55" s="10">
        <f>0</f>
        <v>0</v>
      </c>
      <c r="G55" s="10">
        <f t="shared" si="1"/>
        <v>0</v>
      </c>
      <c r="H55" s="2">
        <f>'SENATE DATA'!C27+C55+G55</f>
        <v>6.660000000000001</v>
      </c>
      <c r="I55" s="3" t="str">
        <f t="shared" si="2"/>
        <v>D</v>
      </c>
      <c r="J55" s="1" t="str">
        <f>'SENATE DATA'!K27</f>
        <v>R</v>
      </c>
      <c r="K55" s="1" t="str">
        <f t="shared" si="3"/>
        <v>R → D</v>
      </c>
      <c r="L55" t="str">
        <f t="shared" si="4"/>
        <v>D+6.66</v>
      </c>
      <c r="M55">
        <f>COUNTIF($H$32:$H$66,"&gt;"&amp;H55)+COUNTIF($H$32:H55,H55)</f>
        <v>13</v>
      </c>
      <c r="N55" s="7">
        <f t="shared" si="5"/>
        <v>6.660000000000001</v>
      </c>
      <c r="O55">
        <f>COUNTIF($N$32:$N$66,"&lt;"&amp;N55)+COUNTIF($N$32:N55,N55)</f>
        <v>10</v>
      </c>
      <c r="P55" s="10">
        <f>'SENATE DATA'!M27</f>
        <v>-3.21</v>
      </c>
      <c r="Q55" t="str">
        <f>'SENATE DATA'!N27</f>
        <v>2024 PRESIDENTIAL</v>
      </c>
      <c r="R55" s="10">
        <f t="shared" si="6"/>
        <v>9.870000000000001</v>
      </c>
      <c r="S55" s="10">
        <f t="shared" si="7"/>
        <v>9.9615311202656436</v>
      </c>
      <c r="T55" s="10">
        <f t="shared" si="8"/>
        <v>-9.1531120265643473E-2</v>
      </c>
    </row>
    <row r="56" spans="1:20" x14ac:dyDescent="0.2">
      <c r="A56" t="str">
        <f>'SENATE DATA'!A28</f>
        <v>Ohio</v>
      </c>
      <c r="B56" s="10">
        <f>'SENATE DATA'!B28</f>
        <v>5.8345218592477854</v>
      </c>
      <c r="C56" s="10">
        <f t="shared" si="0"/>
        <v>-0.29999999999999893</v>
      </c>
      <c r="D56" s="10">
        <f>2*('SENATE DATA'!D28*('HOUSE DASHBOARD'!$B$14-42.4)+'SENATE DATA'!E28*('HOUSE DASHBOARD'!$B$15-54.2)+'SENATE DATA'!F28*('HOUSE DASHBOARD'!$B$16-85.4)+'SENATE DATA'!G28*('HOUSE DASHBOARD'!$B$17-60.7)+'SENATE DATA'!H28*('HOUSE DASHBOARD'!$B$18-53.5))/100</f>
        <v>0</v>
      </c>
      <c r="E56" s="10">
        <f>2*('SENATE DATA'!I28*('HOUSE DASHBOARD'!$B$21-55.6)+(100-'SENATE DATA'!I28)*('HOUSE DASHBOARD'!$B$22-44.9))/100</f>
        <v>0</v>
      </c>
      <c r="F56" s="10">
        <f>0</f>
        <v>0</v>
      </c>
      <c r="G56" s="10">
        <f t="shared" si="1"/>
        <v>0</v>
      </c>
      <c r="H56" s="2">
        <f>'SENATE DATA'!C28+C56+G56</f>
        <v>6.2512839417875341</v>
      </c>
      <c r="I56" s="3" t="str">
        <f t="shared" si="2"/>
        <v>D</v>
      </c>
      <c r="J56" s="1" t="str">
        <f>'SENATE DATA'!K28</f>
        <v>R</v>
      </c>
      <c r="K56" s="1" t="str">
        <f t="shared" si="3"/>
        <v>R → D</v>
      </c>
      <c r="L56" t="str">
        <f t="shared" si="4"/>
        <v>D+6.25</v>
      </c>
      <c r="M56">
        <f>COUNTIF($H$32:$H$66,"&gt;"&amp;H56)+COUNTIF($H$32:H56,H56)</f>
        <v>14</v>
      </c>
      <c r="N56" s="7">
        <f t="shared" si="5"/>
        <v>6.2512839417875341</v>
      </c>
      <c r="O56">
        <f>COUNTIF($N$32:$N$66,"&lt;"&amp;N56)+COUNTIF($N$32:N56,N56)</f>
        <v>9</v>
      </c>
      <c r="P56" s="10">
        <f>'SENATE DATA'!M28</f>
        <v>-3.6187160582124664</v>
      </c>
      <c r="Q56" t="str">
        <f>'SENATE DATA'!N28</f>
        <v>2024 SENATE (returning challenger)</v>
      </c>
      <c r="R56" s="10">
        <f t="shared" si="6"/>
        <v>9.870000000000001</v>
      </c>
      <c r="S56" s="10">
        <f t="shared" si="7"/>
        <v>9.4532379174602514</v>
      </c>
      <c r="T56" s="10">
        <f t="shared" si="8"/>
        <v>0.41676208253974867</v>
      </c>
    </row>
    <row r="57" spans="1:20" x14ac:dyDescent="0.2">
      <c r="A57" t="str">
        <f>'SENATE DATA'!A29</f>
        <v>Oklahoma</v>
      </c>
      <c r="B57" s="10">
        <f>'SENATE DATA'!B29</f>
        <v>-23.946920842819928</v>
      </c>
      <c r="C57" s="10">
        <f t="shared" si="0"/>
        <v>-0.29999999999999893</v>
      </c>
      <c r="D57" s="10">
        <f>2*('SENATE DATA'!D29*('HOUSE DASHBOARD'!$B$14-42.4)+'SENATE DATA'!E29*('HOUSE DASHBOARD'!$B$15-54.2)+'SENATE DATA'!F29*('HOUSE DASHBOARD'!$B$16-85.4)+'SENATE DATA'!G29*('HOUSE DASHBOARD'!$B$17-60.7)+'SENATE DATA'!H29*('HOUSE DASHBOARD'!$B$18-53.5))/100</f>
        <v>0</v>
      </c>
      <c r="E57" s="10">
        <f>2*('SENATE DATA'!I29*('HOUSE DASHBOARD'!$B$21-55.6)+(100-'SENATE DATA'!I29)*('HOUSE DASHBOARD'!$B$22-44.9))/100</f>
        <v>0</v>
      </c>
      <c r="F57" s="10">
        <f>0</f>
        <v>0</v>
      </c>
      <c r="G57" s="10">
        <f t="shared" si="1"/>
        <v>0</v>
      </c>
      <c r="H57" s="2">
        <f>'SENATE DATA'!C29+C57+G57</f>
        <v>-24.389999999999993</v>
      </c>
      <c r="I57" s="3" t="str">
        <f t="shared" si="2"/>
        <v>R</v>
      </c>
      <c r="J57" s="1" t="str">
        <f>'SENATE DATA'!K29</f>
        <v>R</v>
      </c>
      <c r="K57" s="1" t="str">
        <f t="shared" si="3"/>
        <v>—</v>
      </c>
      <c r="L57" t="str">
        <f t="shared" si="4"/>
        <v>R+24.39</v>
      </c>
      <c r="M57">
        <f>COUNTIF($H$32:$H$66,"&gt;"&amp;H57)+COUNTIF($H$32:H57,H57)</f>
        <v>33</v>
      </c>
      <c r="N57" s="7">
        <f t="shared" si="5"/>
        <v>24.389999999999993</v>
      </c>
      <c r="O57">
        <f>COUNTIF($N$32:$N$66,"&lt;"&amp;N57)+COUNTIF($N$32:N57,N57)</f>
        <v>30</v>
      </c>
      <c r="P57" s="10">
        <f>'SENATE DATA'!M29</f>
        <v>-34.26</v>
      </c>
      <c r="Q57" t="str">
        <f>'SENATE DATA'!N29</f>
        <v>2024 PRESIDENTIAL</v>
      </c>
      <c r="R57" s="10">
        <f t="shared" si="6"/>
        <v>9.8700000000000045</v>
      </c>
      <c r="S57" s="10">
        <f t="shared" si="7"/>
        <v>10.31307915718007</v>
      </c>
      <c r="T57" s="10">
        <f t="shared" si="8"/>
        <v>-0.44307915718006541</v>
      </c>
    </row>
    <row r="58" spans="1:20" x14ac:dyDescent="0.2">
      <c r="A58" t="str">
        <f>'SENATE DATA'!A30</f>
        <v>Oregon</v>
      </c>
      <c r="B58" s="10">
        <f>'SENATE DATA'!B30</f>
        <v>15.992831931335314</v>
      </c>
      <c r="C58" s="10">
        <f t="shared" si="0"/>
        <v>-0.29999999999999893</v>
      </c>
      <c r="D58" s="10">
        <f>2*('SENATE DATA'!D30*('HOUSE DASHBOARD'!$B$14-42.4)+'SENATE DATA'!E30*('HOUSE DASHBOARD'!$B$15-54.2)+'SENATE DATA'!F30*('HOUSE DASHBOARD'!$B$16-85.4)+'SENATE DATA'!G30*('HOUSE DASHBOARD'!$B$17-60.7)+'SENATE DATA'!H30*('HOUSE DASHBOARD'!$B$18-53.5))/100</f>
        <v>0</v>
      </c>
      <c r="E58" s="10">
        <f>2*('SENATE DATA'!I30*('HOUSE DASHBOARD'!$B$21-55.6)+(100-'SENATE DATA'!I30)*('HOUSE DASHBOARD'!$B$22-44.9))/100</f>
        <v>0</v>
      </c>
      <c r="F58" s="10">
        <f>0</f>
        <v>0</v>
      </c>
      <c r="G58" s="10">
        <f t="shared" si="1"/>
        <v>0</v>
      </c>
      <c r="H58" s="2">
        <f>'SENATE DATA'!C30+C58+G58</f>
        <v>16.805882352941182</v>
      </c>
      <c r="I58" s="3" t="str">
        <f t="shared" si="2"/>
        <v>D</v>
      </c>
      <c r="J58" s="1" t="str">
        <f>'SENATE DATA'!K30</f>
        <v>D</v>
      </c>
      <c r="K58" s="1" t="str">
        <f t="shared" si="3"/>
        <v>—</v>
      </c>
      <c r="L58" t="str">
        <f t="shared" si="4"/>
        <v>D+16.81</v>
      </c>
      <c r="M58">
        <f>COUNTIF($H$32:$H$66,"&gt;"&amp;H58)+COUNTIF($H$32:H58,H58)</f>
        <v>6</v>
      </c>
      <c r="N58" s="7">
        <f t="shared" si="5"/>
        <v>16.805882352941182</v>
      </c>
      <c r="O58">
        <f>COUNTIF($N$32:$N$66,"&lt;"&amp;N58)+COUNTIF($N$32:N58,N58)</f>
        <v>23</v>
      </c>
      <c r="P58" s="10">
        <f>'SENATE DATA'!M30</f>
        <v>17.600000000000001</v>
      </c>
      <c r="Q58" t="str">
        <f>'SENATE DATA'!N30</f>
        <v>2020 SENATE</v>
      </c>
      <c r="R58" s="10">
        <f t="shared" si="6"/>
        <v>-0.79411764705881893</v>
      </c>
      <c r="S58" s="10">
        <f t="shared" si="7"/>
        <v>-1.6071680686646879</v>
      </c>
      <c r="T58" s="10">
        <f t="shared" si="8"/>
        <v>0.81305042160586893</v>
      </c>
    </row>
    <row r="59" spans="1:20" x14ac:dyDescent="0.2">
      <c r="A59" t="str">
        <f>'SENATE DATA'!A31</f>
        <v>Rhode Island</v>
      </c>
      <c r="B59" s="10">
        <f>'SENATE DATA'!B31</f>
        <v>28.306933394641657</v>
      </c>
      <c r="C59" s="10">
        <f t="shared" si="0"/>
        <v>-0.29999999999999893</v>
      </c>
      <c r="D59" s="10">
        <f>2*('SENATE DATA'!D31*('HOUSE DASHBOARD'!$B$14-42.4)+'SENATE DATA'!E31*('HOUSE DASHBOARD'!$B$15-54.2)+'SENATE DATA'!F31*('HOUSE DASHBOARD'!$B$16-85.4)+'SENATE DATA'!G31*('HOUSE DASHBOARD'!$B$17-60.7)+'SENATE DATA'!H31*('HOUSE DASHBOARD'!$B$18-53.5))/100</f>
        <v>0</v>
      </c>
      <c r="E59" s="10">
        <f>2*('SENATE DATA'!I31*('HOUSE DASHBOARD'!$B$21-55.6)+(100-'SENATE DATA'!I31)*('HOUSE DASHBOARD'!$B$22-44.9))/100</f>
        <v>0</v>
      </c>
      <c r="F59" s="10">
        <f>0</f>
        <v>0</v>
      </c>
      <c r="G59" s="10">
        <f t="shared" si="1"/>
        <v>0</v>
      </c>
      <c r="H59" s="2">
        <f>'SENATE DATA'!C31+C59+G59</f>
        <v>29.382352941176478</v>
      </c>
      <c r="I59" s="3" t="str">
        <f t="shared" si="2"/>
        <v>D</v>
      </c>
      <c r="J59" s="1" t="str">
        <f>'SENATE DATA'!K31</f>
        <v>D</v>
      </c>
      <c r="K59" s="1" t="str">
        <f t="shared" si="3"/>
        <v>—</v>
      </c>
      <c r="L59" t="str">
        <f t="shared" si="4"/>
        <v>D+29.38</v>
      </c>
      <c r="M59">
        <f>COUNTIF($H$32:$H$66,"&gt;"&amp;H59)+COUNTIF($H$32:H59,H59)</f>
        <v>2</v>
      </c>
      <c r="N59" s="7">
        <f t="shared" si="5"/>
        <v>29.382352941176478</v>
      </c>
      <c r="O59">
        <f>COUNTIF($N$32:$N$66,"&lt;"&amp;N59)+COUNTIF($N$32:N59,N59)</f>
        <v>32</v>
      </c>
      <c r="P59" s="10">
        <f>'SENATE DATA'!M31</f>
        <v>33.1</v>
      </c>
      <c r="Q59" t="str">
        <f>'SENATE DATA'!N31</f>
        <v>2020 SENATE</v>
      </c>
      <c r="R59" s="10">
        <f t="shared" si="6"/>
        <v>-3.7176470588235233</v>
      </c>
      <c r="S59" s="10">
        <f t="shared" si="7"/>
        <v>-4.7930666053583444</v>
      </c>
      <c r="T59" s="10">
        <f t="shared" si="8"/>
        <v>1.0754195465348211</v>
      </c>
    </row>
    <row r="60" spans="1:20" x14ac:dyDescent="0.2">
      <c r="A60" t="str">
        <f>'SENATE DATA'!A32</f>
        <v>South Carolina</v>
      </c>
      <c r="B60" s="10">
        <f>'SENATE DATA'!B32</f>
        <v>-7.6618332158548812</v>
      </c>
      <c r="C60" s="10">
        <f t="shared" si="0"/>
        <v>-0.29999999999999893</v>
      </c>
      <c r="D60" s="10">
        <f>2*('SENATE DATA'!D32*('HOUSE DASHBOARD'!$B$14-42.4)+'SENATE DATA'!E32*('HOUSE DASHBOARD'!$B$15-54.2)+'SENATE DATA'!F32*('HOUSE DASHBOARD'!$B$16-85.4)+'SENATE DATA'!G32*('HOUSE DASHBOARD'!$B$17-60.7)+'SENATE DATA'!H32*('HOUSE DASHBOARD'!$B$18-53.5))/100</f>
        <v>0</v>
      </c>
      <c r="E60" s="10">
        <f>2*('SENATE DATA'!I32*('HOUSE DASHBOARD'!$B$21-55.6)+(100-'SENATE DATA'!I32)*('HOUSE DASHBOARD'!$B$22-44.9))/100</f>
        <v>0</v>
      </c>
      <c r="F60" s="10">
        <f>0</f>
        <v>0</v>
      </c>
      <c r="G60" s="10">
        <f t="shared" si="1"/>
        <v>0</v>
      </c>
      <c r="H60" s="2">
        <f>'SENATE DATA'!C32+C60+G60</f>
        <v>-8</v>
      </c>
      <c r="I60" s="3" t="str">
        <f t="shared" si="2"/>
        <v>R</v>
      </c>
      <c r="J60" s="1" t="str">
        <f>'SENATE DATA'!K32</f>
        <v>R</v>
      </c>
      <c r="K60" s="1" t="str">
        <f t="shared" si="3"/>
        <v>—</v>
      </c>
      <c r="L60" t="str">
        <f t="shared" si="4"/>
        <v>R+8.00</v>
      </c>
      <c r="M60">
        <f>COUNTIF($H$32:$H$66,"&gt;"&amp;H60)+COUNTIF($H$32:H60,H60)</f>
        <v>24</v>
      </c>
      <c r="N60" s="7">
        <f t="shared" si="5"/>
        <v>8</v>
      </c>
      <c r="O60">
        <f>COUNTIF($N$32:$N$66,"&lt;"&amp;N60)+COUNTIF($N$32:N60,N60)</f>
        <v>12</v>
      </c>
      <c r="P60" s="10">
        <f>'SENATE DATA'!M32</f>
        <v>-17.87</v>
      </c>
      <c r="Q60" t="str">
        <f>'SENATE DATA'!N32</f>
        <v>2024 PRESIDENTIAL</v>
      </c>
      <c r="R60" s="10">
        <f t="shared" si="6"/>
        <v>9.870000000000001</v>
      </c>
      <c r="S60" s="10">
        <f t="shared" si="7"/>
        <v>10.208166784145121</v>
      </c>
      <c r="T60" s="10">
        <f t="shared" si="8"/>
        <v>-0.3381667841451188</v>
      </c>
    </row>
    <row r="61" spans="1:20" x14ac:dyDescent="0.2">
      <c r="A61" t="str">
        <f>'SENATE DATA'!A33</f>
        <v>South Dakota</v>
      </c>
      <c r="B61" s="10">
        <f>'SENATE DATA'!B33</f>
        <v>-27.15</v>
      </c>
      <c r="C61" s="10">
        <f t="shared" si="0"/>
        <v>-0.29999999999999893</v>
      </c>
      <c r="D61" s="10">
        <f>2*('SENATE DATA'!D33*('HOUSE DASHBOARD'!$B$14-42.4)+'SENATE DATA'!E33*('HOUSE DASHBOARD'!$B$15-54.2)+'SENATE DATA'!F33*('HOUSE DASHBOARD'!$B$16-85.4)+'SENATE DATA'!G33*('HOUSE DASHBOARD'!$B$17-60.7)+'SENATE DATA'!H33*('HOUSE DASHBOARD'!$B$18-53.5))/100</f>
        <v>0</v>
      </c>
      <c r="E61" s="10">
        <f>2*('SENATE DATA'!I33*('HOUSE DASHBOARD'!$B$21-55.6)+(100-'SENATE DATA'!I33)*('HOUSE DASHBOARD'!$B$22-44.9))/100</f>
        <v>0</v>
      </c>
      <c r="F61" s="10">
        <f>0</f>
        <v>0</v>
      </c>
      <c r="G61" s="10">
        <f t="shared" si="1"/>
        <v>0</v>
      </c>
      <c r="H61" s="2">
        <f>'SENATE DATA'!C33+C61+G61+'SENATE DATA'!$P$3</f>
        <v>-13.549999999999995</v>
      </c>
      <c r="I61" s="3" t="str">
        <f t="shared" si="2"/>
        <v>R</v>
      </c>
      <c r="J61" s="1" t="str">
        <f>'SENATE DATA'!K33</f>
        <v>R</v>
      </c>
      <c r="K61" s="1" t="str">
        <f t="shared" si="3"/>
        <v>—</v>
      </c>
      <c r="L61" t="str">
        <f t="shared" si="4"/>
        <v>R+13.55</v>
      </c>
      <c r="M61">
        <f>COUNTIF($H$32:$H$66,"&gt;"&amp;H61)+COUNTIF($H$32:H61,H61)</f>
        <v>28</v>
      </c>
      <c r="N61" s="7">
        <f t="shared" si="5"/>
        <v>13.549999999999995</v>
      </c>
      <c r="O61">
        <f>COUNTIF($N$32:$N$66,"&lt;"&amp;N61)+COUNTIF($N$32:N61,N61)</f>
        <v>20</v>
      </c>
      <c r="P61" s="10">
        <f>'SENATE DATA'!M33</f>
        <v>-31.4</v>
      </c>
      <c r="Q61" t="str">
        <f>'SENATE DATA'!N33</f>
        <v>2020 SENATE</v>
      </c>
      <c r="R61" s="10">
        <f t="shared" si="6"/>
        <v>17.850000000000001</v>
      </c>
      <c r="S61" s="10">
        <f t="shared" si="7"/>
        <v>4.25</v>
      </c>
      <c r="T61" s="10">
        <f t="shared" si="8"/>
        <v>13.600000000000003</v>
      </c>
    </row>
    <row r="62" spans="1:20" x14ac:dyDescent="0.2">
      <c r="A62" t="str">
        <f>'SENATE DATA'!A34</f>
        <v>Tennessee</v>
      </c>
      <c r="B62" s="10">
        <f>'SENATE DATA'!B34</f>
        <v>-23.229332945696473</v>
      </c>
      <c r="C62" s="10">
        <f t="shared" si="0"/>
        <v>-0.29999999999999893</v>
      </c>
      <c r="D62" s="10">
        <f>2*('SENATE DATA'!D34*('HOUSE DASHBOARD'!$B$14-42.4)+'SENATE DATA'!E34*('HOUSE DASHBOARD'!$B$15-54.2)+'SENATE DATA'!F34*('HOUSE DASHBOARD'!$B$16-85.4)+'SENATE DATA'!G34*('HOUSE DASHBOARD'!$B$17-60.7)+'SENATE DATA'!H34*('HOUSE DASHBOARD'!$B$18-53.5))/100</f>
        <v>0</v>
      </c>
      <c r="E62" s="10">
        <f>2*('SENATE DATA'!I34*('HOUSE DASHBOARD'!$B$21-55.6)+(100-'SENATE DATA'!I34)*('HOUSE DASHBOARD'!$B$22-44.9))/100</f>
        <v>0</v>
      </c>
      <c r="F62" s="10">
        <f>0</f>
        <v>0</v>
      </c>
      <c r="G62" s="10">
        <f t="shared" si="1"/>
        <v>0</v>
      </c>
      <c r="H62" s="2">
        <f>'SENATE DATA'!C34+C62+G62</f>
        <v>-23.049999999999997</v>
      </c>
      <c r="I62" s="3" t="str">
        <f t="shared" si="2"/>
        <v>R</v>
      </c>
      <c r="J62" s="1" t="str">
        <f>'SENATE DATA'!K34</f>
        <v>R</v>
      </c>
      <c r="K62" s="1" t="str">
        <f t="shared" si="3"/>
        <v>—</v>
      </c>
      <c r="L62" t="str">
        <f t="shared" si="4"/>
        <v>R+23.05</v>
      </c>
      <c r="M62">
        <f>COUNTIF($H$32:$H$66,"&gt;"&amp;H62)+COUNTIF($H$32:H62,H62)</f>
        <v>32</v>
      </c>
      <c r="N62" s="7">
        <f t="shared" si="5"/>
        <v>23.049999999999997</v>
      </c>
      <c r="O62">
        <f>COUNTIF($N$32:$N$66,"&lt;"&amp;N62)+COUNTIF($N$32:N62,N62)</f>
        <v>29</v>
      </c>
      <c r="P62" s="10">
        <f>'SENATE DATA'!M34</f>
        <v>-27</v>
      </c>
      <c r="Q62" t="str">
        <f>'SENATE DATA'!N34</f>
        <v>2020 SENATE</v>
      </c>
      <c r="R62" s="10">
        <f t="shared" si="6"/>
        <v>3.9500000000000028</v>
      </c>
      <c r="S62" s="10">
        <f t="shared" si="7"/>
        <v>3.7706670543035266</v>
      </c>
      <c r="T62" s="10">
        <f t="shared" si="8"/>
        <v>0.17933294569647629</v>
      </c>
    </row>
    <row r="63" spans="1:20" x14ac:dyDescent="0.2">
      <c r="A63" t="str">
        <f>'SENATE DATA'!A35</f>
        <v>Texas</v>
      </c>
      <c r="B63" s="10">
        <f>'SENATE DATA'!B35</f>
        <v>-1.8979567948036338</v>
      </c>
      <c r="C63" s="10">
        <f t="shared" si="0"/>
        <v>-0.29999999999999893</v>
      </c>
      <c r="D63" s="10">
        <f>2*('SENATE DATA'!D35*('HOUSE DASHBOARD'!$B$14-42.4)+'SENATE DATA'!E35*('HOUSE DASHBOARD'!$B$15-54.2)+'SENATE DATA'!F35*('HOUSE DASHBOARD'!$B$16-85.4)+'SENATE DATA'!G35*('HOUSE DASHBOARD'!$B$17-60.7)+'SENATE DATA'!H35*('HOUSE DASHBOARD'!$B$18-53.5))/100</f>
        <v>0</v>
      </c>
      <c r="E63" s="10">
        <f>2*('SENATE DATA'!I35*('HOUSE DASHBOARD'!$B$21-55.6)+(100-'SENATE DATA'!I35)*('HOUSE DASHBOARD'!$B$22-44.9))/100</f>
        <v>0</v>
      </c>
      <c r="F63" s="10">
        <f>0</f>
        <v>0</v>
      </c>
      <c r="G63" s="10">
        <f t="shared" si="1"/>
        <v>0</v>
      </c>
      <c r="H63" s="2">
        <f>'SENATE DATA'!C35+C63+G63</f>
        <v>-3.8099999999999987</v>
      </c>
      <c r="I63" s="3" t="str">
        <f t="shared" si="2"/>
        <v>R</v>
      </c>
      <c r="J63" s="1" t="str">
        <f>'SENATE DATA'!K35</f>
        <v>R</v>
      </c>
      <c r="K63" s="1" t="str">
        <f t="shared" si="3"/>
        <v>—</v>
      </c>
      <c r="L63" t="str">
        <f t="shared" si="4"/>
        <v>R+3.81</v>
      </c>
      <c r="M63">
        <f>COUNTIF($H$32:$H$66,"&gt;"&amp;H63)+COUNTIF($H$32:H63,H63)</f>
        <v>21</v>
      </c>
      <c r="N63" s="7">
        <f t="shared" si="5"/>
        <v>3.8099999999999987</v>
      </c>
      <c r="O63">
        <f>COUNTIF($N$32:$N$66,"&lt;"&amp;N63)+COUNTIF($N$32:N63,N63)</f>
        <v>6</v>
      </c>
      <c r="P63" s="10">
        <f>'SENATE DATA'!M35</f>
        <v>-13.68</v>
      </c>
      <c r="Q63" t="str">
        <f>'SENATE DATA'!N35</f>
        <v>2024 PRESIDENTIAL</v>
      </c>
      <c r="R63" s="10">
        <f t="shared" si="6"/>
        <v>9.870000000000001</v>
      </c>
      <c r="S63" s="10">
        <f t="shared" si="7"/>
        <v>11.782043205196366</v>
      </c>
      <c r="T63" s="10">
        <f t="shared" si="8"/>
        <v>-1.9120432051963649</v>
      </c>
    </row>
    <row r="64" spans="1:20" x14ac:dyDescent="0.2">
      <c r="A64" t="str">
        <f>'SENATE DATA'!A36</f>
        <v>Virginia</v>
      </c>
      <c r="B64" s="10">
        <f>'SENATE DATA'!B36</f>
        <v>16.045169445049076</v>
      </c>
      <c r="C64" s="10">
        <f t="shared" si="0"/>
        <v>-0.29999999999999893</v>
      </c>
      <c r="D64" s="10">
        <f>2*('SENATE DATA'!D36*('HOUSE DASHBOARD'!$B$14-42.4)+'SENATE DATA'!E36*('HOUSE DASHBOARD'!$B$15-54.2)+'SENATE DATA'!F36*('HOUSE DASHBOARD'!$B$16-85.4)+'SENATE DATA'!G36*('HOUSE DASHBOARD'!$B$17-60.7)+'SENATE DATA'!H36*('HOUSE DASHBOARD'!$B$18-53.5))/100</f>
        <v>0</v>
      </c>
      <c r="E64" s="10">
        <f>2*('SENATE DATA'!I36*('HOUSE DASHBOARD'!$B$21-55.6)+(100-'SENATE DATA'!I36)*('HOUSE DASHBOARD'!$B$22-44.9))/100</f>
        <v>0</v>
      </c>
      <c r="F64" s="10">
        <f>0</f>
        <v>0</v>
      </c>
      <c r="G64" s="10">
        <f t="shared" si="1"/>
        <v>0</v>
      </c>
      <c r="H64" s="2">
        <f>'SENATE DATA'!C36+C64+G64</f>
        <v>16.452941176470588</v>
      </c>
      <c r="I64" s="3" t="str">
        <f t="shared" si="2"/>
        <v>D</v>
      </c>
      <c r="J64" s="1" t="str">
        <f>'SENATE DATA'!K36</f>
        <v>D</v>
      </c>
      <c r="K64" s="1" t="str">
        <f t="shared" si="3"/>
        <v>—</v>
      </c>
      <c r="L64" t="str">
        <f t="shared" si="4"/>
        <v>D+16.45</v>
      </c>
      <c r="M64">
        <f>COUNTIF($H$32:$H$66,"&gt;"&amp;H64)+COUNTIF($H$32:H64,H64)</f>
        <v>7</v>
      </c>
      <c r="N64" s="7">
        <f t="shared" si="5"/>
        <v>16.452941176470588</v>
      </c>
      <c r="O64">
        <f>COUNTIF($N$32:$N$66,"&lt;"&amp;N64)+COUNTIF($N$32:N64,N64)</f>
        <v>22</v>
      </c>
      <c r="P64" s="10">
        <f>'SENATE DATA'!M36</f>
        <v>12.1</v>
      </c>
      <c r="Q64" t="str">
        <f>'SENATE DATA'!N36</f>
        <v>2020 SENATE</v>
      </c>
      <c r="R64" s="10">
        <f t="shared" si="6"/>
        <v>4.3529411764705888</v>
      </c>
      <c r="S64" s="10">
        <f t="shared" si="7"/>
        <v>3.9451694450490766</v>
      </c>
      <c r="T64" s="10">
        <f t="shared" si="8"/>
        <v>0.40777173142151213</v>
      </c>
    </row>
    <row r="65" spans="1:20" x14ac:dyDescent="0.2">
      <c r="A65" t="str">
        <f>'SENATE DATA'!A37</f>
        <v>West Virginia</v>
      </c>
      <c r="B65" s="10">
        <f>'SENATE DATA'!B37</f>
        <v>-50.141734968464895</v>
      </c>
      <c r="C65" s="10">
        <f t="shared" si="0"/>
        <v>-0.29999999999999893</v>
      </c>
      <c r="D65" s="10">
        <f>2*('SENATE DATA'!D37*('HOUSE DASHBOARD'!$B$14-42.4)+'SENATE DATA'!E37*('HOUSE DASHBOARD'!$B$15-54.2)+'SENATE DATA'!F37*('HOUSE DASHBOARD'!$B$16-85.4)+'SENATE DATA'!G37*('HOUSE DASHBOARD'!$B$17-60.7)+'SENATE DATA'!H37*('HOUSE DASHBOARD'!$B$18-53.5))/100</f>
        <v>0</v>
      </c>
      <c r="E65" s="10">
        <f>2*('SENATE DATA'!I37*('HOUSE DASHBOARD'!$B$21-55.6)+(100-'SENATE DATA'!I37)*('HOUSE DASHBOARD'!$B$22-44.9))/100</f>
        <v>0</v>
      </c>
      <c r="F65" s="10">
        <f>0</f>
        <v>0</v>
      </c>
      <c r="G65" s="10">
        <f t="shared" si="1"/>
        <v>0</v>
      </c>
      <c r="H65" s="2">
        <f>'SENATE DATA'!C37+C65+G65</f>
        <v>-50.023529411764699</v>
      </c>
      <c r="I65" s="3" t="str">
        <f t="shared" si="2"/>
        <v>R</v>
      </c>
      <c r="J65" s="1" t="str">
        <f>'SENATE DATA'!K37</f>
        <v>R</v>
      </c>
      <c r="K65" s="1" t="str">
        <f t="shared" si="3"/>
        <v>—</v>
      </c>
      <c r="L65" t="str">
        <f t="shared" si="4"/>
        <v>R+50.02</v>
      </c>
      <c r="M65">
        <f>COUNTIF($H$32:$H$66,"&gt;"&amp;H65)+COUNTIF($H$32:H65,H65)</f>
        <v>35</v>
      </c>
      <c r="N65" s="7">
        <f t="shared" si="5"/>
        <v>50.023529411764699</v>
      </c>
      <c r="O65">
        <f>COUNTIF($N$32:$N$66,"&lt;"&amp;N65)+COUNTIF($N$32:N65,N65)</f>
        <v>35</v>
      </c>
      <c r="P65" s="10">
        <f>'SENATE DATA'!M37</f>
        <v>-43.3</v>
      </c>
      <c r="Q65" t="str">
        <f>'SENATE DATA'!N37</f>
        <v>2020 SENATE</v>
      </c>
      <c r="R65" s="10">
        <f t="shared" si="6"/>
        <v>-6.7235294117647015</v>
      </c>
      <c r="S65" s="10">
        <f t="shared" si="7"/>
        <v>-6.8417349684648983</v>
      </c>
      <c r="T65" s="10">
        <f t="shared" si="8"/>
        <v>0.11820555670019672</v>
      </c>
    </row>
    <row r="66" spans="1:20" x14ac:dyDescent="0.2">
      <c r="A66" t="str">
        <f>'SENATE DATA'!A38</f>
        <v>Wyoming</v>
      </c>
      <c r="B66" s="10">
        <f>'SENATE DATA'!B38</f>
        <v>-36.739947011819524</v>
      </c>
      <c r="C66" s="10">
        <f t="shared" si="0"/>
        <v>-0.29999999999999893</v>
      </c>
      <c r="D66" s="10">
        <f>2*('SENATE DATA'!D38*('HOUSE DASHBOARD'!$B$14-42.4)+'SENATE DATA'!E38*('HOUSE DASHBOARD'!$B$15-54.2)+'SENATE DATA'!F38*('HOUSE DASHBOARD'!$B$16-85.4)+'SENATE DATA'!G38*('HOUSE DASHBOARD'!$B$17-60.7)+'SENATE DATA'!H38*('HOUSE DASHBOARD'!$B$18-53.5))/100</f>
        <v>0</v>
      </c>
      <c r="E66" s="10">
        <f>2*('SENATE DATA'!I38*('HOUSE DASHBOARD'!$B$21-55.6)+(100-'SENATE DATA'!I38)*('HOUSE DASHBOARD'!$B$22-44.9))/100</f>
        <v>0</v>
      </c>
      <c r="F66" s="10">
        <f>0</f>
        <v>0</v>
      </c>
      <c r="G66" s="10">
        <f t="shared" si="1"/>
        <v>0</v>
      </c>
      <c r="H66" s="2">
        <f>'SENATE DATA'!C38+C66+G66</f>
        <v>-35.889999999999993</v>
      </c>
      <c r="I66" s="3" t="str">
        <f t="shared" si="2"/>
        <v>R</v>
      </c>
      <c r="J66" s="1" t="str">
        <f>'SENATE DATA'!K38</f>
        <v>R</v>
      </c>
      <c r="K66" s="1" t="str">
        <f t="shared" si="3"/>
        <v>—</v>
      </c>
      <c r="L66" t="str">
        <f t="shared" si="4"/>
        <v>R+35.89</v>
      </c>
      <c r="M66">
        <f>COUNTIF($H$32:$H$66,"&gt;"&amp;H66)+COUNTIF($H$32:H66,H66)</f>
        <v>34</v>
      </c>
      <c r="N66" s="7">
        <f t="shared" si="5"/>
        <v>35.889999999999993</v>
      </c>
      <c r="O66">
        <f>COUNTIF($N$32:$N$66,"&lt;"&amp;N66)+COUNTIF($N$32:N66,N66)</f>
        <v>34</v>
      </c>
      <c r="P66" s="10">
        <f>'SENATE DATA'!M38</f>
        <v>-45.76</v>
      </c>
      <c r="Q66" t="str">
        <f>'SENATE DATA'!N38</f>
        <v>2024 PRESIDENTIAL</v>
      </c>
      <c r="R66" s="10">
        <f t="shared" si="6"/>
        <v>9.8700000000000045</v>
      </c>
      <c r="S66" s="10">
        <f t="shared" si="7"/>
        <v>9.0200529881804741</v>
      </c>
      <c r="T66" s="10">
        <f t="shared" si="8"/>
        <v>0.84994701181953047</v>
      </c>
    </row>
  </sheetData>
  <mergeCells count="18">
    <mergeCell ref="A1:L1"/>
    <mergeCell ref="A2:L2"/>
    <mergeCell ref="A4:E4"/>
    <mergeCell ref="G4:L4"/>
    <mergeCell ref="G5:H5"/>
    <mergeCell ref="I5:J5"/>
    <mergeCell ref="G6:H7"/>
    <mergeCell ref="I6:J7"/>
    <mergeCell ref="G10:L10"/>
    <mergeCell ref="A12:E12"/>
    <mergeCell ref="G12:L12"/>
    <mergeCell ref="B27:E27"/>
    <mergeCell ref="H27:L27"/>
    <mergeCell ref="A29:L29"/>
    <mergeCell ref="A23:L23"/>
    <mergeCell ref="A24:L24"/>
    <mergeCell ref="B26:E26"/>
    <mergeCell ref="H26:L26"/>
  </mergeCells>
  <dataValidations count="4">
    <dataValidation type="list" sqref="B6" xr:uid="{00000000-0002-0000-0100-000000000000}">
      <formula1>"All edited groups"</formula1>
    </dataValidation>
    <dataValidation type="list" sqref="B9" xr:uid="{00000000-0002-0000-0100-000001000000}">
      <formula1>"Custom,Even,R+3,D+3,D+5,D+8,D+10"</formula1>
    </dataValidation>
    <dataValidation type="list" sqref="B10" xr:uid="{00000000-0002-0000-0100-000002000000}">
      <formula1>"Uniform swing,Original forecast"</formula1>
    </dataValidation>
    <dataValidation type="list" sqref="B11" xr:uid="{00000000-0002-0000-0100-000003000000}">
      <formula1>"Generic ballot,Demographic-driven"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1"/>
  <sheetViews>
    <sheetView topLeftCell="B1" workbookViewId="0">
      <pane ySplit="4" topLeftCell="B5" activePane="bottomLeft" state="frozen"/>
      <selection activeCell="B1" sqref="B1"/>
      <selection pane="bottomLeft" sqref="A1:L1"/>
    </sheetView>
  </sheetViews>
  <sheetFormatPr defaultRowHeight="15" x14ac:dyDescent="0.2"/>
  <cols>
    <col min="1" max="1" width="34.97265625" customWidth="1"/>
    <col min="2" max="2" width="18.96484375" customWidth="1"/>
    <col min="3" max="3" width="25.2890625" customWidth="1"/>
    <col min="4" max="4" width="24.6171875" customWidth="1"/>
    <col min="5" max="5" width="23.13671875" customWidth="1"/>
    <col min="6" max="6" width="13.046875" customWidth="1"/>
    <col min="7" max="9" width="18.96484375" customWidth="1"/>
    <col min="10" max="10" width="23.9453125" customWidth="1"/>
    <col min="11" max="14" width="16.94921875" customWidth="1"/>
    <col min="15" max="15" width="18.96484375" customWidth="1"/>
    <col min="16" max="16" width="18.0234375" customWidth="1"/>
    <col min="17" max="18" width="18.96484375" customWidth="1"/>
    <col min="19" max="20" width="23" customWidth="1"/>
    <col min="21" max="24" width="18.96484375" customWidth="1"/>
  </cols>
  <sheetData>
    <row r="1" spans="1:27" ht="39" customHeight="1" x14ac:dyDescent="0.2">
      <c r="A1" s="93" t="s">
        <v>118</v>
      </c>
      <c r="B1" s="93"/>
      <c r="C1" s="93"/>
      <c r="D1" s="93"/>
      <c r="E1" s="93"/>
      <c r="F1" s="93"/>
      <c r="G1" s="93"/>
      <c r="H1" s="93"/>
      <c r="I1" s="93"/>
      <c r="J1" s="94"/>
      <c r="K1" s="94"/>
      <c r="L1" s="94"/>
    </row>
    <row r="2" spans="1:27" ht="25.15" customHeight="1" x14ac:dyDescent="0.2">
      <c r="A2" s="95" t="s">
        <v>91</v>
      </c>
      <c r="B2" s="95"/>
      <c r="C2" s="95"/>
      <c r="D2" s="95"/>
      <c r="E2" s="95"/>
      <c r="F2" s="95"/>
      <c r="G2" s="95"/>
      <c r="H2" s="95"/>
      <c r="I2" s="95"/>
      <c r="J2" s="96"/>
      <c r="K2" s="96"/>
      <c r="L2" s="96"/>
    </row>
    <row r="3" spans="1:27" ht="19.149999999999999" customHeigh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27" ht="23.1" customHeight="1" x14ac:dyDescent="0.2">
      <c r="A4" s="98" t="s">
        <v>92</v>
      </c>
      <c r="B4" s="98"/>
      <c r="C4" s="84"/>
      <c r="D4" s="84"/>
      <c r="E4" s="84"/>
      <c r="F4" s="66"/>
      <c r="G4" s="100" t="s">
        <v>93</v>
      </c>
      <c r="H4" s="100"/>
      <c r="I4" s="100"/>
      <c r="J4" s="84"/>
      <c r="K4" s="84"/>
      <c r="L4" s="84"/>
    </row>
    <row r="5" spans="1:27" ht="24" customHeight="1" x14ac:dyDescent="0.3">
      <c r="A5" s="69" t="s">
        <v>94</v>
      </c>
      <c r="B5" s="31">
        <f>'HOUSE DASHBOARD'!B5</f>
        <v>8.4</v>
      </c>
      <c r="C5" s="68">
        <v>8.6999999999999993</v>
      </c>
      <c r="D5" s="68">
        <f>'HOUSE DASHBOARD'!D5</f>
        <v>-0.29999999999999893</v>
      </c>
      <c r="E5" s="66" t="s">
        <v>119</v>
      </c>
      <c r="F5" s="66"/>
      <c r="G5" s="101" t="s">
        <v>5</v>
      </c>
      <c r="H5" s="101"/>
      <c r="I5" s="102" t="s">
        <v>6</v>
      </c>
      <c r="J5" s="103"/>
      <c r="K5" s="66"/>
      <c r="L5" s="66"/>
    </row>
    <row r="6" spans="1:27" ht="24" customHeight="1" x14ac:dyDescent="0.2">
      <c r="A6" s="69" t="s">
        <v>7</v>
      </c>
      <c r="B6" s="32" t="s">
        <v>8</v>
      </c>
      <c r="C6" s="66"/>
      <c r="D6" s="66"/>
      <c r="E6" s="66" t="s">
        <v>9</v>
      </c>
      <c r="F6" s="66"/>
      <c r="G6" s="86">
        <f>COUNTIF(I36:I71,"D")+COUNTIF('GOVERNOR DATA'!Q4:Q17,"D")</f>
        <v>27</v>
      </c>
      <c r="H6" s="86"/>
      <c r="I6" s="88">
        <f>COUNTIF(I36:I71,"R")+COUNTIF('GOVERNOR DATA'!Q4:Q17,"R")</f>
        <v>23</v>
      </c>
      <c r="J6" s="89"/>
      <c r="K6" s="66"/>
      <c r="L6" s="66"/>
    </row>
    <row r="7" spans="1:27" ht="24" customHeight="1" x14ac:dyDescent="0.2">
      <c r="A7" s="69" t="s">
        <v>10</v>
      </c>
      <c r="B7" s="31">
        <f>'HOUSE DASHBOARD'!B7</f>
        <v>0</v>
      </c>
      <c r="C7" s="66"/>
      <c r="D7" s="66"/>
      <c r="E7" s="66" t="s">
        <v>11</v>
      </c>
      <c r="F7" s="66"/>
      <c r="G7" s="87"/>
      <c r="H7" s="87"/>
      <c r="I7" s="89"/>
      <c r="J7" s="89"/>
      <c r="K7" s="66"/>
      <c r="L7" s="66"/>
    </row>
    <row r="8" spans="1:27" ht="24" customHeight="1" x14ac:dyDescent="0.2">
      <c r="A8" s="69" t="s">
        <v>96</v>
      </c>
      <c r="B8" s="33">
        <f>'HOUSE DASHBOARD'!B8</f>
        <v>8.4</v>
      </c>
      <c r="C8" s="66"/>
      <c r="D8" s="66"/>
      <c r="E8" s="66" t="s">
        <v>804</v>
      </c>
      <c r="F8" s="66"/>
      <c r="G8" s="66"/>
      <c r="H8" s="66"/>
      <c r="I8" s="66"/>
      <c r="J8" s="66"/>
      <c r="K8" s="66"/>
      <c r="L8" s="66"/>
    </row>
    <row r="9" spans="1:27" ht="24" customHeight="1" x14ac:dyDescent="0.2">
      <c r="A9" s="70" t="s">
        <v>97</v>
      </c>
      <c r="B9" s="34" t="str">
        <f>'HOUSE DASHBOARD'!B9</f>
        <v>Custom</v>
      </c>
      <c r="C9" s="37" t="s">
        <v>12</v>
      </c>
      <c r="D9" s="37"/>
      <c r="E9" s="37"/>
      <c r="F9" s="37"/>
      <c r="G9" s="28" t="s">
        <v>13</v>
      </c>
      <c r="H9" s="29">
        <f>G6-24</f>
        <v>3</v>
      </c>
      <c r="I9" s="28" t="s">
        <v>14</v>
      </c>
      <c r="J9" s="4">
        <f>-H9</f>
        <v>-3</v>
      </c>
      <c r="K9" s="66"/>
      <c r="L9" s="66"/>
    </row>
    <row r="10" spans="1:27" ht="24" customHeight="1" x14ac:dyDescent="0.2">
      <c r="A10" s="69" t="s">
        <v>98</v>
      </c>
      <c r="B10" s="35" t="str">
        <f>'HOUSE DASHBOARD'!B10</f>
        <v>Uniform swing</v>
      </c>
      <c r="C10" s="37" t="s">
        <v>16</v>
      </c>
      <c r="D10" s="37"/>
      <c r="E10" s="37" t="s">
        <v>99</v>
      </c>
      <c r="F10" s="37"/>
      <c r="G10" s="90" t="s">
        <v>120</v>
      </c>
      <c r="H10" s="90"/>
      <c r="I10" s="90"/>
      <c r="J10" s="90"/>
      <c r="K10" s="90"/>
      <c r="L10" s="90"/>
    </row>
    <row r="11" spans="1:27" ht="24" customHeight="1" x14ac:dyDescent="0.2">
      <c r="A11" s="70" t="s">
        <v>101</v>
      </c>
      <c r="B11" s="35" t="str">
        <f>'HOUSE DASHBOARD'!B11</f>
        <v>Generic ballot</v>
      </c>
      <c r="C11" s="27">
        <v>-1.48</v>
      </c>
      <c r="D11" s="37" t="s">
        <v>18</v>
      </c>
      <c r="E11" s="37" t="s">
        <v>812</v>
      </c>
      <c r="F11" s="37"/>
      <c r="G11" s="66" t="s">
        <v>121</v>
      </c>
      <c r="H11" s="66"/>
      <c r="I11" s="66"/>
      <c r="J11" s="66"/>
      <c r="K11" s="66"/>
      <c r="L11" s="66"/>
    </row>
    <row r="12" spans="1:27" ht="18" customHeight="1" x14ac:dyDescent="0.2">
      <c r="A12" s="91"/>
      <c r="B12" s="91"/>
      <c r="C12" s="92"/>
      <c r="D12" s="92"/>
      <c r="E12" s="92"/>
      <c r="F12" s="37"/>
      <c r="G12" s="84"/>
      <c r="H12" s="84"/>
      <c r="I12" s="84"/>
      <c r="J12" s="84"/>
      <c r="K12" s="84"/>
      <c r="L12" s="84"/>
    </row>
    <row r="13" spans="1:27" ht="23.1" customHeight="1" x14ac:dyDescent="0.2">
      <c r="A13" s="30" t="s">
        <v>20</v>
      </c>
      <c r="B13" s="30" t="s">
        <v>39</v>
      </c>
      <c r="C13" s="41" t="s">
        <v>22</v>
      </c>
      <c r="D13" s="41" t="s">
        <v>23</v>
      </c>
      <c r="E13" s="42" t="s">
        <v>24</v>
      </c>
      <c r="F13" s="17" t="s">
        <v>102</v>
      </c>
      <c r="G13" s="16" t="s">
        <v>103</v>
      </c>
      <c r="H13" s="38"/>
      <c r="I13" s="38"/>
      <c r="J13" s="38"/>
      <c r="K13" s="60"/>
      <c r="L13" s="60"/>
      <c r="M13" s="49"/>
      <c r="N13" s="49"/>
      <c r="O13" s="48"/>
      <c r="P13" s="48"/>
      <c r="Q13" s="49"/>
      <c r="R13" s="49"/>
      <c r="S13" s="48"/>
      <c r="T13" s="48"/>
      <c r="U13" s="50"/>
      <c r="V13" s="50"/>
      <c r="W13" s="50"/>
      <c r="X13" s="50"/>
      <c r="Y13" s="47"/>
      <c r="Z13" s="47"/>
      <c r="AA13" s="47"/>
    </row>
    <row r="14" spans="1:27" ht="27" customHeight="1" x14ac:dyDescent="0.2">
      <c r="A14" s="66" t="s">
        <v>31</v>
      </c>
      <c r="B14" s="74">
        <f>'HOUSE DASHBOARD'!B14</f>
        <v>42.4</v>
      </c>
      <c r="C14" s="43">
        <v>42.4</v>
      </c>
      <c r="D14" s="44">
        <v>42</v>
      </c>
      <c r="E14" s="44">
        <v>45</v>
      </c>
      <c r="F14" s="21">
        <f>'HOUSE DASHBOARD'!F14</f>
        <v>42.4</v>
      </c>
      <c r="G14" s="17" t="s">
        <v>26</v>
      </c>
      <c r="H14" s="61"/>
      <c r="I14" s="39"/>
      <c r="J14" s="59"/>
      <c r="K14" s="40"/>
      <c r="L14" s="40"/>
      <c r="M14" s="51"/>
      <c r="N14" s="51"/>
      <c r="O14" s="48"/>
      <c r="P14" s="48"/>
      <c r="Q14" s="51"/>
      <c r="R14" s="51"/>
      <c r="S14" s="48"/>
      <c r="T14" s="48"/>
      <c r="U14" s="52"/>
      <c r="V14" s="52"/>
      <c r="W14" s="52"/>
      <c r="X14" s="52"/>
      <c r="Y14" s="47"/>
      <c r="Z14" s="47"/>
      <c r="AA14" s="47"/>
    </row>
    <row r="15" spans="1:27" ht="27" customHeight="1" x14ac:dyDescent="0.2">
      <c r="A15" s="66" t="s">
        <v>34</v>
      </c>
      <c r="B15" s="75">
        <f>'HOUSE DASHBOARD'!B15</f>
        <v>54.2</v>
      </c>
      <c r="C15" s="44">
        <v>54.2</v>
      </c>
      <c r="D15" s="44">
        <v>63</v>
      </c>
      <c r="E15" s="44">
        <v>67</v>
      </c>
      <c r="F15" s="21">
        <f>'HOUSE DASHBOARD'!F15</f>
        <v>54.2</v>
      </c>
      <c r="G15" s="24" t="s">
        <v>104</v>
      </c>
      <c r="H15" s="61"/>
      <c r="I15" s="39"/>
      <c r="J15" s="59"/>
      <c r="K15" s="40"/>
      <c r="L15" s="40"/>
      <c r="M15" s="51"/>
      <c r="N15" s="51"/>
      <c r="O15" s="48"/>
      <c r="P15" s="48"/>
      <c r="Q15" s="51"/>
      <c r="R15" s="51"/>
      <c r="S15" s="51"/>
      <c r="T15" s="51"/>
      <c r="U15" s="52"/>
      <c r="V15" s="52"/>
      <c r="W15" s="52"/>
      <c r="X15" s="52"/>
      <c r="Y15" s="47"/>
      <c r="Z15" s="47"/>
      <c r="AA15" s="47"/>
    </row>
    <row r="16" spans="1:27" ht="27" customHeight="1" x14ac:dyDescent="0.2">
      <c r="A16" s="66" t="s">
        <v>35</v>
      </c>
      <c r="B16" s="75">
        <f>'HOUSE DASHBOARD'!B16</f>
        <v>85.4</v>
      </c>
      <c r="C16" s="44">
        <v>85.4</v>
      </c>
      <c r="D16" s="44">
        <v>90</v>
      </c>
      <c r="E16" s="44">
        <v>91</v>
      </c>
      <c r="F16" s="21">
        <f>'HOUSE DASHBOARD'!F16</f>
        <v>85.4</v>
      </c>
      <c r="G16" s="37"/>
      <c r="H16" s="61"/>
      <c r="I16" s="39"/>
      <c r="J16" s="59"/>
      <c r="K16" s="40"/>
      <c r="L16" s="40"/>
      <c r="M16" s="51"/>
      <c r="N16" s="51"/>
      <c r="O16" s="48"/>
      <c r="P16" s="48"/>
      <c r="Q16" s="51"/>
      <c r="R16" s="51"/>
      <c r="S16" s="51"/>
      <c r="T16" s="51"/>
      <c r="U16" s="52"/>
      <c r="V16" s="52"/>
      <c r="W16" s="52"/>
      <c r="X16" s="52"/>
      <c r="Y16" s="47"/>
      <c r="Z16" s="47"/>
      <c r="AA16" s="47"/>
    </row>
    <row r="17" spans="1:27" ht="27" customHeight="1" x14ac:dyDescent="0.2">
      <c r="A17" s="66" t="s">
        <v>36</v>
      </c>
      <c r="B17" s="75">
        <f>'HOUSE DASHBOARD'!B17</f>
        <v>60.7</v>
      </c>
      <c r="C17" s="44">
        <v>60.7</v>
      </c>
      <c r="D17" s="44">
        <v>64</v>
      </c>
      <c r="E17" s="44">
        <v>62</v>
      </c>
      <c r="F17" s="21">
        <f>'HOUSE DASHBOARD'!F17</f>
        <v>60.7</v>
      </c>
      <c r="G17" s="37"/>
      <c r="H17" s="61"/>
      <c r="I17" s="39"/>
      <c r="J17" s="59"/>
      <c r="K17" s="40"/>
      <c r="L17" s="40"/>
      <c r="M17" s="51"/>
      <c r="N17" s="51"/>
      <c r="O17" s="48"/>
      <c r="P17" s="48"/>
      <c r="Q17" s="51"/>
      <c r="R17" s="51"/>
      <c r="S17" s="51"/>
      <c r="T17" s="51"/>
      <c r="U17" s="52"/>
      <c r="V17" s="52"/>
      <c r="W17" s="52"/>
      <c r="X17" s="52"/>
      <c r="Y17" s="47"/>
      <c r="Z17" s="47"/>
      <c r="AA17" s="47"/>
    </row>
    <row r="18" spans="1:27" ht="27" customHeight="1" x14ac:dyDescent="0.2">
      <c r="A18" s="66" t="s">
        <v>37</v>
      </c>
      <c r="B18" s="75">
        <f>'HOUSE DASHBOARD'!B18</f>
        <v>53.5</v>
      </c>
      <c r="C18" s="44">
        <v>53.5</v>
      </c>
      <c r="D18" s="44"/>
      <c r="E18" s="44"/>
      <c r="F18" s="21">
        <f>'HOUSE DASHBOARD'!F18</f>
        <v>53.5</v>
      </c>
      <c r="G18" s="37"/>
      <c r="H18" s="61"/>
      <c r="I18" s="39"/>
      <c r="J18" s="59"/>
      <c r="K18" s="40"/>
      <c r="L18" s="40"/>
      <c r="M18" s="51"/>
      <c r="N18" s="51"/>
      <c r="O18" s="48"/>
      <c r="P18" s="48"/>
      <c r="Q18" s="51"/>
      <c r="R18" s="51"/>
      <c r="S18" s="51"/>
      <c r="T18" s="51"/>
      <c r="U18" s="52"/>
      <c r="V18" s="52"/>
      <c r="W18" s="52"/>
      <c r="X18" s="52"/>
      <c r="Y18" s="47"/>
      <c r="Z18" s="47"/>
      <c r="AA18" s="47"/>
    </row>
    <row r="19" spans="1:27" ht="19.149999999999999" customHeight="1" x14ac:dyDescent="0.2">
      <c r="A19" s="66"/>
      <c r="B19" s="66"/>
      <c r="C19" s="37"/>
      <c r="D19" s="37"/>
      <c r="E19" s="21"/>
      <c r="F19" s="37"/>
      <c r="G19" s="37"/>
      <c r="H19" s="59"/>
      <c r="I19" s="59"/>
      <c r="J19" s="59"/>
      <c r="K19" s="40"/>
      <c r="L19" s="40"/>
      <c r="M19" s="51"/>
      <c r="N19" s="51"/>
      <c r="O19" s="48"/>
      <c r="P19" s="48"/>
      <c r="Q19" s="48"/>
      <c r="R19" s="48"/>
      <c r="S19" s="51"/>
      <c r="T19" s="51"/>
      <c r="U19" s="52"/>
      <c r="V19" s="52"/>
      <c r="W19" s="52"/>
      <c r="X19" s="52"/>
      <c r="Y19" s="47"/>
      <c r="Z19" s="47"/>
      <c r="AA19" s="47"/>
    </row>
    <row r="20" spans="1:27" ht="23.1" customHeight="1" x14ac:dyDescent="0.2">
      <c r="A20" s="30" t="s">
        <v>38</v>
      </c>
      <c r="B20" s="30" t="s">
        <v>39</v>
      </c>
      <c r="C20" s="54" t="s">
        <v>22</v>
      </c>
      <c r="D20" s="54" t="s">
        <v>23</v>
      </c>
      <c r="E20" s="55" t="s">
        <v>24</v>
      </c>
      <c r="F20" s="17" t="s">
        <v>102</v>
      </c>
      <c r="G20" s="37"/>
      <c r="H20" s="59"/>
      <c r="I20" s="59"/>
      <c r="J20" s="60"/>
      <c r="K20" s="62"/>
      <c r="L20" s="62"/>
      <c r="M20" s="63"/>
      <c r="N20" s="63"/>
      <c r="O20" s="48"/>
      <c r="P20" s="48"/>
      <c r="Q20" s="49"/>
      <c r="R20" s="49"/>
      <c r="S20" s="48"/>
      <c r="T20" s="48"/>
      <c r="U20" s="53"/>
      <c r="V20" s="53"/>
      <c r="W20" s="52"/>
      <c r="X20" s="52"/>
      <c r="Y20" s="47"/>
      <c r="Z20" s="47"/>
      <c r="AA20" s="47"/>
    </row>
    <row r="21" spans="1:27" ht="27" customHeight="1" x14ac:dyDescent="0.2">
      <c r="A21" s="66" t="s">
        <v>42</v>
      </c>
      <c r="B21" s="74">
        <f>'HOUSE DASHBOARD'!B21</f>
        <v>55.6</v>
      </c>
      <c r="C21" s="56">
        <v>55.6</v>
      </c>
      <c r="D21" s="57">
        <v>56</v>
      </c>
      <c r="E21" s="57">
        <v>57</v>
      </c>
      <c r="F21" s="21">
        <f>'HOUSE DASHBOARD'!F21</f>
        <v>55.6</v>
      </c>
      <c r="G21" s="17" t="s">
        <v>40</v>
      </c>
      <c r="H21" s="59"/>
      <c r="I21" s="39"/>
      <c r="J21" s="59"/>
      <c r="K21" s="40"/>
      <c r="L21" s="40"/>
      <c r="M21" s="51"/>
      <c r="N21" s="51"/>
      <c r="O21" s="48"/>
      <c r="P21" s="48"/>
      <c r="Q21" s="51"/>
      <c r="R21" s="51"/>
      <c r="S21" s="48"/>
      <c r="T21" s="48"/>
      <c r="U21" s="52"/>
      <c r="V21" s="52"/>
      <c r="W21" s="52"/>
      <c r="X21" s="52"/>
      <c r="Y21" s="47"/>
      <c r="Z21" s="47"/>
      <c r="AA21" s="47"/>
    </row>
    <row r="22" spans="1:27" ht="27" customHeight="1" x14ac:dyDescent="0.2">
      <c r="A22" s="66" t="s">
        <v>45</v>
      </c>
      <c r="B22" s="74">
        <f>'HOUSE DASHBOARD'!B22</f>
        <v>44.9</v>
      </c>
      <c r="C22" s="57">
        <v>44.9</v>
      </c>
      <c r="D22" s="57">
        <v>49</v>
      </c>
      <c r="E22" s="57">
        <v>52</v>
      </c>
      <c r="F22" s="21">
        <f>'HOUSE DASHBOARD'!F22</f>
        <v>44.9</v>
      </c>
      <c r="G22" s="37"/>
      <c r="H22" s="59"/>
      <c r="I22" s="59"/>
      <c r="J22" s="59"/>
      <c r="K22" s="40"/>
      <c r="L22" s="40"/>
      <c r="M22" s="51"/>
      <c r="N22" s="51"/>
      <c r="O22" s="48"/>
      <c r="P22" s="48"/>
      <c r="Q22" s="51"/>
      <c r="R22" s="51"/>
      <c r="S22" s="48"/>
      <c r="T22" s="48"/>
      <c r="U22" s="52"/>
      <c r="V22" s="52"/>
      <c r="W22" s="52"/>
      <c r="X22" s="52"/>
      <c r="Y22" s="47"/>
      <c r="Z22" s="47"/>
      <c r="AA22" s="47"/>
    </row>
    <row r="23" spans="1:27" ht="18" hidden="1" customHeight="1" x14ac:dyDescent="0.2">
      <c r="A23" s="106"/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9"/>
      <c r="N23" s="19"/>
      <c r="O23" s="19"/>
      <c r="P23" s="19"/>
      <c r="Q23" s="19"/>
      <c r="R23" s="19"/>
      <c r="S23" s="19"/>
      <c r="T23" s="19"/>
    </row>
    <row r="24" spans="1:27" ht="18" hidden="1" customHeight="1" x14ac:dyDescent="0.2">
      <c r="A24" s="71"/>
      <c r="B24" s="6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19"/>
      <c r="N24" s="19"/>
      <c r="O24" s="19"/>
      <c r="P24" s="19"/>
      <c r="Q24" s="19"/>
      <c r="R24" s="19"/>
      <c r="S24" s="19"/>
      <c r="T24" s="19"/>
    </row>
    <row r="25" spans="1:27" ht="18" hidden="1" customHeight="1" x14ac:dyDescent="0.2">
      <c r="A25" s="71"/>
      <c r="B25" s="104"/>
      <c r="C25" s="105"/>
      <c r="D25" s="105"/>
      <c r="E25" s="105"/>
      <c r="F25" s="37"/>
      <c r="G25" s="37"/>
      <c r="H25" s="105"/>
      <c r="I25" s="105"/>
      <c r="J25" s="105"/>
      <c r="K25" s="105"/>
      <c r="L25" s="105"/>
      <c r="M25" s="19"/>
      <c r="N25" s="19"/>
      <c r="O25" s="19"/>
      <c r="P25" s="19"/>
      <c r="Q25" s="19"/>
      <c r="R25" s="19"/>
      <c r="S25" s="19"/>
      <c r="T25" s="19"/>
    </row>
    <row r="26" spans="1:27" ht="18" hidden="1" customHeight="1" x14ac:dyDescent="0.2">
      <c r="A26" s="71"/>
      <c r="B26" s="104"/>
      <c r="C26" s="105"/>
      <c r="D26" s="105"/>
      <c r="E26" s="105"/>
      <c r="F26" s="37"/>
      <c r="G26" s="37"/>
      <c r="H26" s="105"/>
      <c r="I26" s="105"/>
      <c r="J26" s="105"/>
      <c r="K26" s="105"/>
      <c r="L26" s="105"/>
      <c r="M26" s="19"/>
      <c r="N26" s="19"/>
      <c r="O26" s="19"/>
      <c r="P26" s="19"/>
      <c r="Q26" s="19"/>
      <c r="R26" s="19"/>
      <c r="S26" s="19"/>
      <c r="T26" s="19"/>
    </row>
    <row r="27" spans="1:27" ht="18" hidden="1" customHeight="1" x14ac:dyDescent="0.2">
      <c r="A27" s="71"/>
      <c r="B27" s="66"/>
      <c r="C27" s="37"/>
      <c r="D27" s="37"/>
      <c r="E27" s="37"/>
      <c r="F27" s="37"/>
      <c r="G27" s="37"/>
      <c r="H27" s="37"/>
      <c r="I27" s="37"/>
      <c r="J27" s="37" t="s">
        <v>114</v>
      </c>
      <c r="K27" s="37"/>
      <c r="L27" s="37"/>
      <c r="M27" s="19"/>
      <c r="N27" s="19"/>
      <c r="O27" s="19"/>
      <c r="P27" s="19"/>
      <c r="Q27" s="19"/>
      <c r="R27" s="19"/>
      <c r="S27" s="19"/>
      <c r="T27" s="19"/>
    </row>
    <row r="28" spans="1:27" ht="25.9" customHeight="1" x14ac:dyDescent="0.2">
      <c r="A28" s="84" t="s">
        <v>115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</row>
    <row r="29" spans="1:27" ht="21.75" hidden="1" customHeight="1" x14ac:dyDescent="0.2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</row>
    <row r="30" spans="1:27" ht="23.1" customHeight="1" x14ac:dyDescent="0.2">
      <c r="A30" s="72" t="s">
        <v>122</v>
      </c>
      <c r="B30" s="8">
        <f>SMALL(N36:N71,1)</f>
        <v>0.30000000000000071</v>
      </c>
      <c r="C30" s="66"/>
      <c r="D30" s="66" t="s">
        <v>123</v>
      </c>
      <c r="E30" s="9" t="str">
        <f>INDEX(A36:A71,MATCH(1,O36:O71,0))</f>
        <v>Texas</v>
      </c>
      <c r="F30" s="66"/>
      <c r="G30" s="72" t="s">
        <v>124</v>
      </c>
      <c r="H30" s="9">
        <f>G6</f>
        <v>27</v>
      </c>
      <c r="I30" s="72" t="s">
        <v>125</v>
      </c>
      <c r="J30" s="9">
        <f>I6</f>
        <v>23</v>
      </c>
      <c r="K30" s="66"/>
      <c r="L30" s="66"/>
    </row>
    <row r="31" spans="1:27" s="47" customFormat="1" ht="20.65" customHeight="1" x14ac:dyDescent="0.2">
      <c r="A31" s="64"/>
      <c r="B31" s="65"/>
      <c r="C31" s="58"/>
      <c r="D31" s="58"/>
      <c r="E31" s="58"/>
      <c r="F31" s="58"/>
      <c r="G31" s="64"/>
      <c r="H31" s="58"/>
      <c r="I31" s="64"/>
      <c r="J31" s="58"/>
      <c r="K31" s="58"/>
      <c r="L31" s="58"/>
    </row>
    <row r="32" spans="1:27" s="47" customFormat="1" ht="22.9" hidden="1" customHeight="1" x14ac:dyDescent="0.2">
      <c r="A32" s="64" t="s">
        <v>50</v>
      </c>
      <c r="B32" s="65"/>
      <c r="C32" s="58"/>
      <c r="D32" s="58"/>
      <c r="E32" s="58"/>
      <c r="F32" s="58"/>
      <c r="G32" s="64"/>
      <c r="H32" s="58"/>
      <c r="I32" s="64"/>
      <c r="J32" s="58"/>
      <c r="K32" s="58"/>
      <c r="L32" s="58"/>
    </row>
    <row r="33" spans="1:20" s="47" customFormat="1" ht="18.75" hidden="1" customHeight="1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20" s="47" customFormat="1" ht="18.75" hidden="1" customHeight="1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</row>
    <row r="35" spans="1:20" ht="27.75" x14ac:dyDescent="0.2">
      <c r="A35" s="5" t="s">
        <v>51</v>
      </c>
      <c r="B35" s="5" t="s">
        <v>52</v>
      </c>
      <c r="C35" s="5" t="s">
        <v>53</v>
      </c>
      <c r="D35" s="5" t="s">
        <v>54</v>
      </c>
      <c r="E35" s="5" t="s">
        <v>55</v>
      </c>
      <c r="F35" s="5" t="s">
        <v>816</v>
      </c>
      <c r="G35" s="5" t="s">
        <v>817</v>
      </c>
      <c r="H35" s="5" t="s">
        <v>56</v>
      </c>
      <c r="I35" s="5" t="s">
        <v>57</v>
      </c>
      <c r="J35" s="5" t="s">
        <v>58</v>
      </c>
      <c r="K35" s="5" t="s">
        <v>59</v>
      </c>
      <c r="L35" s="5" t="s">
        <v>60</v>
      </c>
      <c r="M35" s="14" t="s">
        <v>61</v>
      </c>
      <c r="N35" s="14" t="s">
        <v>62</v>
      </c>
      <c r="O35" s="14" t="s">
        <v>63</v>
      </c>
      <c r="P35" s="14" t="s">
        <v>64</v>
      </c>
      <c r="Q35" s="14" t="s">
        <v>65</v>
      </c>
      <c r="R35" s="14" t="s">
        <v>66</v>
      </c>
      <c r="S35" s="14" t="s">
        <v>67</v>
      </c>
      <c r="T35" s="14" t="s">
        <v>68</v>
      </c>
    </row>
    <row r="36" spans="1:20" x14ac:dyDescent="0.2">
      <c r="A36" t="str">
        <f>'GOVERNOR DATA'!A4</f>
        <v>Alabama</v>
      </c>
      <c r="B36" s="10">
        <f>'GOVERNOR DATA'!B4</f>
        <v>-20.116478851208996</v>
      </c>
      <c r="C36" s="10">
        <f t="shared" ref="C36:C71" si="0">$D$5</f>
        <v>-0.29999999999999893</v>
      </c>
      <c r="D36" s="10">
        <f>2*('GOVERNOR DATA'!D4*('HOUSE DASHBOARD'!$B$14-42.4)+'GOVERNOR DATA'!E4*('HOUSE DASHBOARD'!$B$15-54.2)+'GOVERNOR DATA'!F4*('HOUSE DASHBOARD'!$B$16-85.4)+'GOVERNOR DATA'!G4*('HOUSE DASHBOARD'!$B$17-60.7)+'GOVERNOR DATA'!H4*('HOUSE DASHBOARD'!$B$18-53.5))/100</f>
        <v>0</v>
      </c>
      <c r="E36" s="10">
        <f>2*('GOVERNOR DATA'!I4*('HOUSE DASHBOARD'!$B$21-55.6)+(100-'GOVERNOR DATA'!I4)*('HOUSE DASHBOARD'!$B$22-44.9))/100</f>
        <v>0</v>
      </c>
      <c r="F36" s="10">
        <f>0</f>
        <v>0</v>
      </c>
      <c r="G36" s="10">
        <f t="shared" ref="G36:G71" si="1">(D36+E36)/2</f>
        <v>0</v>
      </c>
      <c r="H36" s="2">
        <f>'GOVERNOR DATA'!C4+C36+G36</f>
        <v>-20.619999999999997</v>
      </c>
      <c r="I36" s="3" t="str">
        <f t="shared" ref="I36:I71" si="2">IF(H36&gt;=0,"D","R")</f>
        <v>R</v>
      </c>
      <c r="J36" s="1" t="str">
        <f>'GOVERNOR DATA'!K4</f>
        <v>R</v>
      </c>
      <c r="K36" s="1" t="str">
        <f t="shared" ref="K36:K71" si="3">IF(I36=J36,"—",J36&amp;" → "&amp;I36)</f>
        <v>—</v>
      </c>
      <c r="L36" t="str">
        <f t="shared" ref="L36:L71" si="4">IF(H36&gt;=0,"D+"&amp;TEXT(H36,"0.00"),"R+"&amp;TEXT(-H36,"0.00"))</f>
        <v>R+20.62</v>
      </c>
      <c r="M36">
        <f>COUNTIF($H$36:$H$71,"&gt;"&amp;H36)+COUNTIF($H$36:H36,H36)</f>
        <v>32</v>
      </c>
      <c r="N36" s="7">
        <f t="shared" ref="N36:N71" si="5">ABS(H36)</f>
        <v>20.619999999999997</v>
      </c>
      <c r="O36">
        <f>COUNTIF($N$36:$N$71,"&lt;"&amp;N36)+COUNTIF($N$36:N36,N36)</f>
        <v>23</v>
      </c>
      <c r="P36" s="10">
        <f>'GOVERNOR DATA'!M4</f>
        <v>-30.5</v>
      </c>
      <c r="Q36" t="str">
        <f>'GOVERNOR DATA'!N4</f>
        <v>2024 President (2024)</v>
      </c>
      <c r="R36" s="10">
        <f t="shared" ref="R36:R71" si="6">H36-P36</f>
        <v>9.8800000000000026</v>
      </c>
      <c r="S36" s="10">
        <f t="shared" ref="S36:S71" si="7">B36-P36</f>
        <v>10.383521148791004</v>
      </c>
      <c r="T36" s="10">
        <f t="shared" ref="T36:T71" si="8">H36-B36</f>
        <v>-0.50352114879100185</v>
      </c>
    </row>
    <row r="37" spans="1:20" x14ac:dyDescent="0.2">
      <c r="A37" t="str">
        <f>'GOVERNOR DATA'!A5</f>
        <v>Alaska</v>
      </c>
      <c r="B37" s="10">
        <f>'GOVERNOR DATA'!B5</f>
        <v>-4.5984758370755738</v>
      </c>
      <c r="C37" s="10">
        <f t="shared" si="0"/>
        <v>-0.29999999999999893</v>
      </c>
      <c r="D37" s="10">
        <f>2*('GOVERNOR DATA'!D5*('HOUSE DASHBOARD'!$B$14-42.4)+'GOVERNOR DATA'!E5*('HOUSE DASHBOARD'!$B$15-54.2)+'GOVERNOR DATA'!F5*('HOUSE DASHBOARD'!$B$16-85.4)+'GOVERNOR DATA'!G5*('HOUSE DASHBOARD'!$B$17-60.7)+'GOVERNOR DATA'!H5*('HOUSE DASHBOARD'!$B$18-53.5))/100</f>
        <v>0</v>
      </c>
      <c r="E37" s="10">
        <f>2*('GOVERNOR DATA'!I5*('HOUSE DASHBOARD'!$B$21-55.6)+(100-'GOVERNOR DATA'!I5)*('HOUSE DASHBOARD'!$B$22-44.9))/100</f>
        <v>0</v>
      </c>
      <c r="F37" s="10">
        <f>0</f>
        <v>0</v>
      </c>
      <c r="G37" s="10">
        <f t="shared" si="1"/>
        <v>0</v>
      </c>
      <c r="H37" s="2">
        <f>'GOVERNOR DATA'!C5+C37+G37</f>
        <v>-3.2199999999999989</v>
      </c>
      <c r="I37" s="3" t="str">
        <f t="shared" si="2"/>
        <v>R</v>
      </c>
      <c r="J37" s="1" t="str">
        <f>'GOVERNOR DATA'!K5</f>
        <v>R</v>
      </c>
      <c r="K37" s="1" t="str">
        <f t="shared" si="3"/>
        <v>—</v>
      </c>
      <c r="L37" t="str">
        <f t="shared" si="4"/>
        <v>R+3.22</v>
      </c>
      <c r="M37">
        <f>COUNTIF($H$36:$H$71,"&gt;"&amp;H37)+COUNTIF($H$36:H37,H37)</f>
        <v>23</v>
      </c>
      <c r="N37" s="7">
        <f t="shared" si="5"/>
        <v>3.2199999999999989</v>
      </c>
      <c r="O37">
        <f>COUNTIF($N$36:$N$71,"&lt;"&amp;N37)+COUNTIF($N$36:N37,N37)</f>
        <v>4</v>
      </c>
      <c r="P37" s="10">
        <f>'GOVERNOR DATA'!M5</f>
        <v>-13.1</v>
      </c>
      <c r="Q37" t="str">
        <f>'GOVERNOR DATA'!N5</f>
        <v>2024 President (2024)</v>
      </c>
      <c r="R37" s="10">
        <f t="shared" si="6"/>
        <v>9.8800000000000008</v>
      </c>
      <c r="S37" s="10">
        <f t="shared" si="7"/>
        <v>8.5015241629244258</v>
      </c>
      <c r="T37" s="10">
        <f t="shared" si="8"/>
        <v>1.378475837075575</v>
      </c>
    </row>
    <row r="38" spans="1:20" x14ac:dyDescent="0.2">
      <c r="A38" t="str">
        <f>'GOVERNOR DATA'!A6</f>
        <v>Arizona</v>
      </c>
      <c r="B38" s="10">
        <f>'GOVERNOR DATA'!B6</f>
        <v>12.649438517362908</v>
      </c>
      <c r="C38" s="10">
        <f t="shared" si="0"/>
        <v>-0.29999999999999893</v>
      </c>
      <c r="D38" s="10">
        <f>2*('GOVERNOR DATA'!D6*('HOUSE DASHBOARD'!$B$14-42.4)+'GOVERNOR DATA'!E6*('HOUSE DASHBOARD'!$B$15-54.2)+'GOVERNOR DATA'!F6*('HOUSE DASHBOARD'!$B$16-85.4)+'GOVERNOR DATA'!G6*('HOUSE DASHBOARD'!$B$17-60.7)+'GOVERNOR DATA'!H6*('HOUSE DASHBOARD'!$B$18-53.5))/100</f>
        <v>0</v>
      </c>
      <c r="E38" s="10">
        <f>2*('GOVERNOR DATA'!I6*('HOUSE DASHBOARD'!$B$21-55.6)+(100-'GOVERNOR DATA'!I6)*('HOUSE DASHBOARD'!$B$22-44.9))/100</f>
        <v>0</v>
      </c>
      <c r="F38" s="10">
        <f>0</f>
        <v>0</v>
      </c>
      <c r="G38" s="10">
        <f t="shared" si="1"/>
        <v>0</v>
      </c>
      <c r="H38" s="2">
        <f>'GOVERNOR DATA'!C6+C38+G38</f>
        <v>11.870000000000001</v>
      </c>
      <c r="I38" s="3" t="str">
        <f t="shared" si="2"/>
        <v>D</v>
      </c>
      <c r="J38" s="1" t="str">
        <f>'GOVERNOR DATA'!K6</f>
        <v>D</v>
      </c>
      <c r="K38" s="1" t="str">
        <f t="shared" si="3"/>
        <v>—</v>
      </c>
      <c r="L38" t="str">
        <f t="shared" si="4"/>
        <v>D+11.87</v>
      </c>
      <c r="M38">
        <f>COUNTIF($H$36:$H$71,"&gt;"&amp;H38)+COUNTIF($H$36:H38,H38)</f>
        <v>15</v>
      </c>
      <c r="N38" s="7">
        <f t="shared" si="5"/>
        <v>11.870000000000001</v>
      </c>
      <c r="O38">
        <f>COUNTIF($N$36:$N$71,"&lt;"&amp;N38)+COUNTIF($N$36:N38,N38)</f>
        <v>13</v>
      </c>
      <c r="P38" s="10">
        <f>'GOVERNOR DATA'!M6</f>
        <v>0.67</v>
      </c>
      <c r="Q38" t="str">
        <f>'GOVERNOR DATA'!N6</f>
        <v>Prior Governor (2022)</v>
      </c>
      <c r="R38" s="10">
        <f t="shared" si="6"/>
        <v>11.200000000000001</v>
      </c>
      <c r="S38" s="10">
        <f t="shared" si="7"/>
        <v>11.979438517362908</v>
      </c>
      <c r="T38" s="10">
        <f t="shared" si="8"/>
        <v>-0.77943851736290704</v>
      </c>
    </row>
    <row r="39" spans="1:20" x14ac:dyDescent="0.2">
      <c r="A39" t="str">
        <f>'GOVERNOR DATA'!A7</f>
        <v>Arkansas</v>
      </c>
      <c r="B39" s="10">
        <f>'GOVERNOR DATA'!B7</f>
        <v>-16.052228335728547</v>
      </c>
      <c r="C39" s="10">
        <f t="shared" si="0"/>
        <v>-0.29999999999999893</v>
      </c>
      <c r="D39" s="10">
        <f>2*('GOVERNOR DATA'!D7*('HOUSE DASHBOARD'!$B$14-42.4)+'GOVERNOR DATA'!E7*('HOUSE DASHBOARD'!$B$15-54.2)+'GOVERNOR DATA'!F7*('HOUSE DASHBOARD'!$B$16-85.4)+'GOVERNOR DATA'!G7*('HOUSE DASHBOARD'!$B$17-60.7)+'GOVERNOR DATA'!H7*('HOUSE DASHBOARD'!$B$18-53.5))/100</f>
        <v>0</v>
      </c>
      <c r="E39" s="10">
        <f>2*('GOVERNOR DATA'!I7*('HOUSE DASHBOARD'!$B$21-55.6)+(100-'GOVERNOR DATA'!I7)*('HOUSE DASHBOARD'!$B$22-44.9))/100</f>
        <v>0</v>
      </c>
      <c r="F39" s="10">
        <f>0</f>
        <v>0</v>
      </c>
      <c r="G39" s="10">
        <f t="shared" si="1"/>
        <v>0</v>
      </c>
      <c r="H39" s="2">
        <f>'GOVERNOR DATA'!C7+C39+G39</f>
        <v>-16.600000000000001</v>
      </c>
      <c r="I39" s="3" t="str">
        <f t="shared" si="2"/>
        <v>R</v>
      </c>
      <c r="J39" s="1" t="str">
        <f>'GOVERNOR DATA'!K7</f>
        <v>R</v>
      </c>
      <c r="K39" s="1" t="str">
        <f t="shared" si="3"/>
        <v>—</v>
      </c>
      <c r="L39" t="str">
        <f t="shared" si="4"/>
        <v>R+16.60</v>
      </c>
      <c r="M39">
        <f>COUNTIF($H$36:$H$71,"&gt;"&amp;H39)+COUNTIF($H$36:H39,H39)</f>
        <v>29</v>
      </c>
      <c r="N39" s="7">
        <f t="shared" si="5"/>
        <v>16.600000000000001</v>
      </c>
      <c r="O39">
        <f>COUNTIF($N$36:$N$71,"&lt;"&amp;N39)+COUNTIF($N$36:N39,N39)</f>
        <v>18</v>
      </c>
      <c r="P39" s="10">
        <f>'GOVERNOR DATA'!M7</f>
        <v>-27.8</v>
      </c>
      <c r="Q39" t="str">
        <f>'GOVERNOR DATA'!N7</f>
        <v>Prior Governor (2022)</v>
      </c>
      <c r="R39" s="10">
        <f t="shared" si="6"/>
        <v>11.2</v>
      </c>
      <c r="S39" s="10">
        <f t="shared" si="7"/>
        <v>11.747771664271454</v>
      </c>
      <c r="T39" s="10">
        <f t="shared" si="8"/>
        <v>-0.54777166427145474</v>
      </c>
    </row>
    <row r="40" spans="1:20" x14ac:dyDescent="0.2">
      <c r="A40" t="str">
        <f>'GOVERNOR DATA'!A8</f>
        <v>California</v>
      </c>
      <c r="B40" s="10">
        <f>'GOVERNOR DATA'!B8</f>
        <v>31.899894395887902</v>
      </c>
      <c r="C40" s="10">
        <f t="shared" si="0"/>
        <v>-0.29999999999999893</v>
      </c>
      <c r="D40" s="10">
        <f>2*('GOVERNOR DATA'!D8*('HOUSE DASHBOARD'!$B$14-42.4)+'GOVERNOR DATA'!E8*('HOUSE DASHBOARD'!$B$15-54.2)+'GOVERNOR DATA'!F8*('HOUSE DASHBOARD'!$B$16-85.4)+'GOVERNOR DATA'!G8*('HOUSE DASHBOARD'!$B$17-60.7)+'GOVERNOR DATA'!H8*('HOUSE DASHBOARD'!$B$18-53.5))/100</f>
        <v>0</v>
      </c>
      <c r="E40" s="10">
        <f>2*('GOVERNOR DATA'!I8*('HOUSE DASHBOARD'!$B$21-55.6)+(100-'GOVERNOR DATA'!I8)*('HOUSE DASHBOARD'!$B$22-44.9))/100</f>
        <v>0</v>
      </c>
      <c r="F40" s="10">
        <f>0</f>
        <v>0</v>
      </c>
      <c r="G40" s="10">
        <f t="shared" si="1"/>
        <v>0</v>
      </c>
      <c r="H40" s="2">
        <f>'GOVERNOR DATA'!C8+C40+G40</f>
        <v>29.980000000000004</v>
      </c>
      <c r="I40" s="3" t="str">
        <f t="shared" si="2"/>
        <v>D</v>
      </c>
      <c r="J40" s="1" t="str">
        <f>'GOVERNOR DATA'!K8</f>
        <v>D</v>
      </c>
      <c r="K40" s="1" t="str">
        <f t="shared" si="3"/>
        <v>—</v>
      </c>
      <c r="L40" t="str">
        <f t="shared" si="4"/>
        <v>D+29.98</v>
      </c>
      <c r="M40">
        <f>COUNTIF($H$36:$H$71,"&gt;"&amp;H40)+COUNTIF($H$36:H40,H40)</f>
        <v>5</v>
      </c>
      <c r="N40" s="7">
        <f t="shared" si="5"/>
        <v>29.980000000000004</v>
      </c>
      <c r="O40">
        <f>COUNTIF($N$36:$N$71,"&lt;"&amp;N40)+COUNTIF($N$36:N40,N40)</f>
        <v>30</v>
      </c>
      <c r="P40" s="10">
        <f>'GOVERNOR DATA'!M8</f>
        <v>20.100000000000001</v>
      </c>
      <c r="Q40" t="str">
        <f>'GOVERNOR DATA'!N8</f>
        <v>2024 President (2024)</v>
      </c>
      <c r="R40" s="10">
        <f t="shared" si="6"/>
        <v>9.8800000000000026</v>
      </c>
      <c r="S40" s="10">
        <f t="shared" si="7"/>
        <v>11.7998943958879</v>
      </c>
      <c r="T40" s="10">
        <f t="shared" si="8"/>
        <v>-1.9198943958878978</v>
      </c>
    </row>
    <row r="41" spans="1:20" x14ac:dyDescent="0.2">
      <c r="A41" t="str">
        <f>'GOVERNOR DATA'!A9</f>
        <v>Colorado</v>
      </c>
      <c r="B41" s="10">
        <f>'GOVERNOR DATA'!B9</f>
        <v>19.582217513516841</v>
      </c>
      <c r="C41" s="10">
        <f t="shared" si="0"/>
        <v>-0.29999999999999893</v>
      </c>
      <c r="D41" s="10">
        <f>2*('GOVERNOR DATA'!D9*('HOUSE DASHBOARD'!$B$14-42.4)+'GOVERNOR DATA'!E9*('HOUSE DASHBOARD'!$B$15-54.2)+'GOVERNOR DATA'!F9*('HOUSE DASHBOARD'!$B$16-85.4)+'GOVERNOR DATA'!G9*('HOUSE DASHBOARD'!$B$17-60.7)+'GOVERNOR DATA'!H9*('HOUSE DASHBOARD'!$B$18-53.5))/100</f>
        <v>0</v>
      </c>
      <c r="E41" s="10">
        <f>2*('GOVERNOR DATA'!I9*('HOUSE DASHBOARD'!$B$21-55.6)+(100-'GOVERNOR DATA'!I9)*('HOUSE DASHBOARD'!$B$22-44.9))/100</f>
        <v>0</v>
      </c>
      <c r="F41" s="10">
        <f>0</f>
        <v>0</v>
      </c>
      <c r="G41" s="10">
        <f t="shared" si="1"/>
        <v>0</v>
      </c>
      <c r="H41" s="2">
        <f>'GOVERNOR DATA'!C9+C41+G41</f>
        <v>20.880000000000003</v>
      </c>
      <c r="I41" s="3" t="str">
        <f t="shared" si="2"/>
        <v>D</v>
      </c>
      <c r="J41" s="1" t="str">
        <f>'GOVERNOR DATA'!K9</f>
        <v>D</v>
      </c>
      <c r="K41" s="1" t="str">
        <f t="shared" si="3"/>
        <v>—</v>
      </c>
      <c r="L41" t="str">
        <f t="shared" si="4"/>
        <v>D+20.88</v>
      </c>
      <c r="M41">
        <f>COUNTIF($H$36:$H$71,"&gt;"&amp;H41)+COUNTIF($H$36:H41,H41)</f>
        <v>9</v>
      </c>
      <c r="N41" s="7">
        <f t="shared" si="5"/>
        <v>20.880000000000003</v>
      </c>
      <c r="O41">
        <f>COUNTIF($N$36:$N$71,"&lt;"&amp;N41)+COUNTIF($N$36:N41,N41)</f>
        <v>24</v>
      </c>
      <c r="P41" s="10">
        <f>'GOVERNOR DATA'!M9</f>
        <v>11</v>
      </c>
      <c r="Q41" t="str">
        <f>'GOVERNOR DATA'!N9</f>
        <v>2024 President (2024)</v>
      </c>
      <c r="R41" s="10">
        <f t="shared" si="6"/>
        <v>9.8800000000000026</v>
      </c>
      <c r="S41" s="10">
        <f t="shared" si="7"/>
        <v>8.5822175135168415</v>
      </c>
      <c r="T41" s="10">
        <f t="shared" si="8"/>
        <v>1.2977824864831611</v>
      </c>
    </row>
    <row r="42" spans="1:20" x14ac:dyDescent="0.2">
      <c r="A42" t="str">
        <f>'GOVERNOR DATA'!A10</f>
        <v>Connecticut</v>
      </c>
      <c r="B42" s="10">
        <f>'GOVERNOR DATA'!B10</f>
        <v>22.889764133343007</v>
      </c>
      <c r="C42" s="10">
        <f t="shared" si="0"/>
        <v>-0.29999999999999893</v>
      </c>
      <c r="D42" s="10">
        <f>2*('GOVERNOR DATA'!D10*('HOUSE DASHBOARD'!$B$14-42.4)+'GOVERNOR DATA'!E10*('HOUSE DASHBOARD'!$B$15-54.2)+'GOVERNOR DATA'!F10*('HOUSE DASHBOARD'!$B$16-85.4)+'GOVERNOR DATA'!G10*('HOUSE DASHBOARD'!$B$17-60.7)+'GOVERNOR DATA'!H10*('HOUSE DASHBOARD'!$B$18-53.5))/100</f>
        <v>0</v>
      </c>
      <c r="E42" s="10">
        <f>2*('GOVERNOR DATA'!I10*('HOUSE DASHBOARD'!$B$21-55.6)+(100-'GOVERNOR DATA'!I10)*('HOUSE DASHBOARD'!$B$22-44.9))/100</f>
        <v>0</v>
      </c>
      <c r="F42" s="10">
        <f>0</f>
        <v>0</v>
      </c>
      <c r="G42" s="10">
        <f t="shared" si="1"/>
        <v>0</v>
      </c>
      <c r="H42" s="2">
        <f>'GOVERNOR DATA'!C10+C42+G42</f>
        <v>24.1</v>
      </c>
      <c r="I42" s="3" t="str">
        <f t="shared" si="2"/>
        <v>D</v>
      </c>
      <c r="J42" s="1" t="str">
        <f>'GOVERNOR DATA'!K10</f>
        <v>D</v>
      </c>
      <c r="K42" s="1" t="str">
        <f t="shared" si="3"/>
        <v>—</v>
      </c>
      <c r="L42" t="str">
        <f t="shared" si="4"/>
        <v>D+24.10</v>
      </c>
      <c r="M42">
        <f>COUNTIF($H$36:$H$71,"&gt;"&amp;H42)+COUNTIF($H$36:H42,H42)</f>
        <v>7</v>
      </c>
      <c r="N42" s="7">
        <f t="shared" si="5"/>
        <v>24.1</v>
      </c>
      <c r="O42">
        <f>COUNTIF($N$36:$N$71,"&lt;"&amp;N42)+COUNTIF($N$36:N42,N42)</f>
        <v>26</v>
      </c>
      <c r="P42" s="10">
        <f>'GOVERNOR DATA'!M10</f>
        <v>12.9</v>
      </c>
      <c r="Q42" t="str">
        <f>'GOVERNOR DATA'!N10</f>
        <v>Prior Governor (2022)</v>
      </c>
      <c r="R42" s="10">
        <f t="shared" si="6"/>
        <v>11.200000000000001</v>
      </c>
      <c r="S42" s="10">
        <f t="shared" si="7"/>
        <v>9.9897641333430069</v>
      </c>
      <c r="T42" s="10">
        <f t="shared" si="8"/>
        <v>1.2102358666569941</v>
      </c>
    </row>
    <row r="43" spans="1:20" x14ac:dyDescent="0.2">
      <c r="A43" t="str">
        <f>'GOVERNOR DATA'!A11</f>
        <v>Florida</v>
      </c>
      <c r="B43" s="10">
        <f>'GOVERNOR DATA'!B11</f>
        <v>-2.0562831013883462</v>
      </c>
      <c r="C43" s="10">
        <f t="shared" si="0"/>
        <v>-0.29999999999999893</v>
      </c>
      <c r="D43" s="10">
        <f>2*('GOVERNOR DATA'!D11*('HOUSE DASHBOARD'!$B$14-42.4)+'GOVERNOR DATA'!E11*('HOUSE DASHBOARD'!$B$15-54.2)+'GOVERNOR DATA'!F11*('HOUSE DASHBOARD'!$B$16-85.4)+'GOVERNOR DATA'!G11*('HOUSE DASHBOARD'!$B$17-60.7)+'GOVERNOR DATA'!H11*('HOUSE DASHBOARD'!$B$18-53.5))/100</f>
        <v>0</v>
      </c>
      <c r="E43" s="10">
        <f>2*('GOVERNOR DATA'!I11*('HOUSE DASHBOARD'!$B$21-55.6)+(100-'GOVERNOR DATA'!I11)*('HOUSE DASHBOARD'!$B$22-44.9))/100</f>
        <v>0</v>
      </c>
      <c r="F43" s="10">
        <f>0</f>
        <v>0</v>
      </c>
      <c r="G43" s="10">
        <f t="shared" si="1"/>
        <v>0</v>
      </c>
      <c r="H43" s="2">
        <f>'GOVERNOR DATA'!C11+C43+G43</f>
        <v>-3.2199999999999989</v>
      </c>
      <c r="I43" s="3" t="str">
        <f t="shared" si="2"/>
        <v>R</v>
      </c>
      <c r="J43" s="1" t="str">
        <f>'GOVERNOR DATA'!K11</f>
        <v>R</v>
      </c>
      <c r="K43" s="1" t="str">
        <f t="shared" si="3"/>
        <v>—</v>
      </c>
      <c r="L43" t="str">
        <f t="shared" si="4"/>
        <v>R+3.22</v>
      </c>
      <c r="M43">
        <f>COUNTIF($H$36:$H$71,"&gt;"&amp;H43)+COUNTIF($H$36:H43,H43)</f>
        <v>24</v>
      </c>
      <c r="N43" s="7">
        <f t="shared" si="5"/>
        <v>3.2199999999999989</v>
      </c>
      <c r="O43">
        <f>COUNTIF($N$36:$N$71,"&lt;"&amp;N43)+COUNTIF($N$36:N43,N43)</f>
        <v>5</v>
      </c>
      <c r="P43" s="10">
        <f>'GOVERNOR DATA'!M11</f>
        <v>-13.1</v>
      </c>
      <c r="Q43" t="str">
        <f>'GOVERNOR DATA'!N11</f>
        <v>2024 President (2024)</v>
      </c>
      <c r="R43" s="10">
        <f t="shared" si="6"/>
        <v>9.8800000000000008</v>
      </c>
      <c r="S43" s="10">
        <f t="shared" si="7"/>
        <v>11.043716898611653</v>
      </c>
      <c r="T43" s="10">
        <f t="shared" si="8"/>
        <v>-1.1637168986116526</v>
      </c>
    </row>
    <row r="44" spans="1:20" x14ac:dyDescent="0.2">
      <c r="A44" t="str">
        <f>'GOVERNOR DATA'!A12</f>
        <v>Georgia</v>
      </c>
      <c r="B44" s="10">
        <f>'GOVERNOR DATA'!B12</f>
        <v>8.0635340927889079</v>
      </c>
      <c r="C44" s="10">
        <f t="shared" si="0"/>
        <v>-0.29999999999999893</v>
      </c>
      <c r="D44" s="10">
        <f>2*('GOVERNOR DATA'!D12*('HOUSE DASHBOARD'!$B$14-42.4)+'GOVERNOR DATA'!E12*('HOUSE DASHBOARD'!$B$15-54.2)+'GOVERNOR DATA'!F12*('HOUSE DASHBOARD'!$B$16-85.4)+'GOVERNOR DATA'!G12*('HOUSE DASHBOARD'!$B$17-60.7)+'GOVERNOR DATA'!H12*('HOUSE DASHBOARD'!$B$18-53.5))/100</f>
        <v>0</v>
      </c>
      <c r="E44" s="10">
        <f>2*('GOVERNOR DATA'!I12*('HOUSE DASHBOARD'!$B$21-55.6)+(100-'GOVERNOR DATA'!I12)*('HOUSE DASHBOARD'!$B$22-44.9))/100</f>
        <v>0</v>
      </c>
      <c r="F44" s="10">
        <f>0</f>
        <v>0</v>
      </c>
      <c r="G44" s="10">
        <f t="shared" si="1"/>
        <v>0</v>
      </c>
      <c r="H44" s="2">
        <f>'GOVERNOR DATA'!C12+C44+G44</f>
        <v>7.6800000000000006</v>
      </c>
      <c r="I44" s="3" t="str">
        <f t="shared" si="2"/>
        <v>D</v>
      </c>
      <c r="J44" s="1" t="str">
        <f>'GOVERNOR DATA'!K12</f>
        <v>D</v>
      </c>
      <c r="K44" s="1" t="str">
        <f t="shared" si="3"/>
        <v>—</v>
      </c>
      <c r="L44" t="str">
        <f t="shared" si="4"/>
        <v>D+7.68</v>
      </c>
      <c r="M44">
        <f>COUNTIF($H$36:$H$71,"&gt;"&amp;H44)+COUNTIF($H$36:H44,H44)</f>
        <v>19</v>
      </c>
      <c r="N44" s="7">
        <f t="shared" si="5"/>
        <v>7.6800000000000006</v>
      </c>
      <c r="O44">
        <f>COUNTIF($N$36:$N$71,"&lt;"&amp;N44)+COUNTIF($N$36:N44,N44)</f>
        <v>8</v>
      </c>
      <c r="P44" s="10">
        <f>'GOVERNOR DATA'!M12</f>
        <v>-2.2000000000000002</v>
      </c>
      <c r="Q44" t="str">
        <f>'GOVERNOR DATA'!N12</f>
        <v>2024 President (2024)</v>
      </c>
      <c r="R44" s="10">
        <f t="shared" si="6"/>
        <v>9.8800000000000008</v>
      </c>
      <c r="S44" s="10">
        <f t="shared" si="7"/>
        <v>10.263534092788909</v>
      </c>
      <c r="T44" s="10">
        <f t="shared" si="8"/>
        <v>-0.38353409278890727</v>
      </c>
    </row>
    <row r="45" spans="1:20" x14ac:dyDescent="0.2">
      <c r="A45" t="str">
        <f>'GOVERNOR DATA'!A13</f>
        <v>Hawaii</v>
      </c>
      <c r="B45" s="10">
        <f>'GOVERNOR DATA'!B13</f>
        <v>41.044564712161176</v>
      </c>
      <c r="C45" s="10">
        <f t="shared" si="0"/>
        <v>-0.29999999999999893</v>
      </c>
      <c r="D45" s="10">
        <f>2*('GOVERNOR DATA'!D13*('HOUSE DASHBOARD'!$B$14-42.4)+'GOVERNOR DATA'!E13*('HOUSE DASHBOARD'!$B$15-54.2)+'GOVERNOR DATA'!F13*('HOUSE DASHBOARD'!$B$16-85.4)+'GOVERNOR DATA'!G13*('HOUSE DASHBOARD'!$B$17-60.7)+'GOVERNOR DATA'!H13*('HOUSE DASHBOARD'!$B$18-53.5))/100</f>
        <v>0</v>
      </c>
      <c r="E45" s="10">
        <f>2*('GOVERNOR DATA'!I13*('HOUSE DASHBOARD'!$B$21-55.6)+(100-'GOVERNOR DATA'!I13)*('HOUSE DASHBOARD'!$B$22-44.9))/100</f>
        <v>0</v>
      </c>
      <c r="F45" s="10">
        <f>0</f>
        <v>0</v>
      </c>
      <c r="G45" s="10">
        <f t="shared" si="1"/>
        <v>0</v>
      </c>
      <c r="H45" s="2">
        <f>'GOVERNOR DATA'!C13+C45+G45</f>
        <v>37.6</v>
      </c>
      <c r="I45" s="3" t="str">
        <f t="shared" si="2"/>
        <v>D</v>
      </c>
      <c r="J45" s="1" t="str">
        <f>'GOVERNOR DATA'!K13</f>
        <v>D</v>
      </c>
      <c r="K45" s="1" t="str">
        <f t="shared" si="3"/>
        <v>—</v>
      </c>
      <c r="L45" t="str">
        <f t="shared" si="4"/>
        <v>D+37.60</v>
      </c>
      <c r="M45">
        <f>COUNTIF($H$36:$H$71,"&gt;"&amp;H45)+COUNTIF($H$36:H45,H45)</f>
        <v>3</v>
      </c>
      <c r="N45" s="7">
        <f t="shared" si="5"/>
        <v>37.6</v>
      </c>
      <c r="O45">
        <f>COUNTIF($N$36:$N$71,"&lt;"&amp;N45)+COUNTIF($N$36:N45,N45)</f>
        <v>33</v>
      </c>
      <c r="P45" s="10">
        <f>'GOVERNOR DATA'!M13</f>
        <v>26.4</v>
      </c>
      <c r="Q45" t="str">
        <f>'GOVERNOR DATA'!N13</f>
        <v>Prior Governor (2022)</v>
      </c>
      <c r="R45" s="10">
        <f t="shared" si="6"/>
        <v>11.200000000000003</v>
      </c>
      <c r="S45" s="10">
        <f t="shared" si="7"/>
        <v>14.644564712161177</v>
      </c>
      <c r="T45" s="10">
        <f t="shared" si="8"/>
        <v>-3.4445647121611742</v>
      </c>
    </row>
    <row r="46" spans="1:20" x14ac:dyDescent="0.2">
      <c r="A46" t="str">
        <f>'GOVERNOR DATA'!A14</f>
        <v>Idaho</v>
      </c>
      <c r="B46" s="10">
        <f>'GOVERNOR DATA'!B14</f>
        <v>-29.891131742405765</v>
      </c>
      <c r="C46" s="10">
        <f t="shared" si="0"/>
        <v>-0.29999999999999893</v>
      </c>
      <c r="D46" s="10">
        <f>2*('GOVERNOR DATA'!D14*('HOUSE DASHBOARD'!$B$14-42.4)+'GOVERNOR DATA'!E14*('HOUSE DASHBOARD'!$B$15-54.2)+'GOVERNOR DATA'!F14*('HOUSE DASHBOARD'!$B$16-85.4)+'GOVERNOR DATA'!G14*('HOUSE DASHBOARD'!$B$17-60.7)+'GOVERNOR DATA'!H14*('HOUSE DASHBOARD'!$B$18-53.5))/100</f>
        <v>0</v>
      </c>
      <c r="E46" s="10">
        <f>2*('GOVERNOR DATA'!I14*('HOUSE DASHBOARD'!$B$21-55.6)+(100-'GOVERNOR DATA'!I14)*('HOUSE DASHBOARD'!$B$22-44.9))/100</f>
        <v>0</v>
      </c>
      <c r="F46" s="10">
        <f>0</f>
        <v>0</v>
      </c>
      <c r="G46" s="10">
        <f t="shared" si="1"/>
        <v>0</v>
      </c>
      <c r="H46" s="2">
        <f>'GOVERNOR DATA'!C14+C46+G46</f>
        <v>-29</v>
      </c>
      <c r="I46" s="3" t="str">
        <f t="shared" si="2"/>
        <v>R</v>
      </c>
      <c r="J46" s="1" t="str">
        <f>'GOVERNOR DATA'!K14</f>
        <v>R</v>
      </c>
      <c r="K46" s="1" t="str">
        <f t="shared" si="3"/>
        <v>—</v>
      </c>
      <c r="L46" t="str">
        <f t="shared" si="4"/>
        <v>R+29.00</v>
      </c>
      <c r="M46">
        <f>COUNTIF($H$36:$H$71,"&gt;"&amp;H46)+COUNTIF($H$36:H46,H46)</f>
        <v>34</v>
      </c>
      <c r="N46" s="7">
        <f t="shared" si="5"/>
        <v>29</v>
      </c>
      <c r="O46">
        <f>COUNTIF($N$36:$N$71,"&lt;"&amp;N46)+COUNTIF($N$36:N46,N46)</f>
        <v>29</v>
      </c>
      <c r="P46" s="10">
        <f>'GOVERNOR DATA'!M14</f>
        <v>-40.200000000000003</v>
      </c>
      <c r="Q46" t="str">
        <f>'GOVERNOR DATA'!N14</f>
        <v>Prior Governor (2022)</v>
      </c>
      <c r="R46" s="10">
        <f t="shared" si="6"/>
        <v>11.200000000000003</v>
      </c>
      <c r="S46" s="10">
        <f t="shared" si="7"/>
        <v>10.308868257594238</v>
      </c>
      <c r="T46" s="10">
        <f t="shared" si="8"/>
        <v>0.89113174240576498</v>
      </c>
    </row>
    <row r="47" spans="1:20" x14ac:dyDescent="0.2">
      <c r="A47" t="str">
        <f>'GOVERNOR DATA'!A15</f>
        <v>Illinois</v>
      </c>
      <c r="B47" s="10">
        <f>'GOVERNOR DATA'!B15</f>
        <v>23.716306849353789</v>
      </c>
      <c r="C47" s="10">
        <f t="shared" si="0"/>
        <v>-0.29999999999999893</v>
      </c>
      <c r="D47" s="10">
        <f>2*('GOVERNOR DATA'!D15*('HOUSE DASHBOARD'!$B$14-42.4)+'GOVERNOR DATA'!E15*('HOUSE DASHBOARD'!$B$15-54.2)+'GOVERNOR DATA'!F15*('HOUSE DASHBOARD'!$B$16-85.4)+'GOVERNOR DATA'!G15*('HOUSE DASHBOARD'!$B$17-60.7)+'GOVERNOR DATA'!H15*('HOUSE DASHBOARD'!$B$18-53.5))/100</f>
        <v>0</v>
      </c>
      <c r="E47" s="10">
        <f>2*('GOVERNOR DATA'!I15*('HOUSE DASHBOARD'!$B$21-55.6)+(100-'GOVERNOR DATA'!I15)*('HOUSE DASHBOARD'!$B$22-44.9))/100</f>
        <v>0</v>
      </c>
      <c r="F47" s="10">
        <f>0</f>
        <v>0</v>
      </c>
      <c r="G47" s="10">
        <f t="shared" si="1"/>
        <v>0</v>
      </c>
      <c r="H47" s="2">
        <f>'GOVERNOR DATA'!C15+C47+G47</f>
        <v>23.700000000000003</v>
      </c>
      <c r="I47" s="3" t="str">
        <f t="shared" si="2"/>
        <v>D</v>
      </c>
      <c r="J47" s="1" t="str">
        <f>'GOVERNOR DATA'!K15</f>
        <v>D</v>
      </c>
      <c r="K47" s="1" t="str">
        <f t="shared" si="3"/>
        <v>—</v>
      </c>
      <c r="L47" t="str">
        <f t="shared" si="4"/>
        <v>D+23.70</v>
      </c>
      <c r="M47">
        <f>COUNTIF($H$36:$H$71,"&gt;"&amp;H47)+COUNTIF($H$36:H47,H47)</f>
        <v>8</v>
      </c>
      <c r="N47" s="7">
        <f t="shared" si="5"/>
        <v>23.700000000000003</v>
      </c>
      <c r="O47">
        <f>COUNTIF($N$36:$N$71,"&lt;"&amp;N47)+COUNTIF($N$36:N47,N47)</f>
        <v>25</v>
      </c>
      <c r="P47" s="10">
        <f>'GOVERNOR DATA'!M15</f>
        <v>12.5</v>
      </c>
      <c r="Q47" t="str">
        <f>'GOVERNOR DATA'!N15</f>
        <v>Prior Governor (2022)</v>
      </c>
      <c r="R47" s="10">
        <f t="shared" si="6"/>
        <v>11.200000000000003</v>
      </c>
      <c r="S47" s="10">
        <f t="shared" si="7"/>
        <v>11.216306849353789</v>
      </c>
      <c r="T47" s="10">
        <f t="shared" si="8"/>
        <v>-1.630684935378568E-2</v>
      </c>
    </row>
    <row r="48" spans="1:20" x14ac:dyDescent="0.2">
      <c r="A48" t="str">
        <f>'GOVERNOR DATA'!A16</f>
        <v>Iowa</v>
      </c>
      <c r="B48" s="10">
        <f>'GOVERNOR DATA'!B16</f>
        <v>-4.253816125533632</v>
      </c>
      <c r="C48" s="10">
        <f t="shared" si="0"/>
        <v>-0.29999999999999893</v>
      </c>
      <c r="D48" s="10">
        <f>2*('GOVERNOR DATA'!D16*('HOUSE DASHBOARD'!$B$14-42.4)+'GOVERNOR DATA'!E16*('HOUSE DASHBOARD'!$B$15-54.2)+'GOVERNOR DATA'!F16*('HOUSE DASHBOARD'!$B$16-85.4)+'GOVERNOR DATA'!G16*('HOUSE DASHBOARD'!$B$17-60.7)+'GOVERNOR DATA'!H16*('HOUSE DASHBOARD'!$B$18-53.5))/100</f>
        <v>0</v>
      </c>
      <c r="E48" s="10">
        <f>2*('GOVERNOR DATA'!I16*('HOUSE DASHBOARD'!$B$21-55.6)+(100-'GOVERNOR DATA'!I16)*('HOUSE DASHBOARD'!$B$22-44.9))/100</f>
        <v>0</v>
      </c>
      <c r="F48" s="10">
        <f>0</f>
        <v>0</v>
      </c>
      <c r="G48" s="10">
        <f t="shared" si="1"/>
        <v>0</v>
      </c>
      <c r="H48" s="2">
        <f>'GOVERNOR DATA'!C16+C48+G48</f>
        <v>-3.3199999999999985</v>
      </c>
      <c r="I48" s="3" t="str">
        <f t="shared" si="2"/>
        <v>R</v>
      </c>
      <c r="J48" s="1" t="str">
        <f>'GOVERNOR DATA'!K16</f>
        <v>R</v>
      </c>
      <c r="K48" s="1" t="str">
        <f t="shared" si="3"/>
        <v>—</v>
      </c>
      <c r="L48" t="str">
        <f t="shared" si="4"/>
        <v>R+3.32</v>
      </c>
      <c r="M48">
        <f>COUNTIF($H$36:$H$71,"&gt;"&amp;H48)+COUNTIF($H$36:H48,H48)</f>
        <v>25</v>
      </c>
      <c r="N48" s="7">
        <f t="shared" si="5"/>
        <v>3.3199999999999985</v>
      </c>
      <c r="O48">
        <f>COUNTIF($N$36:$N$71,"&lt;"&amp;N48)+COUNTIF($N$36:N48,N48)</f>
        <v>6</v>
      </c>
      <c r="P48" s="10">
        <f>'GOVERNOR DATA'!M16</f>
        <v>-13.2</v>
      </c>
      <c r="Q48" t="str">
        <f>'GOVERNOR DATA'!N16</f>
        <v>2024 President (2024)</v>
      </c>
      <c r="R48" s="10">
        <f t="shared" si="6"/>
        <v>9.8800000000000008</v>
      </c>
      <c r="S48" s="10">
        <f t="shared" si="7"/>
        <v>8.9461838744663673</v>
      </c>
      <c r="T48" s="10">
        <f t="shared" si="8"/>
        <v>0.93381612553363347</v>
      </c>
    </row>
    <row r="49" spans="1:20" x14ac:dyDescent="0.2">
      <c r="A49" t="str">
        <f>'GOVERNOR DATA'!A17</f>
        <v>Kansas</v>
      </c>
      <c r="B49" s="10">
        <f>'GOVERNOR DATA'!B17</f>
        <v>-6.6711663508008083</v>
      </c>
      <c r="C49" s="10">
        <f t="shared" si="0"/>
        <v>-0.29999999999999893</v>
      </c>
      <c r="D49" s="10">
        <f>2*('GOVERNOR DATA'!D17*('HOUSE DASHBOARD'!$B$14-42.4)+'GOVERNOR DATA'!E17*('HOUSE DASHBOARD'!$B$15-54.2)+'GOVERNOR DATA'!F17*('HOUSE DASHBOARD'!$B$16-85.4)+'GOVERNOR DATA'!G17*('HOUSE DASHBOARD'!$B$17-60.7)+'GOVERNOR DATA'!H17*('HOUSE DASHBOARD'!$B$18-53.5))/100</f>
        <v>0</v>
      </c>
      <c r="E49" s="10">
        <f>2*('GOVERNOR DATA'!I17*('HOUSE DASHBOARD'!$B$21-55.6)+(100-'GOVERNOR DATA'!I17)*('HOUSE DASHBOARD'!$B$22-44.9))/100</f>
        <v>0</v>
      </c>
      <c r="F49" s="10">
        <f>0</f>
        <v>0</v>
      </c>
      <c r="G49" s="10">
        <f t="shared" si="1"/>
        <v>0</v>
      </c>
      <c r="H49" s="2">
        <f>'GOVERNOR DATA'!C17+C49+G49</f>
        <v>-6.2200000000000006</v>
      </c>
      <c r="I49" s="3" t="str">
        <f t="shared" si="2"/>
        <v>R</v>
      </c>
      <c r="J49" s="1" t="str">
        <f>'GOVERNOR DATA'!K17</f>
        <v>R</v>
      </c>
      <c r="K49" s="1" t="str">
        <f t="shared" si="3"/>
        <v>—</v>
      </c>
      <c r="L49" t="str">
        <f t="shared" si="4"/>
        <v>R+6.22</v>
      </c>
      <c r="M49">
        <f>COUNTIF($H$36:$H$71,"&gt;"&amp;H49)+COUNTIF($H$36:H49,H49)</f>
        <v>26</v>
      </c>
      <c r="N49" s="7">
        <f t="shared" si="5"/>
        <v>6.2200000000000006</v>
      </c>
      <c r="O49">
        <f>COUNTIF($N$36:$N$71,"&lt;"&amp;N49)+COUNTIF($N$36:N49,N49)</f>
        <v>7</v>
      </c>
      <c r="P49" s="10">
        <f>'GOVERNOR DATA'!M17</f>
        <v>-16.100000000000001</v>
      </c>
      <c r="Q49" t="str">
        <f>'GOVERNOR DATA'!N17</f>
        <v>2024 President (2024)</v>
      </c>
      <c r="R49" s="10">
        <f t="shared" si="6"/>
        <v>9.8800000000000008</v>
      </c>
      <c r="S49" s="10">
        <f t="shared" si="7"/>
        <v>9.4288336491991931</v>
      </c>
      <c r="T49" s="10">
        <f t="shared" si="8"/>
        <v>0.45116635080080769</v>
      </c>
    </row>
    <row r="50" spans="1:20" x14ac:dyDescent="0.2">
      <c r="A50" t="str">
        <f>'GOVERNOR DATA'!A18</f>
        <v>Maine</v>
      </c>
      <c r="B50" s="10">
        <f>'GOVERNOR DATA'!B18</f>
        <v>15.362628348479518</v>
      </c>
      <c r="C50" s="10">
        <f t="shared" si="0"/>
        <v>-0.29999999999999893</v>
      </c>
      <c r="D50" s="10">
        <f>2*('GOVERNOR DATA'!D18*('HOUSE DASHBOARD'!$B$14-42.4)+'GOVERNOR DATA'!E18*('HOUSE DASHBOARD'!$B$15-54.2)+'GOVERNOR DATA'!F18*('HOUSE DASHBOARD'!$B$16-85.4)+'GOVERNOR DATA'!G18*('HOUSE DASHBOARD'!$B$17-60.7)+'GOVERNOR DATA'!H18*('HOUSE DASHBOARD'!$B$18-53.5))/100</f>
        <v>0</v>
      </c>
      <c r="E50" s="10">
        <f>2*('GOVERNOR DATA'!I18*('HOUSE DASHBOARD'!$B$21-55.6)+(100-'GOVERNOR DATA'!I18)*('HOUSE DASHBOARD'!$B$22-44.9))/100</f>
        <v>0</v>
      </c>
      <c r="F50" s="10">
        <f>0</f>
        <v>0</v>
      </c>
      <c r="G50" s="10">
        <f t="shared" si="1"/>
        <v>0</v>
      </c>
      <c r="H50" s="2">
        <f>'GOVERNOR DATA'!C18+C50+G50</f>
        <v>16.78</v>
      </c>
      <c r="I50" s="3" t="str">
        <f t="shared" si="2"/>
        <v>D</v>
      </c>
      <c r="J50" s="1" t="str">
        <f>'GOVERNOR DATA'!K18</f>
        <v>D</v>
      </c>
      <c r="K50" s="1" t="str">
        <f t="shared" si="3"/>
        <v>—</v>
      </c>
      <c r="L50" t="str">
        <f t="shared" si="4"/>
        <v>D+16.78</v>
      </c>
      <c r="M50">
        <f>COUNTIF($H$36:$H$71,"&gt;"&amp;H50)+COUNTIF($H$36:H50,H50)</f>
        <v>11</v>
      </c>
      <c r="N50" s="7">
        <f t="shared" si="5"/>
        <v>16.78</v>
      </c>
      <c r="O50">
        <f>COUNTIF($N$36:$N$71,"&lt;"&amp;N50)+COUNTIF($N$36:N50,N50)</f>
        <v>19</v>
      </c>
      <c r="P50" s="10">
        <f>'GOVERNOR DATA'!M18</f>
        <v>6.9</v>
      </c>
      <c r="Q50" t="str">
        <f>'GOVERNOR DATA'!N18</f>
        <v>2024 President (2024)</v>
      </c>
      <c r="R50" s="10">
        <f t="shared" si="6"/>
        <v>9.8800000000000008</v>
      </c>
      <c r="S50" s="10">
        <f t="shared" si="7"/>
        <v>8.4626283484795177</v>
      </c>
      <c r="T50" s="10">
        <f t="shared" si="8"/>
        <v>1.4173716515204831</v>
      </c>
    </row>
    <row r="51" spans="1:20" x14ac:dyDescent="0.2">
      <c r="A51" t="str">
        <f>'GOVERNOR DATA'!A19</f>
        <v>Maryland</v>
      </c>
      <c r="B51" s="10">
        <f>'GOVERNOR DATA'!B19</f>
        <v>42.944995863633977</v>
      </c>
      <c r="C51" s="10">
        <f t="shared" si="0"/>
        <v>-0.29999999999999893</v>
      </c>
      <c r="D51" s="10">
        <f>2*('GOVERNOR DATA'!D19*('HOUSE DASHBOARD'!$B$14-42.4)+'GOVERNOR DATA'!E19*('HOUSE DASHBOARD'!$B$15-54.2)+'GOVERNOR DATA'!F19*('HOUSE DASHBOARD'!$B$16-85.4)+'GOVERNOR DATA'!G19*('HOUSE DASHBOARD'!$B$17-60.7)+'GOVERNOR DATA'!H19*('HOUSE DASHBOARD'!$B$18-53.5))/100</f>
        <v>0</v>
      </c>
      <c r="E51" s="10">
        <f>2*('GOVERNOR DATA'!I19*('HOUSE DASHBOARD'!$B$21-55.6)+(100-'GOVERNOR DATA'!I19)*('HOUSE DASHBOARD'!$B$22-44.9))/100</f>
        <v>0</v>
      </c>
      <c r="F51" s="10">
        <f>0</f>
        <v>0</v>
      </c>
      <c r="G51" s="10">
        <f t="shared" si="1"/>
        <v>0</v>
      </c>
      <c r="H51" s="2">
        <f>'GOVERNOR DATA'!C19+C51+G51</f>
        <v>43.6</v>
      </c>
      <c r="I51" s="3" t="str">
        <f t="shared" si="2"/>
        <v>D</v>
      </c>
      <c r="J51" s="1" t="str">
        <f>'GOVERNOR DATA'!K19</f>
        <v>D</v>
      </c>
      <c r="K51" s="1" t="str">
        <f t="shared" si="3"/>
        <v>—</v>
      </c>
      <c r="L51" t="str">
        <f t="shared" si="4"/>
        <v>D+43.60</v>
      </c>
      <c r="M51">
        <f>COUNTIF($H$36:$H$71,"&gt;"&amp;H51)+COUNTIF($H$36:H51,H51)</f>
        <v>1</v>
      </c>
      <c r="N51" s="7">
        <f t="shared" si="5"/>
        <v>43.6</v>
      </c>
      <c r="O51">
        <f>COUNTIF($N$36:$N$71,"&lt;"&amp;N51)+COUNTIF($N$36:N51,N51)</f>
        <v>36</v>
      </c>
      <c r="P51" s="10">
        <f>'GOVERNOR DATA'!M19</f>
        <v>32.4</v>
      </c>
      <c r="Q51" t="str">
        <f>'GOVERNOR DATA'!N19</f>
        <v>Prior Governor (2022)</v>
      </c>
      <c r="R51" s="10">
        <f t="shared" si="6"/>
        <v>11.200000000000003</v>
      </c>
      <c r="S51" s="10">
        <f t="shared" si="7"/>
        <v>10.544995863633979</v>
      </c>
      <c r="T51" s="10">
        <f t="shared" si="8"/>
        <v>0.65500413636602417</v>
      </c>
    </row>
    <row r="52" spans="1:20" x14ac:dyDescent="0.2">
      <c r="A52" t="str">
        <f>'GOVERNOR DATA'!A20</f>
        <v>Massachusetts</v>
      </c>
      <c r="B52" s="10">
        <f>'GOVERNOR DATA'!B20</f>
        <v>38.632231492811293</v>
      </c>
      <c r="C52" s="10">
        <f t="shared" si="0"/>
        <v>-0.29999999999999893</v>
      </c>
      <c r="D52" s="10">
        <f>2*('GOVERNOR DATA'!D20*('HOUSE DASHBOARD'!$B$14-42.4)+'GOVERNOR DATA'!E20*('HOUSE DASHBOARD'!$B$15-54.2)+'GOVERNOR DATA'!F20*('HOUSE DASHBOARD'!$B$16-85.4)+'GOVERNOR DATA'!G20*('HOUSE DASHBOARD'!$B$17-60.7)+'GOVERNOR DATA'!H20*('HOUSE DASHBOARD'!$B$18-53.5))/100</f>
        <v>0</v>
      </c>
      <c r="E52" s="10">
        <f>2*('GOVERNOR DATA'!I20*('HOUSE DASHBOARD'!$B$21-55.6)+(100-'GOVERNOR DATA'!I20)*('HOUSE DASHBOARD'!$B$22-44.9))/100</f>
        <v>0</v>
      </c>
      <c r="F52" s="10">
        <f>0</f>
        <v>0</v>
      </c>
      <c r="G52" s="10">
        <f t="shared" si="1"/>
        <v>0</v>
      </c>
      <c r="H52" s="2">
        <f>'GOVERNOR DATA'!C20+C52+G52</f>
        <v>40.300000000000004</v>
      </c>
      <c r="I52" s="3" t="str">
        <f t="shared" si="2"/>
        <v>D</v>
      </c>
      <c r="J52" s="1" t="str">
        <f>'GOVERNOR DATA'!K20</f>
        <v>D</v>
      </c>
      <c r="K52" s="1" t="str">
        <f t="shared" si="3"/>
        <v>—</v>
      </c>
      <c r="L52" t="str">
        <f t="shared" si="4"/>
        <v>D+40.30</v>
      </c>
      <c r="M52">
        <f>COUNTIF($H$36:$H$71,"&gt;"&amp;H52)+COUNTIF($H$36:H52,H52)</f>
        <v>2</v>
      </c>
      <c r="N52" s="7">
        <f t="shared" si="5"/>
        <v>40.300000000000004</v>
      </c>
      <c r="O52">
        <f>COUNTIF($N$36:$N$71,"&lt;"&amp;N52)+COUNTIF($N$36:N52,N52)</f>
        <v>34</v>
      </c>
      <c r="P52" s="10">
        <f>'GOVERNOR DATA'!M20</f>
        <v>29.1</v>
      </c>
      <c r="Q52" t="str">
        <f>'GOVERNOR DATA'!N20</f>
        <v>Prior Governor (2022)</v>
      </c>
      <c r="R52" s="10">
        <f t="shared" si="6"/>
        <v>11.200000000000003</v>
      </c>
      <c r="S52" s="10">
        <f t="shared" si="7"/>
        <v>9.5322314928112917</v>
      </c>
      <c r="T52" s="10">
        <f t="shared" si="8"/>
        <v>1.6677685071887112</v>
      </c>
    </row>
    <row r="53" spans="1:20" x14ac:dyDescent="0.2">
      <c r="A53" t="str">
        <f>'GOVERNOR DATA'!A21</f>
        <v>Michigan</v>
      </c>
      <c r="B53" s="10">
        <f>'GOVERNOR DATA'!B21</f>
        <v>8.1377773597609391</v>
      </c>
      <c r="C53" s="10">
        <f t="shared" si="0"/>
        <v>-0.29999999999999893</v>
      </c>
      <c r="D53" s="10">
        <f>2*('GOVERNOR DATA'!D21*('HOUSE DASHBOARD'!$B$14-42.4)+'GOVERNOR DATA'!E21*('HOUSE DASHBOARD'!$B$15-54.2)+'GOVERNOR DATA'!F21*('HOUSE DASHBOARD'!$B$16-85.4)+'GOVERNOR DATA'!G21*('HOUSE DASHBOARD'!$B$17-60.7)+'GOVERNOR DATA'!H21*('HOUSE DASHBOARD'!$B$18-53.5))/100</f>
        <v>0</v>
      </c>
      <c r="E53" s="10">
        <f>2*('GOVERNOR DATA'!I21*('HOUSE DASHBOARD'!$B$21-55.6)+(100-'GOVERNOR DATA'!I21)*('HOUSE DASHBOARD'!$B$22-44.9))/100</f>
        <v>0</v>
      </c>
      <c r="F53" s="10">
        <f>0</f>
        <v>0</v>
      </c>
      <c r="G53" s="10">
        <f t="shared" si="1"/>
        <v>0</v>
      </c>
      <c r="H53" s="2">
        <f>'GOVERNOR DATA'!C21+C53+G53</f>
        <v>8.48</v>
      </c>
      <c r="I53" s="3" t="str">
        <f t="shared" si="2"/>
        <v>D</v>
      </c>
      <c r="J53" s="1" t="str">
        <f>'GOVERNOR DATA'!K21</f>
        <v>D</v>
      </c>
      <c r="K53" s="1" t="str">
        <f t="shared" si="3"/>
        <v>—</v>
      </c>
      <c r="L53" t="str">
        <f t="shared" si="4"/>
        <v>D+8.48</v>
      </c>
      <c r="M53">
        <f>COUNTIF($H$36:$H$71,"&gt;"&amp;H53)+COUNTIF($H$36:H53,H53)</f>
        <v>18</v>
      </c>
      <c r="N53" s="7">
        <f t="shared" si="5"/>
        <v>8.48</v>
      </c>
      <c r="O53">
        <f>COUNTIF($N$36:$N$71,"&lt;"&amp;N53)+COUNTIF($N$36:N53,N53)</f>
        <v>10</v>
      </c>
      <c r="P53" s="10">
        <f>'GOVERNOR DATA'!M21</f>
        <v>-1.4</v>
      </c>
      <c r="Q53" t="str">
        <f>'GOVERNOR DATA'!N21</f>
        <v>2024 President (2024)</v>
      </c>
      <c r="R53" s="10">
        <f t="shared" si="6"/>
        <v>9.8800000000000008</v>
      </c>
      <c r="S53" s="10">
        <f t="shared" si="7"/>
        <v>9.5377773597609394</v>
      </c>
      <c r="T53" s="10">
        <f t="shared" si="8"/>
        <v>0.34222264023906135</v>
      </c>
    </row>
    <row r="54" spans="1:20" x14ac:dyDescent="0.2">
      <c r="A54" t="str">
        <f>'GOVERNOR DATA'!A22</f>
        <v>Minnesota</v>
      </c>
      <c r="B54" s="10">
        <f>'GOVERNOR DATA'!B22</f>
        <v>12.371650997713445</v>
      </c>
      <c r="C54" s="10">
        <f t="shared" si="0"/>
        <v>-0.29999999999999893</v>
      </c>
      <c r="D54" s="10">
        <f>2*('GOVERNOR DATA'!D22*('HOUSE DASHBOARD'!$B$14-42.4)+'GOVERNOR DATA'!E22*('HOUSE DASHBOARD'!$B$15-54.2)+'GOVERNOR DATA'!F22*('HOUSE DASHBOARD'!$B$16-85.4)+'GOVERNOR DATA'!G22*('HOUSE DASHBOARD'!$B$17-60.7)+'GOVERNOR DATA'!H22*('HOUSE DASHBOARD'!$B$18-53.5))/100</f>
        <v>0</v>
      </c>
      <c r="E54" s="10">
        <f>2*('GOVERNOR DATA'!I22*('HOUSE DASHBOARD'!$B$21-55.6)+(100-'GOVERNOR DATA'!I22)*('HOUSE DASHBOARD'!$B$22-44.9))/100</f>
        <v>0</v>
      </c>
      <c r="F54" s="10">
        <f>0</f>
        <v>0</v>
      </c>
      <c r="G54" s="10">
        <f t="shared" si="1"/>
        <v>0</v>
      </c>
      <c r="H54" s="2">
        <f>'GOVERNOR DATA'!C22+C54+G54</f>
        <v>14.08</v>
      </c>
      <c r="I54" s="3" t="str">
        <f t="shared" si="2"/>
        <v>D</v>
      </c>
      <c r="J54" s="1" t="str">
        <f>'GOVERNOR DATA'!K22</f>
        <v>D</v>
      </c>
      <c r="K54" s="1" t="str">
        <f t="shared" si="3"/>
        <v>—</v>
      </c>
      <c r="L54" t="str">
        <f t="shared" si="4"/>
        <v>D+14.08</v>
      </c>
      <c r="M54">
        <f>COUNTIF($H$36:$H$71,"&gt;"&amp;H54)+COUNTIF($H$36:H54,H54)</f>
        <v>14</v>
      </c>
      <c r="N54" s="7">
        <f t="shared" si="5"/>
        <v>14.08</v>
      </c>
      <c r="O54">
        <f>COUNTIF($N$36:$N$71,"&lt;"&amp;N54)+COUNTIF($N$36:N54,N54)</f>
        <v>15</v>
      </c>
      <c r="P54" s="10">
        <f>'GOVERNOR DATA'!M22</f>
        <v>4.2</v>
      </c>
      <c r="Q54" t="str">
        <f>'GOVERNOR DATA'!N22</f>
        <v>2024 President (2024)</v>
      </c>
      <c r="R54" s="10">
        <f t="shared" si="6"/>
        <v>9.879999999999999</v>
      </c>
      <c r="S54" s="10">
        <f t="shared" si="7"/>
        <v>8.1716509977134457</v>
      </c>
      <c r="T54" s="10">
        <f t="shared" si="8"/>
        <v>1.7083490022865551</v>
      </c>
    </row>
    <row r="55" spans="1:20" x14ac:dyDescent="0.2">
      <c r="A55" t="str">
        <f>'GOVERNOR DATA'!A23</f>
        <v>Nebraska</v>
      </c>
      <c r="B55" s="10">
        <f>'GOVERNOR DATA'!B23</f>
        <v>-12.957167429350354</v>
      </c>
      <c r="C55" s="10">
        <f t="shared" si="0"/>
        <v>-0.29999999999999893</v>
      </c>
      <c r="D55" s="10">
        <f>2*('GOVERNOR DATA'!D23*('HOUSE DASHBOARD'!$B$14-42.4)+'GOVERNOR DATA'!E23*('HOUSE DASHBOARD'!$B$15-54.2)+'GOVERNOR DATA'!F23*('HOUSE DASHBOARD'!$B$16-85.4)+'GOVERNOR DATA'!G23*('HOUSE DASHBOARD'!$B$17-60.7)+'GOVERNOR DATA'!H23*('HOUSE DASHBOARD'!$B$18-53.5))/100</f>
        <v>0</v>
      </c>
      <c r="E55" s="10">
        <f>2*('GOVERNOR DATA'!I23*('HOUSE DASHBOARD'!$B$21-55.6)+(100-'GOVERNOR DATA'!I23)*('HOUSE DASHBOARD'!$B$22-44.9))/100</f>
        <v>0</v>
      </c>
      <c r="F55" s="10">
        <f>0</f>
        <v>0</v>
      </c>
      <c r="G55" s="10">
        <f t="shared" si="1"/>
        <v>0</v>
      </c>
      <c r="H55" s="2">
        <f>'GOVERNOR DATA'!C23+C55+G55</f>
        <v>-12.199999999999998</v>
      </c>
      <c r="I55" s="3" t="str">
        <f t="shared" si="2"/>
        <v>R</v>
      </c>
      <c r="J55" s="1" t="str">
        <f>'GOVERNOR DATA'!K23</f>
        <v>R</v>
      </c>
      <c r="K55" s="1" t="str">
        <f t="shared" si="3"/>
        <v>—</v>
      </c>
      <c r="L55" t="str">
        <f t="shared" si="4"/>
        <v>R+12.20</v>
      </c>
      <c r="M55">
        <f>COUNTIF($H$36:$H$71,"&gt;"&amp;H55)+COUNTIF($H$36:H55,H55)</f>
        <v>28</v>
      </c>
      <c r="N55" s="7">
        <f t="shared" si="5"/>
        <v>12.199999999999998</v>
      </c>
      <c r="O55">
        <f>COUNTIF($N$36:$N$71,"&lt;"&amp;N55)+COUNTIF($N$36:N55,N55)</f>
        <v>14</v>
      </c>
      <c r="P55" s="10">
        <f>'GOVERNOR DATA'!M23</f>
        <v>-23.4</v>
      </c>
      <c r="Q55" t="str">
        <f>'GOVERNOR DATA'!N23</f>
        <v>Prior Governor (2022)</v>
      </c>
      <c r="R55" s="10">
        <f t="shared" si="6"/>
        <v>11.200000000000001</v>
      </c>
      <c r="S55" s="10">
        <f t="shared" si="7"/>
        <v>10.442832570649644</v>
      </c>
      <c r="T55" s="10">
        <f t="shared" si="8"/>
        <v>0.75716742935035697</v>
      </c>
    </row>
    <row r="56" spans="1:20" x14ac:dyDescent="0.2">
      <c r="A56" t="str">
        <f>'GOVERNOR DATA'!A24</f>
        <v>Nevada</v>
      </c>
      <c r="B56" s="10">
        <f>'GOVERNOR DATA'!B24</f>
        <v>11.319149135971202</v>
      </c>
      <c r="C56" s="10">
        <f t="shared" si="0"/>
        <v>-0.29999999999999893</v>
      </c>
      <c r="D56" s="10">
        <f>2*('GOVERNOR DATA'!D24*('HOUSE DASHBOARD'!$B$14-42.4)+'GOVERNOR DATA'!E24*('HOUSE DASHBOARD'!$B$15-54.2)+'GOVERNOR DATA'!F24*('HOUSE DASHBOARD'!$B$16-85.4)+'GOVERNOR DATA'!G24*('HOUSE DASHBOARD'!$B$17-60.7)+'GOVERNOR DATA'!H24*('HOUSE DASHBOARD'!$B$18-53.5))/100</f>
        <v>0</v>
      </c>
      <c r="E56" s="10">
        <f>2*('GOVERNOR DATA'!I24*('HOUSE DASHBOARD'!$B$21-55.6)+(100-'GOVERNOR DATA'!I24)*('HOUSE DASHBOARD'!$B$22-44.9))/100</f>
        <v>0</v>
      </c>
      <c r="F56" s="10">
        <f>0</f>
        <v>0</v>
      </c>
      <c r="G56" s="10">
        <f t="shared" si="1"/>
        <v>0</v>
      </c>
      <c r="H56" s="2">
        <f>'GOVERNOR DATA'!C24+C56+G56</f>
        <v>9.7000000000000011</v>
      </c>
      <c r="I56" s="3" t="str">
        <f t="shared" si="2"/>
        <v>D</v>
      </c>
      <c r="J56" s="1" t="str">
        <f>'GOVERNOR DATA'!K24</f>
        <v>D</v>
      </c>
      <c r="K56" s="1" t="str">
        <f t="shared" si="3"/>
        <v>—</v>
      </c>
      <c r="L56" t="str">
        <f t="shared" si="4"/>
        <v>D+9.70</v>
      </c>
      <c r="M56">
        <f>COUNTIF($H$36:$H$71,"&gt;"&amp;H56)+COUNTIF($H$36:H56,H56)</f>
        <v>16</v>
      </c>
      <c r="N56" s="7">
        <f t="shared" si="5"/>
        <v>9.7000000000000011</v>
      </c>
      <c r="O56">
        <f>COUNTIF($N$36:$N$71,"&lt;"&amp;N56)+COUNTIF($N$36:N56,N56)</f>
        <v>12</v>
      </c>
      <c r="P56" s="10">
        <f>'GOVERNOR DATA'!M24</f>
        <v>-1.5</v>
      </c>
      <c r="Q56" t="str">
        <f>'GOVERNOR DATA'!N24</f>
        <v>Prior Governor (2022)</v>
      </c>
      <c r="R56" s="10">
        <f t="shared" si="6"/>
        <v>11.200000000000001</v>
      </c>
      <c r="S56" s="10">
        <f t="shared" si="7"/>
        <v>12.819149135971202</v>
      </c>
      <c r="T56" s="10">
        <f t="shared" si="8"/>
        <v>-1.6191491359712007</v>
      </c>
    </row>
    <row r="57" spans="1:20" x14ac:dyDescent="0.2">
      <c r="A57" t="str">
        <f>'GOVERNOR DATA'!A25</f>
        <v>New Hampshire</v>
      </c>
      <c r="B57" s="10">
        <f>'GOVERNOR DATA'!B25</f>
        <v>-2.188227643217509</v>
      </c>
      <c r="C57" s="10">
        <f t="shared" si="0"/>
        <v>-0.29999999999999893</v>
      </c>
      <c r="D57" s="10">
        <f>2*('GOVERNOR DATA'!D25*('HOUSE DASHBOARD'!$B$14-42.4)+'GOVERNOR DATA'!E25*('HOUSE DASHBOARD'!$B$15-54.2)+'GOVERNOR DATA'!F25*('HOUSE DASHBOARD'!$B$16-85.4)+'GOVERNOR DATA'!G25*('HOUSE DASHBOARD'!$B$17-60.7)+'GOVERNOR DATA'!H25*('HOUSE DASHBOARD'!$B$18-53.5))/100</f>
        <v>0</v>
      </c>
      <c r="E57" s="10">
        <f>2*('GOVERNOR DATA'!I25*('HOUSE DASHBOARD'!$B$21-55.6)+(100-'GOVERNOR DATA'!I25)*('HOUSE DASHBOARD'!$B$22-44.9))/100</f>
        <v>0</v>
      </c>
      <c r="F57" s="10">
        <f>0</f>
        <v>0</v>
      </c>
      <c r="G57" s="10">
        <f t="shared" si="1"/>
        <v>0</v>
      </c>
      <c r="H57" s="2">
        <f>'GOVERNOR DATA'!C25+C57+G57</f>
        <v>0.54000000000000092</v>
      </c>
      <c r="I57" s="3" t="str">
        <f t="shared" si="2"/>
        <v>D</v>
      </c>
      <c r="J57" s="1" t="str">
        <f>'GOVERNOR DATA'!K25</f>
        <v>R</v>
      </c>
      <c r="K57" s="1" t="str">
        <f t="shared" si="3"/>
        <v>R → D</v>
      </c>
      <c r="L57" t="str">
        <f t="shared" si="4"/>
        <v>D+0.54</v>
      </c>
      <c r="M57">
        <f>COUNTIF($H$36:$H$71,"&gt;"&amp;H57)+COUNTIF($H$36:H57,H57)</f>
        <v>20</v>
      </c>
      <c r="N57" s="7">
        <f t="shared" si="5"/>
        <v>0.54000000000000092</v>
      </c>
      <c r="O57">
        <f>COUNTIF($N$36:$N$71,"&lt;"&amp;N57)+COUNTIF($N$36:N57,N57)</f>
        <v>2</v>
      </c>
      <c r="P57" s="10">
        <f>'GOVERNOR DATA'!M25</f>
        <v>-9.34</v>
      </c>
      <c r="Q57" t="str">
        <f>'GOVERNOR DATA'!N25</f>
        <v>Prior Governor (2024)</v>
      </c>
      <c r="R57" s="10">
        <f t="shared" si="6"/>
        <v>9.8800000000000008</v>
      </c>
      <c r="S57" s="10">
        <f t="shared" si="7"/>
        <v>7.1517723567824909</v>
      </c>
      <c r="T57" s="10">
        <f t="shared" si="8"/>
        <v>2.7282276432175099</v>
      </c>
    </row>
    <row r="58" spans="1:20" x14ac:dyDescent="0.2">
      <c r="A58" t="str">
        <f>'GOVERNOR DATA'!A26</f>
        <v>New Mexico</v>
      </c>
      <c r="B58" s="10">
        <f>'GOVERNOR DATA'!B26</f>
        <v>19.210567734586768</v>
      </c>
      <c r="C58" s="10">
        <f t="shared" si="0"/>
        <v>-0.29999999999999893</v>
      </c>
      <c r="D58" s="10">
        <f>2*('GOVERNOR DATA'!D26*('HOUSE DASHBOARD'!$B$14-42.4)+'GOVERNOR DATA'!E26*('HOUSE DASHBOARD'!$B$15-54.2)+'GOVERNOR DATA'!F26*('HOUSE DASHBOARD'!$B$16-85.4)+'GOVERNOR DATA'!G26*('HOUSE DASHBOARD'!$B$17-60.7)+'GOVERNOR DATA'!H26*('HOUSE DASHBOARD'!$B$18-53.5))/100</f>
        <v>0</v>
      </c>
      <c r="E58" s="10">
        <f>2*('GOVERNOR DATA'!I26*('HOUSE DASHBOARD'!$B$21-55.6)+(100-'GOVERNOR DATA'!I26)*('HOUSE DASHBOARD'!$B$22-44.9))/100</f>
        <v>0</v>
      </c>
      <c r="F58" s="10">
        <f>0</f>
        <v>0</v>
      </c>
      <c r="G58" s="10">
        <f t="shared" si="1"/>
        <v>0</v>
      </c>
      <c r="H58" s="2">
        <f>'GOVERNOR DATA'!C26+C58+G58</f>
        <v>15.88</v>
      </c>
      <c r="I58" s="3" t="str">
        <f t="shared" si="2"/>
        <v>D</v>
      </c>
      <c r="J58" s="1" t="str">
        <f>'GOVERNOR DATA'!K26</f>
        <v>D</v>
      </c>
      <c r="K58" s="1" t="str">
        <f t="shared" si="3"/>
        <v>—</v>
      </c>
      <c r="L58" t="str">
        <f t="shared" si="4"/>
        <v>D+15.88</v>
      </c>
      <c r="M58">
        <f>COUNTIF($H$36:$H$71,"&gt;"&amp;H58)+COUNTIF($H$36:H58,H58)</f>
        <v>12</v>
      </c>
      <c r="N58" s="7">
        <f t="shared" si="5"/>
        <v>15.88</v>
      </c>
      <c r="O58">
        <f>COUNTIF($N$36:$N$71,"&lt;"&amp;N58)+COUNTIF($N$36:N58,N58)</f>
        <v>17</v>
      </c>
      <c r="P58" s="10">
        <f>'GOVERNOR DATA'!M26</f>
        <v>6</v>
      </c>
      <c r="Q58" t="str">
        <f>'GOVERNOR DATA'!N26</f>
        <v>2024 President (2024)</v>
      </c>
      <c r="R58" s="10">
        <f t="shared" si="6"/>
        <v>9.8800000000000008</v>
      </c>
      <c r="S58" s="10">
        <f t="shared" si="7"/>
        <v>13.210567734586768</v>
      </c>
      <c r="T58" s="10">
        <f t="shared" si="8"/>
        <v>-3.3305677345867668</v>
      </c>
    </row>
    <row r="59" spans="1:20" x14ac:dyDescent="0.2">
      <c r="A59" t="str">
        <f>'GOVERNOR DATA'!A27</f>
        <v>New York</v>
      </c>
      <c r="B59" s="10">
        <f>'GOVERNOR DATA'!B27</f>
        <v>18.152879246459314</v>
      </c>
      <c r="C59" s="10">
        <f t="shared" si="0"/>
        <v>-0.29999999999999893</v>
      </c>
      <c r="D59" s="10">
        <f>2*('GOVERNOR DATA'!D27*('HOUSE DASHBOARD'!$B$14-42.4)+'GOVERNOR DATA'!E27*('HOUSE DASHBOARD'!$B$15-54.2)+'GOVERNOR DATA'!F27*('HOUSE DASHBOARD'!$B$16-85.4)+'GOVERNOR DATA'!G27*('HOUSE DASHBOARD'!$B$17-60.7)+'GOVERNOR DATA'!H27*('HOUSE DASHBOARD'!$B$18-53.5))/100</f>
        <v>0</v>
      </c>
      <c r="E59" s="10">
        <f>2*('GOVERNOR DATA'!I27*('HOUSE DASHBOARD'!$B$21-55.6)+(100-'GOVERNOR DATA'!I27)*('HOUSE DASHBOARD'!$B$22-44.9))/100</f>
        <v>0</v>
      </c>
      <c r="F59" s="10">
        <f>0</f>
        <v>0</v>
      </c>
      <c r="G59" s="10">
        <f t="shared" si="1"/>
        <v>0</v>
      </c>
      <c r="H59" s="2">
        <f>'GOVERNOR DATA'!C27+C59+G59</f>
        <v>17.600000000000001</v>
      </c>
      <c r="I59" s="3" t="str">
        <f t="shared" si="2"/>
        <v>D</v>
      </c>
      <c r="J59" s="1" t="str">
        <f>'GOVERNOR DATA'!K27</f>
        <v>D</v>
      </c>
      <c r="K59" s="1" t="str">
        <f t="shared" si="3"/>
        <v>—</v>
      </c>
      <c r="L59" t="str">
        <f t="shared" si="4"/>
        <v>D+17.60</v>
      </c>
      <c r="M59">
        <f>COUNTIF($H$36:$H$71,"&gt;"&amp;H59)+COUNTIF($H$36:H59,H59)</f>
        <v>10</v>
      </c>
      <c r="N59" s="7">
        <f t="shared" si="5"/>
        <v>17.600000000000001</v>
      </c>
      <c r="O59">
        <f>COUNTIF($N$36:$N$71,"&lt;"&amp;N59)+COUNTIF($N$36:N59,N59)</f>
        <v>20</v>
      </c>
      <c r="P59" s="10">
        <f>'GOVERNOR DATA'!M27</f>
        <v>6.4</v>
      </c>
      <c r="Q59" t="str">
        <f>'GOVERNOR DATA'!N27</f>
        <v>Prior Governor (2022)</v>
      </c>
      <c r="R59" s="10">
        <f t="shared" si="6"/>
        <v>11.200000000000001</v>
      </c>
      <c r="S59" s="10">
        <f t="shared" si="7"/>
        <v>11.752879246459313</v>
      </c>
      <c r="T59" s="10">
        <f t="shared" si="8"/>
        <v>-0.55287924645931241</v>
      </c>
    </row>
    <row r="60" spans="1:20" x14ac:dyDescent="0.2">
      <c r="A60" t="str">
        <f>'GOVERNOR DATA'!A28</f>
        <v>Ohio</v>
      </c>
      <c r="B60" s="10">
        <f>'GOVERNOR DATA'!B28</f>
        <v>-1.7367620825397467</v>
      </c>
      <c r="C60" s="10">
        <f t="shared" si="0"/>
        <v>-0.29999999999999893</v>
      </c>
      <c r="D60" s="10">
        <f>2*('GOVERNOR DATA'!D28*('HOUSE DASHBOARD'!$B$14-42.4)+'GOVERNOR DATA'!E28*('HOUSE DASHBOARD'!$B$15-54.2)+'GOVERNOR DATA'!F28*('HOUSE DASHBOARD'!$B$16-85.4)+'GOVERNOR DATA'!G28*('HOUSE DASHBOARD'!$B$17-60.7)+'GOVERNOR DATA'!H28*('HOUSE DASHBOARD'!$B$18-53.5))/100</f>
        <v>0</v>
      </c>
      <c r="E60" s="10">
        <f>2*('GOVERNOR DATA'!I28*('HOUSE DASHBOARD'!$B$21-55.6)+(100-'GOVERNOR DATA'!I28)*('HOUSE DASHBOARD'!$B$22-44.9))/100</f>
        <v>0</v>
      </c>
      <c r="F60" s="10">
        <f>0</f>
        <v>0</v>
      </c>
      <c r="G60" s="10">
        <f t="shared" si="1"/>
        <v>0</v>
      </c>
      <c r="H60" s="2">
        <f>'GOVERNOR DATA'!C28+C60+G60</f>
        <v>-1.3199999999999985</v>
      </c>
      <c r="I60" s="3" t="str">
        <f t="shared" si="2"/>
        <v>R</v>
      </c>
      <c r="J60" s="1" t="str">
        <f>'GOVERNOR DATA'!K28</f>
        <v>R</v>
      </c>
      <c r="K60" s="1" t="str">
        <f t="shared" si="3"/>
        <v>—</v>
      </c>
      <c r="L60" t="str">
        <f t="shared" si="4"/>
        <v>R+1.32</v>
      </c>
      <c r="M60">
        <f>COUNTIF($H$36:$H$71,"&gt;"&amp;H60)+COUNTIF($H$36:H60,H60)</f>
        <v>22</v>
      </c>
      <c r="N60" s="7">
        <f t="shared" si="5"/>
        <v>1.3199999999999985</v>
      </c>
      <c r="O60">
        <f>COUNTIF($N$36:$N$71,"&lt;"&amp;N60)+COUNTIF($N$36:N60,N60)</f>
        <v>3</v>
      </c>
      <c r="P60" s="10">
        <f>'GOVERNOR DATA'!M28</f>
        <v>-11.2</v>
      </c>
      <c r="Q60" t="str">
        <f>'GOVERNOR DATA'!N28</f>
        <v>2024 President (2024)</v>
      </c>
      <c r="R60" s="10">
        <f t="shared" si="6"/>
        <v>9.8800000000000008</v>
      </c>
      <c r="S60" s="10">
        <f t="shared" si="7"/>
        <v>9.463237917460253</v>
      </c>
      <c r="T60" s="10">
        <f t="shared" si="8"/>
        <v>0.41676208253974822</v>
      </c>
    </row>
    <row r="61" spans="1:20" x14ac:dyDescent="0.2">
      <c r="A61" t="str">
        <f>'GOVERNOR DATA'!A29</f>
        <v>Oklahoma</v>
      </c>
      <c r="B61" s="10">
        <f>'GOVERNOR DATA'!B29</f>
        <v>-23.976920842819929</v>
      </c>
      <c r="C61" s="10">
        <f t="shared" si="0"/>
        <v>-0.29999999999999893</v>
      </c>
      <c r="D61" s="10">
        <f>2*('GOVERNOR DATA'!D29*('HOUSE DASHBOARD'!$B$14-42.4)+'GOVERNOR DATA'!E29*('HOUSE DASHBOARD'!$B$15-54.2)+'GOVERNOR DATA'!F29*('HOUSE DASHBOARD'!$B$16-85.4)+'GOVERNOR DATA'!G29*('HOUSE DASHBOARD'!$B$17-60.7)+'GOVERNOR DATA'!H29*('HOUSE DASHBOARD'!$B$18-53.5))/100</f>
        <v>0</v>
      </c>
      <c r="E61" s="10">
        <f>2*('GOVERNOR DATA'!I29*('HOUSE DASHBOARD'!$B$21-55.6)+(100-'GOVERNOR DATA'!I29)*('HOUSE DASHBOARD'!$B$22-44.9))/100</f>
        <v>0</v>
      </c>
      <c r="F61" s="10">
        <f>0</f>
        <v>0</v>
      </c>
      <c r="G61" s="10">
        <f t="shared" si="1"/>
        <v>0</v>
      </c>
      <c r="H61" s="2">
        <f>'GOVERNOR DATA'!C29+C61+G61</f>
        <v>-24.419999999999995</v>
      </c>
      <c r="I61" s="3" t="str">
        <f t="shared" si="2"/>
        <v>R</v>
      </c>
      <c r="J61" s="1" t="str">
        <f>'GOVERNOR DATA'!K29</f>
        <v>R</v>
      </c>
      <c r="K61" s="1" t="str">
        <f t="shared" si="3"/>
        <v>—</v>
      </c>
      <c r="L61" t="str">
        <f t="shared" si="4"/>
        <v>R+24.42</v>
      </c>
      <c r="M61">
        <f>COUNTIF($H$36:$H$71,"&gt;"&amp;H61)+COUNTIF($H$36:H61,H61)</f>
        <v>33</v>
      </c>
      <c r="N61" s="7">
        <f t="shared" si="5"/>
        <v>24.419999999999995</v>
      </c>
      <c r="O61">
        <f>COUNTIF($N$36:$N$71,"&lt;"&amp;N61)+COUNTIF($N$36:N61,N61)</f>
        <v>27</v>
      </c>
      <c r="P61" s="10">
        <f>'GOVERNOR DATA'!M29</f>
        <v>-34.299999999999997</v>
      </c>
      <c r="Q61" t="str">
        <f>'GOVERNOR DATA'!N29</f>
        <v>2024 President (2024)</v>
      </c>
      <c r="R61" s="10">
        <f t="shared" si="6"/>
        <v>9.8800000000000026</v>
      </c>
      <c r="S61" s="10">
        <f t="shared" si="7"/>
        <v>10.323079157180068</v>
      </c>
      <c r="T61" s="10">
        <f t="shared" si="8"/>
        <v>-0.44307915718006541</v>
      </c>
    </row>
    <row r="62" spans="1:20" x14ac:dyDescent="0.2">
      <c r="A62" t="str">
        <f>'GOVERNOR DATA'!A30</f>
        <v>Oregon</v>
      </c>
      <c r="B62" s="10">
        <f>'GOVERNOR DATA'!B30</f>
        <v>13.786949578394134</v>
      </c>
      <c r="C62" s="10">
        <f t="shared" si="0"/>
        <v>-0.29999999999999893</v>
      </c>
      <c r="D62" s="10">
        <f>2*('GOVERNOR DATA'!D30*('HOUSE DASHBOARD'!$B$14-42.4)+'GOVERNOR DATA'!E30*('HOUSE DASHBOARD'!$B$15-54.2)+'GOVERNOR DATA'!F30*('HOUSE DASHBOARD'!$B$16-85.4)+'GOVERNOR DATA'!G30*('HOUSE DASHBOARD'!$B$17-60.7)+'GOVERNOR DATA'!H30*('HOUSE DASHBOARD'!$B$18-53.5))/100</f>
        <v>0</v>
      </c>
      <c r="E62" s="10">
        <f>2*('GOVERNOR DATA'!I30*('HOUSE DASHBOARD'!$B$21-55.6)+(100-'GOVERNOR DATA'!I30)*('HOUSE DASHBOARD'!$B$22-44.9))/100</f>
        <v>0</v>
      </c>
      <c r="F62" s="10">
        <f>0</f>
        <v>0</v>
      </c>
      <c r="G62" s="10">
        <f t="shared" si="1"/>
        <v>0</v>
      </c>
      <c r="H62" s="2">
        <f>'GOVERNOR DATA'!C30+C62+G62</f>
        <v>14.600000000000001</v>
      </c>
      <c r="I62" s="3" t="str">
        <f t="shared" si="2"/>
        <v>D</v>
      </c>
      <c r="J62" s="1" t="str">
        <f>'GOVERNOR DATA'!K30</f>
        <v>D</v>
      </c>
      <c r="K62" s="1" t="str">
        <f t="shared" si="3"/>
        <v>—</v>
      </c>
      <c r="L62" t="str">
        <f t="shared" si="4"/>
        <v>D+14.60</v>
      </c>
      <c r="M62">
        <f>COUNTIF($H$36:$H$71,"&gt;"&amp;H62)+COUNTIF($H$36:H62,H62)</f>
        <v>13</v>
      </c>
      <c r="N62" s="7">
        <f t="shared" si="5"/>
        <v>14.600000000000001</v>
      </c>
      <c r="O62">
        <f>COUNTIF($N$36:$N$71,"&lt;"&amp;N62)+COUNTIF($N$36:N62,N62)</f>
        <v>16</v>
      </c>
      <c r="P62" s="10">
        <f>'GOVERNOR DATA'!M30</f>
        <v>3.4</v>
      </c>
      <c r="Q62" t="str">
        <f>'GOVERNOR DATA'!N30</f>
        <v>Prior Governor (2022)</v>
      </c>
      <c r="R62" s="10">
        <f t="shared" si="6"/>
        <v>11.200000000000001</v>
      </c>
      <c r="S62" s="10">
        <f t="shared" si="7"/>
        <v>10.386949578394134</v>
      </c>
      <c r="T62" s="10">
        <f t="shared" si="8"/>
        <v>0.81305042160586716</v>
      </c>
    </row>
    <row r="63" spans="1:20" x14ac:dyDescent="0.2">
      <c r="A63" t="str">
        <f>'GOVERNOR DATA'!A31</f>
        <v>Pennsylvania</v>
      </c>
      <c r="B63" s="10">
        <f>'GOVERNOR DATA'!B31</f>
        <v>25.372283919326957</v>
      </c>
      <c r="C63" s="10">
        <f t="shared" si="0"/>
        <v>-0.29999999999999893</v>
      </c>
      <c r="D63" s="10">
        <f>2*('GOVERNOR DATA'!D31*('HOUSE DASHBOARD'!$B$14-42.4)+'GOVERNOR DATA'!E31*('HOUSE DASHBOARD'!$B$15-54.2)+'GOVERNOR DATA'!F31*('HOUSE DASHBOARD'!$B$16-85.4)+'GOVERNOR DATA'!G31*('HOUSE DASHBOARD'!$B$17-60.7)+'GOVERNOR DATA'!H31*('HOUSE DASHBOARD'!$B$18-53.5))/100</f>
        <v>0</v>
      </c>
      <c r="E63" s="10">
        <f>2*('GOVERNOR DATA'!I31*('HOUSE DASHBOARD'!$B$21-55.6)+(100-'GOVERNOR DATA'!I31)*('HOUSE DASHBOARD'!$B$22-44.9))/100</f>
        <v>0</v>
      </c>
      <c r="F63" s="10">
        <f>0</f>
        <v>0</v>
      </c>
      <c r="G63" s="10">
        <f t="shared" si="1"/>
        <v>0</v>
      </c>
      <c r="H63" s="2">
        <f>'GOVERNOR DATA'!C31+C63+G63</f>
        <v>26</v>
      </c>
      <c r="I63" s="3" t="str">
        <f t="shared" si="2"/>
        <v>D</v>
      </c>
      <c r="J63" s="1" t="str">
        <f>'GOVERNOR DATA'!K31</f>
        <v>D</v>
      </c>
      <c r="K63" s="1" t="str">
        <f t="shared" si="3"/>
        <v>—</v>
      </c>
      <c r="L63" t="str">
        <f t="shared" si="4"/>
        <v>D+26.00</v>
      </c>
      <c r="M63">
        <f>COUNTIF($H$36:$H$71,"&gt;"&amp;H63)+COUNTIF($H$36:H63,H63)</f>
        <v>6</v>
      </c>
      <c r="N63" s="7">
        <f t="shared" si="5"/>
        <v>26</v>
      </c>
      <c r="O63">
        <f>COUNTIF($N$36:$N$71,"&lt;"&amp;N63)+COUNTIF($N$36:N63,N63)</f>
        <v>28</v>
      </c>
      <c r="P63" s="10">
        <f>'GOVERNOR DATA'!M31</f>
        <v>14.8</v>
      </c>
      <c r="Q63" t="str">
        <f>'GOVERNOR DATA'!N31</f>
        <v>Prior Governor (2022)</v>
      </c>
      <c r="R63" s="10">
        <f t="shared" si="6"/>
        <v>11.2</v>
      </c>
      <c r="S63" s="10">
        <f t="shared" si="7"/>
        <v>10.572283919326956</v>
      </c>
      <c r="T63" s="10">
        <f t="shared" si="8"/>
        <v>0.62771608067304285</v>
      </c>
    </row>
    <row r="64" spans="1:20" x14ac:dyDescent="0.2">
      <c r="A64" t="str">
        <f>'GOVERNOR DATA'!A32</f>
        <v>Rhode Island</v>
      </c>
      <c r="B64" s="10">
        <f>'GOVERNOR DATA'!B32</f>
        <v>29.124580453465182</v>
      </c>
      <c r="C64" s="10">
        <f t="shared" si="0"/>
        <v>-0.29999999999999893</v>
      </c>
      <c r="D64" s="10">
        <f>2*('GOVERNOR DATA'!D32*('HOUSE DASHBOARD'!$B$14-42.4)+'GOVERNOR DATA'!E32*('HOUSE DASHBOARD'!$B$15-54.2)+'GOVERNOR DATA'!F32*('HOUSE DASHBOARD'!$B$16-85.4)+'GOVERNOR DATA'!G32*('HOUSE DASHBOARD'!$B$17-60.7)+'GOVERNOR DATA'!H32*('HOUSE DASHBOARD'!$B$18-53.5))/100</f>
        <v>0</v>
      </c>
      <c r="E64" s="10">
        <f>2*('GOVERNOR DATA'!I32*('HOUSE DASHBOARD'!$B$21-55.6)+(100-'GOVERNOR DATA'!I32)*('HOUSE DASHBOARD'!$B$22-44.9))/100</f>
        <v>0</v>
      </c>
      <c r="F64" s="10">
        <f>0</f>
        <v>0</v>
      </c>
      <c r="G64" s="10">
        <f t="shared" si="1"/>
        <v>0</v>
      </c>
      <c r="H64" s="2">
        <f>'GOVERNOR DATA'!C32+C64+G64</f>
        <v>30.200000000000003</v>
      </c>
      <c r="I64" s="3" t="str">
        <f t="shared" si="2"/>
        <v>D</v>
      </c>
      <c r="J64" s="1" t="str">
        <f>'GOVERNOR DATA'!K32</f>
        <v>D</v>
      </c>
      <c r="K64" s="1" t="str">
        <f t="shared" si="3"/>
        <v>—</v>
      </c>
      <c r="L64" t="str">
        <f t="shared" si="4"/>
        <v>D+30.20</v>
      </c>
      <c r="M64">
        <f>COUNTIF($H$36:$H$71,"&gt;"&amp;H64)+COUNTIF($H$36:H64,H64)</f>
        <v>4</v>
      </c>
      <c r="N64" s="7">
        <f t="shared" si="5"/>
        <v>30.200000000000003</v>
      </c>
      <c r="O64">
        <f>COUNTIF($N$36:$N$71,"&lt;"&amp;N64)+COUNTIF($N$36:N64,N64)</f>
        <v>31</v>
      </c>
      <c r="P64" s="10">
        <f>'GOVERNOR DATA'!M32</f>
        <v>19</v>
      </c>
      <c r="Q64" t="str">
        <f>'GOVERNOR DATA'!N32</f>
        <v>Prior Governor (2022)</v>
      </c>
      <c r="R64" s="10">
        <f t="shared" si="6"/>
        <v>11.200000000000003</v>
      </c>
      <c r="S64" s="10">
        <f t="shared" si="7"/>
        <v>10.124580453465182</v>
      </c>
      <c r="T64" s="10">
        <f t="shared" si="8"/>
        <v>1.0754195465348211</v>
      </c>
    </row>
    <row r="65" spans="1:20" x14ac:dyDescent="0.2">
      <c r="A65" t="str">
        <f>'GOVERNOR DATA'!A33</f>
        <v>South Carolina</v>
      </c>
      <c r="B65" s="10">
        <f>'GOVERNOR DATA'!B33</f>
        <v>-7.681833215854879</v>
      </c>
      <c r="C65" s="10">
        <f t="shared" si="0"/>
        <v>-0.29999999999999893</v>
      </c>
      <c r="D65" s="10">
        <f>2*('GOVERNOR DATA'!D33*('HOUSE DASHBOARD'!$B$14-42.4)+'GOVERNOR DATA'!E33*('HOUSE DASHBOARD'!$B$15-54.2)+'GOVERNOR DATA'!F33*('HOUSE DASHBOARD'!$B$16-85.4)+'GOVERNOR DATA'!G33*('HOUSE DASHBOARD'!$B$17-60.7)+'GOVERNOR DATA'!H33*('HOUSE DASHBOARD'!$B$18-53.5))/100</f>
        <v>0</v>
      </c>
      <c r="E65" s="10">
        <f>2*('GOVERNOR DATA'!I33*('HOUSE DASHBOARD'!$B$21-55.6)+(100-'GOVERNOR DATA'!I33)*('HOUSE DASHBOARD'!$B$22-44.9))/100</f>
        <v>0</v>
      </c>
      <c r="F65" s="10">
        <f>0</f>
        <v>0</v>
      </c>
      <c r="G65" s="10">
        <f t="shared" si="1"/>
        <v>0</v>
      </c>
      <c r="H65" s="2">
        <f>'GOVERNOR DATA'!C33+C65+G65</f>
        <v>-8.0199999999999978</v>
      </c>
      <c r="I65" s="3" t="str">
        <f t="shared" si="2"/>
        <v>R</v>
      </c>
      <c r="J65" s="1" t="str">
        <f>'GOVERNOR DATA'!K33</f>
        <v>R</v>
      </c>
      <c r="K65" s="1" t="str">
        <f t="shared" si="3"/>
        <v>—</v>
      </c>
      <c r="L65" t="str">
        <f t="shared" si="4"/>
        <v>R+8.02</v>
      </c>
      <c r="M65">
        <f>COUNTIF($H$36:$H$71,"&gt;"&amp;H65)+COUNTIF($H$36:H65,H65)</f>
        <v>27</v>
      </c>
      <c r="N65" s="7">
        <f t="shared" si="5"/>
        <v>8.0199999999999978</v>
      </c>
      <c r="O65">
        <f>COUNTIF($N$36:$N$71,"&lt;"&amp;N65)+COUNTIF($N$36:N65,N65)</f>
        <v>9</v>
      </c>
      <c r="P65" s="10">
        <f>'GOVERNOR DATA'!M33</f>
        <v>-17.899999999999999</v>
      </c>
      <c r="Q65" t="str">
        <f>'GOVERNOR DATA'!N33</f>
        <v>2024 President (2024)</v>
      </c>
      <c r="R65" s="10">
        <f t="shared" si="6"/>
        <v>9.8800000000000008</v>
      </c>
      <c r="S65" s="10">
        <f t="shared" si="7"/>
        <v>10.218166784145119</v>
      </c>
      <c r="T65" s="10">
        <f t="shared" si="8"/>
        <v>-0.3381667841451188</v>
      </c>
    </row>
    <row r="66" spans="1:20" x14ac:dyDescent="0.2">
      <c r="A66" t="str">
        <f>'GOVERNOR DATA'!A34</f>
        <v>South Dakota</v>
      </c>
      <c r="B66" s="10">
        <f>'GOVERNOR DATA'!B34</f>
        <v>-20.498701708844163</v>
      </c>
      <c r="C66" s="10">
        <f t="shared" si="0"/>
        <v>-0.29999999999999893</v>
      </c>
      <c r="D66" s="10">
        <f>2*('GOVERNOR DATA'!D34*('HOUSE DASHBOARD'!$B$14-42.4)+'GOVERNOR DATA'!E34*('HOUSE DASHBOARD'!$B$15-54.2)+'GOVERNOR DATA'!F34*('HOUSE DASHBOARD'!$B$16-85.4)+'GOVERNOR DATA'!G34*('HOUSE DASHBOARD'!$B$17-60.7)+'GOVERNOR DATA'!H34*('HOUSE DASHBOARD'!$B$18-53.5))/100</f>
        <v>0</v>
      </c>
      <c r="E66" s="10">
        <f>2*('GOVERNOR DATA'!I34*('HOUSE DASHBOARD'!$B$21-55.6)+(100-'GOVERNOR DATA'!I34)*('HOUSE DASHBOARD'!$B$22-44.9))/100</f>
        <v>0</v>
      </c>
      <c r="F66" s="10">
        <f>0</f>
        <v>0</v>
      </c>
      <c r="G66" s="10">
        <f t="shared" si="1"/>
        <v>0</v>
      </c>
      <c r="H66" s="2">
        <f>'GOVERNOR DATA'!C34+C66+G66</f>
        <v>-19.32</v>
      </c>
      <c r="I66" s="3" t="str">
        <f t="shared" si="2"/>
        <v>R</v>
      </c>
      <c r="J66" s="1" t="str">
        <f>'GOVERNOR DATA'!K34</f>
        <v>R</v>
      </c>
      <c r="K66" s="1" t="str">
        <f t="shared" si="3"/>
        <v>—</v>
      </c>
      <c r="L66" t="str">
        <f t="shared" si="4"/>
        <v>R+19.32</v>
      </c>
      <c r="M66">
        <f>COUNTIF($H$36:$H$71,"&gt;"&amp;H66)+COUNTIF($H$36:H66,H66)</f>
        <v>30</v>
      </c>
      <c r="N66" s="7">
        <f t="shared" si="5"/>
        <v>19.32</v>
      </c>
      <c r="O66">
        <f>COUNTIF($N$36:$N$71,"&lt;"&amp;N66)+COUNTIF($N$36:N66,N66)</f>
        <v>21</v>
      </c>
      <c r="P66" s="10">
        <f>'GOVERNOR DATA'!M34</f>
        <v>-29.2</v>
      </c>
      <c r="Q66" t="str">
        <f>'GOVERNOR DATA'!N34</f>
        <v>2024 President (2024)</v>
      </c>
      <c r="R66" s="10">
        <f t="shared" si="6"/>
        <v>9.879999999999999</v>
      </c>
      <c r="S66" s="10">
        <f t="shared" si="7"/>
        <v>8.7012982911558368</v>
      </c>
      <c r="T66" s="10">
        <f t="shared" si="8"/>
        <v>1.1787017088441623</v>
      </c>
    </row>
    <row r="67" spans="1:20" x14ac:dyDescent="0.2">
      <c r="A67" t="str">
        <f>'GOVERNOR DATA'!A35</f>
        <v>Tennessee</v>
      </c>
      <c r="B67" s="10">
        <f>'GOVERNOR DATA'!B35</f>
        <v>-19.999332945696473</v>
      </c>
      <c r="C67" s="10">
        <f t="shared" si="0"/>
        <v>-0.29999999999999893</v>
      </c>
      <c r="D67" s="10">
        <f>2*('GOVERNOR DATA'!D35*('HOUSE DASHBOARD'!$B$14-42.4)+'GOVERNOR DATA'!E35*('HOUSE DASHBOARD'!$B$15-54.2)+'GOVERNOR DATA'!F35*('HOUSE DASHBOARD'!$B$16-85.4)+'GOVERNOR DATA'!G35*('HOUSE DASHBOARD'!$B$17-60.7)+'GOVERNOR DATA'!H35*('HOUSE DASHBOARD'!$B$18-53.5))/100</f>
        <v>0</v>
      </c>
      <c r="E67" s="10">
        <f>2*('GOVERNOR DATA'!I35*('HOUSE DASHBOARD'!$B$21-55.6)+(100-'GOVERNOR DATA'!I35)*('HOUSE DASHBOARD'!$B$22-44.9))/100</f>
        <v>0</v>
      </c>
      <c r="F67" s="10">
        <f>0</f>
        <v>0</v>
      </c>
      <c r="G67" s="10">
        <f t="shared" si="1"/>
        <v>0</v>
      </c>
      <c r="H67" s="2">
        <f>'GOVERNOR DATA'!C35+C67+G67</f>
        <v>-19.82</v>
      </c>
      <c r="I67" s="3" t="str">
        <f t="shared" si="2"/>
        <v>R</v>
      </c>
      <c r="J67" s="1" t="str">
        <f>'GOVERNOR DATA'!K35</f>
        <v>R</v>
      </c>
      <c r="K67" s="1" t="str">
        <f t="shared" si="3"/>
        <v>—</v>
      </c>
      <c r="L67" t="str">
        <f t="shared" si="4"/>
        <v>R+19.82</v>
      </c>
      <c r="M67">
        <f>COUNTIF($H$36:$H$71,"&gt;"&amp;H67)+COUNTIF($H$36:H67,H67)</f>
        <v>31</v>
      </c>
      <c r="N67" s="7">
        <f t="shared" si="5"/>
        <v>19.82</v>
      </c>
      <c r="O67">
        <f>COUNTIF($N$36:$N$71,"&lt;"&amp;N67)+COUNTIF($N$36:N67,N67)</f>
        <v>22</v>
      </c>
      <c r="P67" s="10">
        <f>'GOVERNOR DATA'!M35</f>
        <v>-29.7</v>
      </c>
      <c r="Q67" t="str">
        <f>'GOVERNOR DATA'!N35</f>
        <v>2024 President (2024)</v>
      </c>
      <c r="R67" s="10">
        <f t="shared" si="6"/>
        <v>9.879999999999999</v>
      </c>
      <c r="S67" s="10">
        <f t="shared" si="7"/>
        <v>9.7006670543035263</v>
      </c>
      <c r="T67" s="10">
        <f t="shared" si="8"/>
        <v>0.17933294569647273</v>
      </c>
    </row>
    <row r="68" spans="1:20" x14ac:dyDescent="0.2">
      <c r="A68" t="str">
        <f>'GOVERNOR DATA'!A36</f>
        <v>Texas</v>
      </c>
      <c r="B68" s="10">
        <f>'GOVERNOR DATA'!B36</f>
        <v>2.2120432051963657</v>
      </c>
      <c r="C68" s="10">
        <f t="shared" si="0"/>
        <v>-0.29999999999999893</v>
      </c>
      <c r="D68" s="10">
        <f>2*('GOVERNOR DATA'!D36*('HOUSE DASHBOARD'!$B$14-42.4)+'GOVERNOR DATA'!E36*('HOUSE DASHBOARD'!$B$15-54.2)+'GOVERNOR DATA'!F36*('HOUSE DASHBOARD'!$B$16-85.4)+'GOVERNOR DATA'!G36*('HOUSE DASHBOARD'!$B$17-60.7)+'GOVERNOR DATA'!H36*('HOUSE DASHBOARD'!$B$18-53.5))/100</f>
        <v>0</v>
      </c>
      <c r="E68" s="10">
        <f>2*('GOVERNOR DATA'!I36*('HOUSE DASHBOARD'!$B$21-55.6)+(100-'GOVERNOR DATA'!I36)*('HOUSE DASHBOARD'!$B$22-44.9))/100</f>
        <v>0</v>
      </c>
      <c r="F68" s="10">
        <f>0</f>
        <v>0</v>
      </c>
      <c r="G68" s="10">
        <f t="shared" si="1"/>
        <v>0</v>
      </c>
      <c r="H68" s="2">
        <f>'GOVERNOR DATA'!C36+C68+G68</f>
        <v>0.30000000000000071</v>
      </c>
      <c r="I68" s="3" t="str">
        <f t="shared" si="2"/>
        <v>D</v>
      </c>
      <c r="J68" s="1" t="str">
        <f>'GOVERNOR DATA'!K36</f>
        <v>D</v>
      </c>
      <c r="K68" s="1" t="str">
        <f t="shared" si="3"/>
        <v>—</v>
      </c>
      <c r="L68" t="str">
        <f t="shared" si="4"/>
        <v>D+0.30</v>
      </c>
      <c r="M68">
        <f>COUNTIF($H$36:$H$71,"&gt;"&amp;H68)+COUNTIF($H$36:H68,H68)</f>
        <v>21</v>
      </c>
      <c r="N68" s="7">
        <f t="shared" si="5"/>
        <v>0.30000000000000071</v>
      </c>
      <c r="O68">
        <f>COUNTIF($N$36:$N$71,"&lt;"&amp;N68)+COUNTIF($N$36:N68,N68)</f>
        <v>1</v>
      </c>
      <c r="P68" s="10">
        <f>'GOVERNOR DATA'!M36</f>
        <v>-10.9</v>
      </c>
      <c r="Q68" t="str">
        <f>'GOVERNOR DATA'!N36</f>
        <v>Prior Governor (2022)</v>
      </c>
      <c r="R68" s="10">
        <f t="shared" si="6"/>
        <v>11.200000000000001</v>
      </c>
      <c r="S68" s="10">
        <f t="shared" si="7"/>
        <v>13.112043205196366</v>
      </c>
      <c r="T68" s="10">
        <f t="shared" si="8"/>
        <v>-1.9120432051963649</v>
      </c>
    </row>
    <row r="69" spans="1:20" x14ac:dyDescent="0.2">
      <c r="A69" t="str">
        <f>'GOVERNOR DATA'!A37</f>
        <v>Vermont</v>
      </c>
      <c r="B69" s="10">
        <f>'GOVERNOR DATA'!B37</f>
        <v>-43.462739439410299</v>
      </c>
      <c r="C69" s="10">
        <f t="shared" si="0"/>
        <v>-0.29999999999999893</v>
      </c>
      <c r="D69" s="10">
        <f>2*('GOVERNOR DATA'!D37*('HOUSE DASHBOARD'!$B$14-42.4)+'GOVERNOR DATA'!E37*('HOUSE DASHBOARD'!$B$15-54.2)+'GOVERNOR DATA'!F37*('HOUSE DASHBOARD'!$B$16-85.4)+'GOVERNOR DATA'!G37*('HOUSE DASHBOARD'!$B$17-60.7)+'GOVERNOR DATA'!H37*('HOUSE DASHBOARD'!$B$18-53.5))/100</f>
        <v>0</v>
      </c>
      <c r="E69" s="10">
        <f>2*('GOVERNOR DATA'!I37*('HOUSE DASHBOARD'!$B$21-55.6)+(100-'GOVERNOR DATA'!I37)*('HOUSE DASHBOARD'!$B$22-44.9))/100</f>
        <v>0</v>
      </c>
      <c r="F69" s="10">
        <f>0</f>
        <v>0</v>
      </c>
      <c r="G69" s="10">
        <f t="shared" si="1"/>
        <v>0</v>
      </c>
      <c r="H69" s="2">
        <f>'GOVERNOR DATA'!C37+C69+G69</f>
        <v>-41.72</v>
      </c>
      <c r="I69" s="3" t="str">
        <f t="shared" si="2"/>
        <v>R</v>
      </c>
      <c r="J69" s="1" t="str">
        <f>'GOVERNOR DATA'!K37</f>
        <v>R</v>
      </c>
      <c r="K69" s="1" t="str">
        <f t="shared" si="3"/>
        <v>—</v>
      </c>
      <c r="L69" t="str">
        <f t="shared" si="4"/>
        <v>R+41.72</v>
      </c>
      <c r="M69">
        <f>COUNTIF($H$36:$H$71,"&gt;"&amp;H69)+COUNTIF($H$36:H69,H69)</f>
        <v>36</v>
      </c>
      <c r="N69" s="7">
        <f t="shared" si="5"/>
        <v>41.72</v>
      </c>
      <c r="O69">
        <f>COUNTIF($N$36:$N$71,"&lt;"&amp;N69)+COUNTIF($N$36:N69,N69)</f>
        <v>35</v>
      </c>
      <c r="P69" s="10">
        <f>'GOVERNOR DATA'!M37</f>
        <v>-51.6</v>
      </c>
      <c r="Q69" t="str">
        <f>'GOVERNOR DATA'!N37</f>
        <v>Prior Governor (2024)</v>
      </c>
      <c r="R69" s="10">
        <f t="shared" si="6"/>
        <v>9.8800000000000026</v>
      </c>
      <c r="S69" s="10">
        <f t="shared" si="7"/>
        <v>8.1372605605897022</v>
      </c>
      <c r="T69" s="10">
        <f t="shared" si="8"/>
        <v>1.7427394394103004</v>
      </c>
    </row>
    <row r="70" spans="1:20" x14ac:dyDescent="0.2">
      <c r="A70" t="str">
        <f>'GOVERNOR DATA'!A38</f>
        <v>Wisconsin</v>
      </c>
      <c r="B70" s="10">
        <f>'GOVERNOR DATA'!B38</f>
        <v>8.1020716783201667</v>
      </c>
      <c r="C70" s="10">
        <f t="shared" si="0"/>
        <v>-0.29999999999999893</v>
      </c>
      <c r="D70" s="10">
        <f>2*('GOVERNOR DATA'!D38*('HOUSE DASHBOARD'!$B$14-42.4)+'GOVERNOR DATA'!E38*('HOUSE DASHBOARD'!$B$15-54.2)+'GOVERNOR DATA'!F38*('HOUSE DASHBOARD'!$B$16-85.4)+'GOVERNOR DATA'!G38*('HOUSE DASHBOARD'!$B$17-60.7)+'GOVERNOR DATA'!H38*('HOUSE DASHBOARD'!$B$18-53.5))/100</f>
        <v>0</v>
      </c>
      <c r="E70" s="10">
        <f>2*('GOVERNOR DATA'!I38*('HOUSE DASHBOARD'!$B$21-55.6)+(100-'GOVERNOR DATA'!I38)*('HOUSE DASHBOARD'!$B$22-44.9))/100</f>
        <v>0</v>
      </c>
      <c r="F70" s="10">
        <f>0</f>
        <v>0</v>
      </c>
      <c r="G70" s="10">
        <f t="shared" si="1"/>
        <v>0</v>
      </c>
      <c r="H70" s="2">
        <f>'GOVERNOR DATA'!C38+C70+G70</f>
        <v>8.98</v>
      </c>
      <c r="I70" s="3" t="str">
        <f t="shared" si="2"/>
        <v>D</v>
      </c>
      <c r="J70" s="1" t="str">
        <f>'GOVERNOR DATA'!K38</f>
        <v>D</v>
      </c>
      <c r="K70" s="1" t="str">
        <f t="shared" si="3"/>
        <v>—</v>
      </c>
      <c r="L70" t="str">
        <f t="shared" si="4"/>
        <v>D+8.98</v>
      </c>
      <c r="M70">
        <f>COUNTIF($H$36:$H$71,"&gt;"&amp;H70)+COUNTIF($H$36:H70,H70)</f>
        <v>17</v>
      </c>
      <c r="N70" s="7">
        <f t="shared" si="5"/>
        <v>8.98</v>
      </c>
      <c r="O70">
        <f>COUNTIF($N$36:$N$71,"&lt;"&amp;N70)+COUNTIF($N$36:N70,N70)</f>
        <v>11</v>
      </c>
      <c r="P70" s="10">
        <f>'GOVERNOR DATA'!M38</f>
        <v>-0.9</v>
      </c>
      <c r="Q70" t="str">
        <f>'GOVERNOR DATA'!N38</f>
        <v>2024 President (2024)</v>
      </c>
      <c r="R70" s="10">
        <f t="shared" si="6"/>
        <v>9.8800000000000008</v>
      </c>
      <c r="S70" s="10">
        <f t="shared" si="7"/>
        <v>9.0020716783201671</v>
      </c>
      <c r="T70" s="10">
        <f t="shared" si="8"/>
        <v>0.8779283216798337</v>
      </c>
    </row>
    <row r="71" spans="1:20" x14ac:dyDescent="0.2">
      <c r="A71" t="str">
        <f>'GOVERNOR DATA'!A39</f>
        <v>Wyoming</v>
      </c>
      <c r="B71" s="10">
        <f>'GOVERNOR DATA'!B39</f>
        <v>-36.769947011819525</v>
      </c>
      <c r="C71" s="10">
        <f t="shared" si="0"/>
        <v>-0.29999999999999893</v>
      </c>
      <c r="D71" s="10">
        <f>2*('GOVERNOR DATA'!D39*('HOUSE DASHBOARD'!$B$14-42.4)+'GOVERNOR DATA'!E39*('HOUSE DASHBOARD'!$B$15-54.2)+'GOVERNOR DATA'!F39*('HOUSE DASHBOARD'!$B$16-85.4)+'GOVERNOR DATA'!G39*('HOUSE DASHBOARD'!$B$17-60.7)+'GOVERNOR DATA'!H39*('HOUSE DASHBOARD'!$B$18-53.5))/100</f>
        <v>0</v>
      </c>
      <c r="E71" s="10">
        <f>2*('GOVERNOR DATA'!I39*('HOUSE DASHBOARD'!$B$21-55.6)+(100-'GOVERNOR DATA'!I39)*('HOUSE DASHBOARD'!$B$22-44.9))/100</f>
        <v>0</v>
      </c>
      <c r="F71" s="10">
        <f>0</f>
        <v>0</v>
      </c>
      <c r="G71" s="10">
        <f t="shared" si="1"/>
        <v>0</v>
      </c>
      <c r="H71" s="2">
        <f>'GOVERNOR DATA'!C39+C71+G71</f>
        <v>-35.919999999999995</v>
      </c>
      <c r="I71" s="3" t="str">
        <f t="shared" si="2"/>
        <v>R</v>
      </c>
      <c r="J71" s="1" t="str">
        <f>'GOVERNOR DATA'!K39</f>
        <v>R</v>
      </c>
      <c r="K71" s="1" t="str">
        <f t="shared" si="3"/>
        <v>—</v>
      </c>
      <c r="L71" t="str">
        <f t="shared" si="4"/>
        <v>R+35.92</v>
      </c>
      <c r="M71">
        <f>COUNTIF($H$36:$H$71,"&gt;"&amp;H71)+COUNTIF($H$36:H71,H71)</f>
        <v>35</v>
      </c>
      <c r="N71" s="7">
        <f t="shared" si="5"/>
        <v>35.919999999999995</v>
      </c>
      <c r="O71">
        <f>COUNTIF($N$36:$N$71,"&lt;"&amp;N71)+COUNTIF($N$36:N71,N71)</f>
        <v>32</v>
      </c>
      <c r="P71" s="10">
        <f>'GOVERNOR DATA'!M39</f>
        <v>-45.8</v>
      </c>
      <c r="Q71" t="str">
        <f>'GOVERNOR DATA'!N39</f>
        <v>2024 President (2024)</v>
      </c>
      <c r="R71" s="10">
        <f t="shared" si="6"/>
        <v>9.8800000000000026</v>
      </c>
      <c r="S71" s="10">
        <f t="shared" si="7"/>
        <v>9.0300529881804721</v>
      </c>
      <c r="T71" s="10">
        <f t="shared" si="8"/>
        <v>0.84994701181953047</v>
      </c>
    </row>
  </sheetData>
  <mergeCells count="18">
    <mergeCell ref="A1:L1"/>
    <mergeCell ref="A2:L2"/>
    <mergeCell ref="A4:E4"/>
    <mergeCell ref="G4:L4"/>
    <mergeCell ref="G5:H5"/>
    <mergeCell ref="I5:J5"/>
    <mergeCell ref="G6:H7"/>
    <mergeCell ref="I6:J7"/>
    <mergeCell ref="G10:L10"/>
    <mergeCell ref="A12:E12"/>
    <mergeCell ref="G12:L12"/>
    <mergeCell ref="B26:E26"/>
    <mergeCell ref="H26:L26"/>
    <mergeCell ref="A28:L28"/>
    <mergeCell ref="A29:L29"/>
    <mergeCell ref="A23:L23"/>
    <mergeCell ref="B25:E25"/>
    <mergeCell ref="H25:L25"/>
  </mergeCells>
  <dataValidations count="4">
    <dataValidation type="list" sqref="B6" xr:uid="{00000000-0002-0000-0200-000000000000}">
      <formula1>"All edited groups"</formula1>
    </dataValidation>
    <dataValidation type="list" sqref="B9" xr:uid="{00000000-0002-0000-0200-000001000000}">
      <formula1>"Custom,Even,R+3,D+3,D+5,D+8,D+10"</formula1>
    </dataValidation>
    <dataValidation type="list" sqref="B10" xr:uid="{00000000-0002-0000-0200-000002000000}">
      <formula1>"Uniform swing,Original forecast"</formula1>
    </dataValidation>
    <dataValidation type="list" sqref="B11" xr:uid="{00000000-0002-0000-0200-000003000000}">
      <formula1>"Generic ballot,Demographic-driven"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8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22.05859375" customWidth="1"/>
    <col min="2" max="3" width="23" customWidth="1"/>
    <col min="4" max="10" width="18.96484375" customWidth="1"/>
    <col min="11" max="11" width="30.9375" customWidth="1"/>
    <col min="12" max="12" width="34.03125" customWidth="1"/>
    <col min="13" max="13" width="25.9609375" customWidth="1"/>
    <col min="14" max="14" width="36.9921875" customWidth="1"/>
  </cols>
  <sheetData>
    <row r="1" spans="1:14" ht="30" customHeight="1" x14ac:dyDescent="0.2">
      <c r="A1" s="109" t="s">
        <v>126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4" x14ac:dyDescent="0.2">
      <c r="A2" t="s">
        <v>127</v>
      </c>
    </row>
    <row r="3" spans="1:14" ht="24" customHeight="1" x14ac:dyDescent="0.2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137</v>
      </c>
      <c r="K3" s="6" t="s">
        <v>138</v>
      </c>
      <c r="L3" s="6" t="s">
        <v>139</v>
      </c>
      <c r="M3" s="13" t="s">
        <v>140</v>
      </c>
      <c r="N3" s="13" t="s">
        <v>141</v>
      </c>
    </row>
    <row r="4" spans="1:14" x14ac:dyDescent="0.2">
      <c r="A4" t="s">
        <v>142</v>
      </c>
      <c r="B4" s="10">
        <v>8.1315241629244337</v>
      </c>
      <c r="C4" s="10">
        <v>10.220000000000008</v>
      </c>
      <c r="D4" s="10">
        <v>61.5</v>
      </c>
      <c r="E4" s="10">
        <v>6.2</v>
      </c>
      <c r="F4" s="10">
        <v>3.9</v>
      </c>
      <c r="G4" s="10">
        <v>5.9</v>
      </c>
      <c r="H4" s="10">
        <v>22.5</v>
      </c>
      <c r="I4" s="10">
        <v>30.7</v>
      </c>
      <c r="J4" s="10">
        <v>54.373666666666665</v>
      </c>
      <c r="K4" t="s">
        <v>81</v>
      </c>
      <c r="L4" t="s">
        <v>143</v>
      </c>
      <c r="M4" s="10">
        <v>-1.039999999999992</v>
      </c>
      <c r="N4" t="s">
        <v>143</v>
      </c>
    </row>
    <row r="5" spans="1:14" x14ac:dyDescent="0.2">
      <c r="A5" t="s">
        <v>144</v>
      </c>
      <c r="B5" s="10">
        <v>-24.724555843621363</v>
      </c>
      <c r="C5" s="10">
        <v>-25.17</v>
      </c>
      <c r="D5" s="10">
        <v>66</v>
      </c>
      <c r="E5" s="10">
        <v>2.2999999999999998</v>
      </c>
      <c r="F5" s="10">
        <v>26.1</v>
      </c>
      <c r="G5" s="10">
        <v>1.4</v>
      </c>
      <c r="H5" s="10">
        <v>4.2000000000000028</v>
      </c>
      <c r="I5" s="10">
        <v>25.9</v>
      </c>
      <c r="J5" s="10">
        <v>44.593666666666664</v>
      </c>
      <c r="K5" t="s">
        <v>81</v>
      </c>
      <c r="L5" t="s">
        <v>145</v>
      </c>
      <c r="M5" s="10">
        <v>-36.020000000000003</v>
      </c>
      <c r="N5" t="s">
        <v>145</v>
      </c>
    </row>
    <row r="6" spans="1:14" x14ac:dyDescent="0.2">
      <c r="A6" t="s">
        <v>146</v>
      </c>
      <c r="B6" s="10">
        <v>-2.8761421545273347</v>
      </c>
      <c r="C6" s="10">
        <v>-3.1990495449949474</v>
      </c>
      <c r="D6" s="10">
        <v>62</v>
      </c>
      <c r="E6" s="10">
        <v>2.2000000000000002</v>
      </c>
      <c r="F6" s="10">
        <v>31.1</v>
      </c>
      <c r="G6" s="10">
        <v>1.3</v>
      </c>
      <c r="H6" s="10">
        <v>3.3999999999999915</v>
      </c>
      <c r="I6" s="10">
        <v>25.1</v>
      </c>
      <c r="J6" s="10">
        <v>44.186999999999998</v>
      </c>
      <c r="K6" t="s">
        <v>77</v>
      </c>
      <c r="L6" t="s">
        <v>143</v>
      </c>
      <c r="M6" s="10">
        <v>-14.459049544994947</v>
      </c>
      <c r="N6" t="s">
        <v>143</v>
      </c>
    </row>
    <row r="7" spans="1:14" x14ac:dyDescent="0.2">
      <c r="A7" t="s">
        <v>147</v>
      </c>
      <c r="B7" s="10">
        <v>-35.422943904319169</v>
      </c>
      <c r="C7" s="10">
        <v>-35.757189079878671</v>
      </c>
      <c r="D7" s="10">
        <v>67.7</v>
      </c>
      <c r="E7" s="10">
        <v>2.1</v>
      </c>
      <c r="F7" s="10">
        <v>25</v>
      </c>
      <c r="G7" s="10">
        <v>0.9</v>
      </c>
      <c r="H7" s="10">
        <v>4.2999999999999972</v>
      </c>
      <c r="I7" s="10">
        <v>22.4</v>
      </c>
      <c r="J7" s="10">
        <v>43.015666666666668</v>
      </c>
      <c r="K7" t="s">
        <v>81</v>
      </c>
      <c r="L7" t="s">
        <v>143</v>
      </c>
      <c r="M7" s="10">
        <v>-47.017189079878669</v>
      </c>
      <c r="N7" t="s">
        <v>143</v>
      </c>
    </row>
    <row r="8" spans="1:14" x14ac:dyDescent="0.2">
      <c r="A8" t="s">
        <v>148</v>
      </c>
      <c r="B8" s="10">
        <v>-56.160298557372606</v>
      </c>
      <c r="C8" s="10">
        <v>-55.777411526794744</v>
      </c>
      <c r="D8" s="10">
        <v>82.4</v>
      </c>
      <c r="E8" s="10">
        <v>2.7</v>
      </c>
      <c r="F8" s="10">
        <v>7.8</v>
      </c>
      <c r="G8" s="10">
        <v>0.6</v>
      </c>
      <c r="H8" s="10">
        <v>6.5</v>
      </c>
      <c r="I8" s="10">
        <v>18.5</v>
      </c>
      <c r="J8" s="10">
        <v>43.32</v>
      </c>
      <c r="K8" t="s">
        <v>81</v>
      </c>
      <c r="L8" t="s">
        <v>143</v>
      </c>
      <c r="M8" s="10">
        <v>-67.037411526794742</v>
      </c>
      <c r="N8" t="s">
        <v>143</v>
      </c>
    </row>
    <row r="9" spans="1:14" x14ac:dyDescent="0.2">
      <c r="A9" t="s">
        <v>149</v>
      </c>
      <c r="B9" s="10">
        <v>-19.750267234047456</v>
      </c>
      <c r="C9" s="10">
        <v>-18.271568228105917</v>
      </c>
      <c r="D9" s="10">
        <v>70.900000000000006</v>
      </c>
      <c r="E9" s="10">
        <v>2.9</v>
      </c>
      <c r="F9" s="10">
        <v>18.600000000000001</v>
      </c>
      <c r="G9" s="10">
        <v>1.7</v>
      </c>
      <c r="H9" s="10">
        <v>5.8999999999999915</v>
      </c>
      <c r="I9" s="10">
        <v>35.700000000000003</v>
      </c>
      <c r="J9" s="10">
        <v>49.566000000000003</v>
      </c>
      <c r="K9" t="s">
        <v>81</v>
      </c>
      <c r="L9" t="s">
        <v>143</v>
      </c>
      <c r="M9" s="10">
        <v>-29.531568228105918</v>
      </c>
      <c r="N9" t="s">
        <v>143</v>
      </c>
    </row>
    <row r="10" spans="1:14" x14ac:dyDescent="0.2">
      <c r="A10" t="s">
        <v>150</v>
      </c>
      <c r="B10" s="10">
        <v>-25.430454688340149</v>
      </c>
      <c r="C10" s="10">
        <v>-23.496097560975603</v>
      </c>
      <c r="D10" s="10">
        <v>71.2</v>
      </c>
      <c r="E10" s="10">
        <v>2.4</v>
      </c>
      <c r="F10" s="10">
        <v>20</v>
      </c>
      <c r="G10" s="10">
        <v>1.5</v>
      </c>
      <c r="H10" s="10">
        <v>4.8999999999999915</v>
      </c>
      <c r="I10" s="10">
        <v>38.799999999999997</v>
      </c>
      <c r="J10" s="10">
        <v>51.265333333333331</v>
      </c>
      <c r="K10" t="s">
        <v>81</v>
      </c>
      <c r="L10" t="s">
        <v>143</v>
      </c>
      <c r="M10" s="10">
        <v>-34.756097560975604</v>
      </c>
      <c r="N10" t="s">
        <v>143</v>
      </c>
    </row>
    <row r="11" spans="1:14" x14ac:dyDescent="0.2">
      <c r="A11" t="s">
        <v>151</v>
      </c>
      <c r="B11" s="10">
        <v>30.934188814999029</v>
      </c>
      <c r="C11" s="10">
        <v>29.276194331983799</v>
      </c>
      <c r="D11" s="10">
        <v>38.6</v>
      </c>
      <c r="E11" s="10">
        <v>1.5</v>
      </c>
      <c r="F11" s="10">
        <v>56.9</v>
      </c>
      <c r="G11" s="10">
        <v>0.9</v>
      </c>
      <c r="H11" s="10">
        <v>2.0999999999999943</v>
      </c>
      <c r="I11" s="10">
        <v>23.9</v>
      </c>
      <c r="J11" s="10">
        <v>40.261333333333333</v>
      </c>
      <c r="K11" t="s">
        <v>77</v>
      </c>
      <c r="L11" t="s">
        <v>143</v>
      </c>
      <c r="M11" s="10">
        <v>18.016194331983797</v>
      </c>
      <c r="N11" t="s">
        <v>143</v>
      </c>
    </row>
    <row r="12" spans="1:14" x14ac:dyDescent="0.2">
      <c r="A12" t="s">
        <v>152</v>
      </c>
      <c r="B12" s="10">
        <v>-39.099401615752896</v>
      </c>
      <c r="C12" s="10">
        <v>-39.199999999999996</v>
      </c>
      <c r="D12" s="10">
        <v>75.8</v>
      </c>
      <c r="E12" s="10">
        <v>2.1</v>
      </c>
      <c r="F12" s="10">
        <v>16.7</v>
      </c>
      <c r="G12" s="10">
        <v>0.5</v>
      </c>
      <c r="H12" s="10">
        <v>4.9000000000000057</v>
      </c>
      <c r="I12" s="10">
        <v>17.600000000000001</v>
      </c>
      <c r="J12" s="10">
        <v>41.74433333333333</v>
      </c>
      <c r="K12" t="s">
        <v>81</v>
      </c>
      <c r="L12" t="s">
        <v>143</v>
      </c>
      <c r="M12" s="10">
        <v>-50.459999999999994</v>
      </c>
      <c r="N12" t="s">
        <v>143</v>
      </c>
    </row>
    <row r="13" spans="1:14" x14ac:dyDescent="0.2">
      <c r="A13" t="s">
        <v>153</v>
      </c>
      <c r="B13" s="10">
        <v>-6.9580951991577074</v>
      </c>
      <c r="C13" s="10">
        <v>-6.6000000000000068</v>
      </c>
      <c r="D13" s="10">
        <v>69.099999999999994</v>
      </c>
      <c r="E13" s="10">
        <v>2.6</v>
      </c>
      <c r="F13" s="10">
        <v>20.6</v>
      </c>
      <c r="G13" s="10">
        <v>1.4</v>
      </c>
      <c r="H13" s="10">
        <v>6.3000000000000114</v>
      </c>
      <c r="I13" s="10">
        <v>32.5</v>
      </c>
      <c r="J13" s="10">
        <v>45.044666666666664</v>
      </c>
      <c r="K13" t="s">
        <v>81</v>
      </c>
      <c r="L13" t="s">
        <v>143</v>
      </c>
      <c r="M13" s="10">
        <v>-17.860000000000007</v>
      </c>
      <c r="N13" t="s">
        <v>143</v>
      </c>
    </row>
    <row r="14" spans="1:14" x14ac:dyDescent="0.2">
      <c r="A14" t="s">
        <v>154</v>
      </c>
      <c r="B14" s="10">
        <v>-23.054683745549397</v>
      </c>
      <c r="C14" s="10">
        <v>-22.259999999999994</v>
      </c>
      <c r="D14" s="10">
        <v>71.599999999999994</v>
      </c>
      <c r="E14" s="10">
        <v>9.1</v>
      </c>
      <c r="F14" s="10">
        <v>3.4</v>
      </c>
      <c r="G14" s="10">
        <v>2.6</v>
      </c>
      <c r="H14" s="10">
        <v>13.300000000000011</v>
      </c>
      <c r="I14" s="10">
        <v>31.1</v>
      </c>
      <c r="J14" s="10">
        <v>47.137999999999998</v>
      </c>
      <c r="K14" t="s">
        <v>81</v>
      </c>
      <c r="L14" t="s">
        <v>143</v>
      </c>
      <c r="M14" s="10">
        <v>-33.519999999999996</v>
      </c>
      <c r="N14" t="s">
        <v>143</v>
      </c>
    </row>
    <row r="15" spans="1:14" x14ac:dyDescent="0.2">
      <c r="A15" t="s">
        <v>155</v>
      </c>
      <c r="B15" s="10">
        <v>-34.156732782454171</v>
      </c>
      <c r="C15" s="10">
        <v>-34.56</v>
      </c>
      <c r="D15" s="10">
        <v>69.599999999999994</v>
      </c>
      <c r="E15" s="10">
        <v>3.5</v>
      </c>
      <c r="F15" s="10">
        <v>20.399999999999999</v>
      </c>
      <c r="G15" s="10">
        <v>0.7</v>
      </c>
      <c r="H15" s="10">
        <v>5.8000000000000114</v>
      </c>
      <c r="I15" s="10">
        <v>18</v>
      </c>
      <c r="J15" s="10">
        <v>41.01166666666667</v>
      </c>
      <c r="K15" t="s">
        <v>81</v>
      </c>
      <c r="L15" t="s">
        <v>143</v>
      </c>
      <c r="M15" s="10">
        <v>-45.82</v>
      </c>
      <c r="N15" t="s">
        <v>143</v>
      </c>
    </row>
    <row r="16" spans="1:14" x14ac:dyDescent="0.2">
      <c r="A16" t="s">
        <v>156</v>
      </c>
      <c r="B16" s="10">
        <v>5.4536575388987094</v>
      </c>
      <c r="C16" s="10">
        <v>7.74</v>
      </c>
      <c r="D16" s="10">
        <v>73.599999999999994</v>
      </c>
      <c r="E16" s="10">
        <v>12.4</v>
      </c>
      <c r="F16" s="10">
        <v>4.0999999999999996</v>
      </c>
      <c r="G16" s="10">
        <v>3.7</v>
      </c>
      <c r="H16" s="10">
        <v>6.2000000000000028</v>
      </c>
      <c r="I16" s="10">
        <v>50.6</v>
      </c>
      <c r="J16" s="10">
        <v>55.520666666666671</v>
      </c>
      <c r="K16" t="s">
        <v>81</v>
      </c>
      <c r="L16" t="s">
        <v>145</v>
      </c>
      <c r="M16" s="10">
        <v>-3.11</v>
      </c>
      <c r="N16" t="s">
        <v>145</v>
      </c>
    </row>
    <row r="17" spans="1:14" x14ac:dyDescent="0.2">
      <c r="A17" t="s">
        <v>157</v>
      </c>
      <c r="B17" s="10">
        <v>2.3651025886261952</v>
      </c>
      <c r="C17" s="10">
        <v>2.2999999999999989</v>
      </c>
      <c r="D17" s="10">
        <v>60</v>
      </c>
      <c r="E17" s="10">
        <v>14.2</v>
      </c>
      <c r="F17" s="10">
        <v>2.6</v>
      </c>
      <c r="G17" s="10">
        <v>1.3</v>
      </c>
      <c r="H17" s="10">
        <v>21.900000000000006</v>
      </c>
      <c r="I17" s="10">
        <v>25</v>
      </c>
      <c r="J17" s="10">
        <v>45.671666666666667</v>
      </c>
      <c r="K17" t="s">
        <v>81</v>
      </c>
      <c r="L17" t="s">
        <v>143</v>
      </c>
      <c r="M17" s="10">
        <v>-8.9600000000000009</v>
      </c>
      <c r="N17" t="s">
        <v>143</v>
      </c>
    </row>
    <row r="18" spans="1:14" x14ac:dyDescent="0.2">
      <c r="A18" t="s">
        <v>158</v>
      </c>
      <c r="B18" s="10">
        <v>60.382714213548297</v>
      </c>
      <c r="C18" s="10">
        <v>56.74</v>
      </c>
      <c r="D18" s="10">
        <v>23.8</v>
      </c>
      <c r="E18" s="10">
        <v>52.3</v>
      </c>
      <c r="F18" s="10">
        <v>12.2</v>
      </c>
      <c r="G18" s="10">
        <v>2.8</v>
      </c>
      <c r="H18" s="10">
        <v>8.9000000000000057</v>
      </c>
      <c r="I18" s="10">
        <v>18</v>
      </c>
      <c r="J18" s="10">
        <v>46.304333333333332</v>
      </c>
      <c r="K18" t="s">
        <v>77</v>
      </c>
      <c r="L18" t="s">
        <v>143</v>
      </c>
      <c r="M18" s="10">
        <v>45.480000000000004</v>
      </c>
      <c r="N18" t="s">
        <v>143</v>
      </c>
    </row>
    <row r="19" spans="1:14" x14ac:dyDescent="0.2">
      <c r="A19" t="s">
        <v>159</v>
      </c>
      <c r="B19" s="10">
        <v>18.092172368757986</v>
      </c>
      <c r="C19" s="10">
        <v>18.680000000000003</v>
      </c>
      <c r="D19" s="10">
        <v>59.4</v>
      </c>
      <c r="E19" s="10">
        <v>20</v>
      </c>
      <c r="F19" s="10">
        <v>6.7</v>
      </c>
      <c r="G19" s="10">
        <v>4.7</v>
      </c>
      <c r="H19" s="10">
        <v>9.2000000000000028</v>
      </c>
      <c r="I19" s="10">
        <v>37.200000000000003</v>
      </c>
      <c r="J19" s="10">
        <v>51.36933333333333</v>
      </c>
      <c r="K19" t="s">
        <v>77</v>
      </c>
      <c r="L19" t="s">
        <v>143</v>
      </c>
      <c r="M19" s="10">
        <v>7.4200000000000017</v>
      </c>
      <c r="N19" t="s">
        <v>143</v>
      </c>
    </row>
    <row r="20" spans="1:14" x14ac:dyDescent="0.2">
      <c r="A20" t="s">
        <v>160</v>
      </c>
      <c r="B20" s="10">
        <v>-11.23276566762812</v>
      </c>
      <c r="C20" s="10">
        <v>-9.1300000000000008</v>
      </c>
      <c r="D20" s="10">
        <v>70.400000000000006</v>
      </c>
      <c r="E20" s="10">
        <v>15.3</v>
      </c>
      <c r="F20" s="10">
        <v>4.2</v>
      </c>
      <c r="G20" s="10">
        <v>5.2</v>
      </c>
      <c r="H20" s="10">
        <v>4.8999999999999915</v>
      </c>
      <c r="I20" s="10">
        <v>39.700000000000003</v>
      </c>
      <c r="J20" s="10">
        <v>58.829666666666668</v>
      </c>
      <c r="K20" t="s">
        <v>81</v>
      </c>
      <c r="L20" t="s">
        <v>145</v>
      </c>
      <c r="M20" s="10">
        <v>-19.98</v>
      </c>
      <c r="N20" t="s">
        <v>145</v>
      </c>
    </row>
    <row r="21" spans="1:14" x14ac:dyDescent="0.2">
      <c r="A21" t="s">
        <v>161</v>
      </c>
      <c r="B21" s="10">
        <v>8.4102066136036804</v>
      </c>
      <c r="C21" s="10">
        <v>8.6800000000000015</v>
      </c>
      <c r="D21" s="10">
        <v>67.3</v>
      </c>
      <c r="E21" s="10">
        <v>22</v>
      </c>
      <c r="F21" s="10">
        <v>4.0999999999999996</v>
      </c>
      <c r="G21" s="10">
        <v>3.2</v>
      </c>
      <c r="H21" s="10">
        <v>3.4000000000000057</v>
      </c>
      <c r="I21" s="10">
        <v>38.1</v>
      </c>
      <c r="J21" s="10">
        <v>48.717333333333336</v>
      </c>
      <c r="K21" t="s">
        <v>81</v>
      </c>
      <c r="L21" t="s">
        <v>143</v>
      </c>
      <c r="M21" s="10">
        <v>-2.5799999999999983</v>
      </c>
      <c r="N21" t="s">
        <v>143</v>
      </c>
    </row>
    <row r="22" spans="1:14" x14ac:dyDescent="0.2">
      <c r="A22" t="s">
        <v>162</v>
      </c>
      <c r="B22" s="10">
        <v>42.142471987692268</v>
      </c>
      <c r="C22" s="10">
        <v>38.159999999999997</v>
      </c>
      <c r="D22" s="10">
        <v>32.9</v>
      </c>
      <c r="E22" s="10">
        <v>53</v>
      </c>
      <c r="F22" s="10">
        <v>4.3</v>
      </c>
      <c r="G22" s="10">
        <v>2</v>
      </c>
      <c r="H22" s="10">
        <v>7.7999999999999972</v>
      </c>
      <c r="I22" s="10">
        <v>20.9</v>
      </c>
      <c r="J22" s="10">
        <v>42.518333333333331</v>
      </c>
      <c r="K22" t="s">
        <v>77</v>
      </c>
      <c r="L22" t="s">
        <v>143</v>
      </c>
      <c r="M22" s="10">
        <v>26.9</v>
      </c>
      <c r="N22" t="s">
        <v>143</v>
      </c>
    </row>
    <row r="23" spans="1:14" x14ac:dyDescent="0.2">
      <c r="A23" t="s">
        <v>163</v>
      </c>
      <c r="B23" s="10">
        <v>-2.789363386286138</v>
      </c>
      <c r="C23" s="10">
        <v>-1.7399999999999933</v>
      </c>
      <c r="D23" s="10">
        <v>68.599999999999994</v>
      </c>
      <c r="E23" s="10">
        <v>16.600000000000001</v>
      </c>
      <c r="F23" s="10">
        <v>4.5</v>
      </c>
      <c r="G23" s="10">
        <v>3.8</v>
      </c>
      <c r="H23" s="10">
        <v>6.5</v>
      </c>
      <c r="I23" s="10">
        <v>31.5</v>
      </c>
      <c r="J23" s="10">
        <v>51.347333333333331</v>
      </c>
      <c r="K23" t="s">
        <v>81</v>
      </c>
      <c r="L23" t="s">
        <v>143</v>
      </c>
      <c r="M23" s="10">
        <v>-12.999999999999993</v>
      </c>
      <c r="N23" t="s">
        <v>143</v>
      </c>
    </row>
    <row r="24" spans="1:14" x14ac:dyDescent="0.2">
      <c r="A24" t="s">
        <v>164</v>
      </c>
      <c r="B24" s="10">
        <v>-19.289249600946686</v>
      </c>
      <c r="C24" s="10">
        <v>-19.34</v>
      </c>
      <c r="D24" s="10">
        <v>62.3</v>
      </c>
      <c r="E24" s="10">
        <v>24.9</v>
      </c>
      <c r="F24" s="10">
        <v>4.9000000000000004</v>
      </c>
      <c r="G24" s="10">
        <v>2.2999999999999998</v>
      </c>
      <c r="H24" s="10">
        <v>5.6000000000000085</v>
      </c>
      <c r="I24" s="10">
        <v>21.8</v>
      </c>
      <c r="J24" s="10">
        <v>49.436666666666667</v>
      </c>
      <c r="K24" t="s">
        <v>81</v>
      </c>
      <c r="L24" t="s">
        <v>143</v>
      </c>
      <c r="M24" s="10">
        <v>-30.6</v>
      </c>
      <c r="N24" t="s">
        <v>143</v>
      </c>
    </row>
    <row r="25" spans="1:14" x14ac:dyDescent="0.2">
      <c r="A25" t="s">
        <v>165</v>
      </c>
      <c r="B25" s="10">
        <v>24.11314004982863</v>
      </c>
      <c r="C25" s="10">
        <v>23.760000000000016</v>
      </c>
      <c r="D25" s="10">
        <v>65.3</v>
      </c>
      <c r="E25" s="10">
        <v>16.100000000000001</v>
      </c>
      <c r="F25" s="10">
        <v>2.6</v>
      </c>
      <c r="G25" s="10">
        <v>5.3</v>
      </c>
      <c r="H25" s="10">
        <v>10.700000000000003</v>
      </c>
      <c r="I25" s="10">
        <v>22.7</v>
      </c>
      <c r="J25" s="10">
        <v>46.490333333333332</v>
      </c>
      <c r="K25" t="s">
        <v>81</v>
      </c>
      <c r="L25" t="s">
        <v>143</v>
      </c>
      <c r="M25" s="10">
        <v>12.500000000000014</v>
      </c>
      <c r="N25" t="s">
        <v>143</v>
      </c>
    </row>
    <row r="26" spans="1:14" x14ac:dyDescent="0.2">
      <c r="A26" t="s">
        <v>166</v>
      </c>
      <c r="B26" s="10">
        <v>34.544866678890479</v>
      </c>
      <c r="C26" s="10">
        <v>37.033195876288652</v>
      </c>
      <c r="D26" s="10">
        <v>68.400000000000006</v>
      </c>
      <c r="E26" s="10">
        <v>12.4</v>
      </c>
      <c r="F26" s="10">
        <v>2.2999999999999998</v>
      </c>
      <c r="G26" s="10">
        <v>4.8</v>
      </c>
      <c r="H26" s="10">
        <v>12.099999999999994</v>
      </c>
      <c r="I26" s="10">
        <v>42.3</v>
      </c>
      <c r="J26" s="10">
        <v>55.906999999999996</v>
      </c>
      <c r="K26" t="s">
        <v>77</v>
      </c>
      <c r="L26" t="s">
        <v>143</v>
      </c>
      <c r="M26" s="10">
        <v>25.773195876288653</v>
      </c>
      <c r="N26" t="s">
        <v>143</v>
      </c>
    </row>
    <row r="27" spans="1:14" x14ac:dyDescent="0.2">
      <c r="A27" t="s">
        <v>167</v>
      </c>
      <c r="B27" s="10">
        <v>18.966123602083233</v>
      </c>
      <c r="C27" s="10">
        <v>21.676666666666666</v>
      </c>
      <c r="D27" s="10">
        <v>72.3</v>
      </c>
      <c r="E27" s="10">
        <v>11.3</v>
      </c>
      <c r="F27" s="10">
        <v>2.2000000000000002</v>
      </c>
      <c r="G27" s="10">
        <v>6.7</v>
      </c>
      <c r="H27" s="10">
        <v>7.5</v>
      </c>
      <c r="I27" s="10">
        <v>40.200000000000003</v>
      </c>
      <c r="J27" s="10">
        <v>57.896333333333331</v>
      </c>
      <c r="K27" t="s">
        <v>81</v>
      </c>
      <c r="L27" t="s">
        <v>143</v>
      </c>
      <c r="M27" s="10">
        <v>10.416666666666664</v>
      </c>
      <c r="N27" t="s">
        <v>143</v>
      </c>
    </row>
    <row r="28" spans="1:14" x14ac:dyDescent="0.2">
      <c r="A28" t="s">
        <v>168</v>
      </c>
      <c r="B28" s="10">
        <v>26.064554849794852</v>
      </c>
      <c r="C28" s="10">
        <v>26.723917525773206</v>
      </c>
      <c r="D28" s="10">
        <v>55.3</v>
      </c>
      <c r="E28" s="10">
        <v>22.1</v>
      </c>
      <c r="F28" s="10">
        <v>3.8</v>
      </c>
      <c r="G28" s="10">
        <v>8.3000000000000007</v>
      </c>
      <c r="H28" s="10">
        <v>10.5</v>
      </c>
      <c r="I28" s="10">
        <v>35.4</v>
      </c>
      <c r="J28" s="10">
        <v>54.106333333333332</v>
      </c>
      <c r="K28" t="s">
        <v>77</v>
      </c>
      <c r="L28" t="s">
        <v>143</v>
      </c>
      <c r="M28" s="10">
        <v>15.463917525773205</v>
      </c>
      <c r="N28" t="s">
        <v>143</v>
      </c>
    </row>
    <row r="29" spans="1:14" x14ac:dyDescent="0.2">
      <c r="A29" t="s">
        <v>169</v>
      </c>
      <c r="B29" s="10">
        <v>-11.340869969584698</v>
      </c>
      <c r="C29" s="10">
        <v>-10.389484536082469</v>
      </c>
      <c r="D29" s="10">
        <v>63</v>
      </c>
      <c r="E29" s="10">
        <v>20.6</v>
      </c>
      <c r="F29" s="10">
        <v>3</v>
      </c>
      <c r="G29" s="10">
        <v>5.6</v>
      </c>
      <c r="H29" s="10">
        <v>7.7999999999999972</v>
      </c>
      <c r="I29" s="10">
        <v>30.2</v>
      </c>
      <c r="J29" s="10">
        <v>53.244666666666667</v>
      </c>
      <c r="K29" t="s">
        <v>81</v>
      </c>
      <c r="L29" t="s">
        <v>143</v>
      </c>
      <c r="M29" s="10">
        <v>-21.649484536082468</v>
      </c>
      <c r="N29" t="s">
        <v>143</v>
      </c>
    </row>
    <row r="30" spans="1:14" x14ac:dyDescent="0.2">
      <c r="A30" t="s">
        <v>170</v>
      </c>
      <c r="B30" s="10">
        <v>20.85462726509002</v>
      </c>
      <c r="C30" s="10">
        <v>20.538350515463922</v>
      </c>
      <c r="D30" s="10">
        <v>51.1</v>
      </c>
      <c r="E30" s="10">
        <v>18.2</v>
      </c>
      <c r="F30" s="10">
        <v>11.5</v>
      </c>
      <c r="G30" s="10">
        <v>12.1</v>
      </c>
      <c r="H30" s="10">
        <v>7.0999999999999943</v>
      </c>
      <c r="I30" s="10">
        <v>29.3</v>
      </c>
      <c r="J30" s="10">
        <v>51.802999999999997</v>
      </c>
      <c r="K30" t="s">
        <v>77</v>
      </c>
      <c r="L30" t="s">
        <v>143</v>
      </c>
      <c r="M30" s="10">
        <v>9.2783505154639201</v>
      </c>
      <c r="N30" t="s">
        <v>143</v>
      </c>
    </row>
    <row r="31" spans="1:14" x14ac:dyDescent="0.2">
      <c r="A31" t="s">
        <v>171</v>
      </c>
      <c r="B31" s="10">
        <v>26.154094896729877</v>
      </c>
      <c r="C31" s="10">
        <v>24.662061855670114</v>
      </c>
      <c r="D31" s="10">
        <v>35</v>
      </c>
      <c r="E31" s="10">
        <v>22.3</v>
      </c>
      <c r="F31" s="10">
        <v>12.7</v>
      </c>
      <c r="G31" s="10">
        <v>21.9</v>
      </c>
      <c r="H31" s="10">
        <v>8.0999999999999943</v>
      </c>
      <c r="I31" s="10">
        <v>33.4</v>
      </c>
      <c r="J31" s="10">
        <v>53.386000000000003</v>
      </c>
      <c r="K31" t="s">
        <v>77</v>
      </c>
      <c r="L31" t="s">
        <v>143</v>
      </c>
      <c r="M31" s="10">
        <v>13.402061855670112</v>
      </c>
      <c r="N31" t="s">
        <v>143</v>
      </c>
    </row>
    <row r="32" spans="1:14" x14ac:dyDescent="0.2">
      <c r="A32" t="s">
        <v>172</v>
      </c>
      <c r="B32" s="10">
        <v>48.100680077531095</v>
      </c>
      <c r="C32" s="10">
        <v>46.676666666666669</v>
      </c>
      <c r="D32" s="10">
        <v>26.9</v>
      </c>
      <c r="E32" s="10">
        <v>25.4</v>
      </c>
      <c r="F32" s="10">
        <v>18.600000000000001</v>
      </c>
      <c r="G32" s="10">
        <v>20</v>
      </c>
      <c r="H32" s="10">
        <v>9.0999999999999943</v>
      </c>
      <c r="I32" s="10">
        <v>29.8</v>
      </c>
      <c r="J32" s="10">
        <v>55.50033333333333</v>
      </c>
      <c r="K32" t="s">
        <v>77</v>
      </c>
      <c r="L32" t="s">
        <v>143</v>
      </c>
      <c r="M32" s="10">
        <v>35.416666666666671</v>
      </c>
      <c r="N32" t="s">
        <v>143</v>
      </c>
    </row>
    <row r="33" spans="1:14" x14ac:dyDescent="0.2">
      <c r="A33" t="s">
        <v>173</v>
      </c>
      <c r="B33" s="10">
        <v>24.367449482832601</v>
      </c>
      <c r="C33" s="10">
        <v>22.600206185567014</v>
      </c>
      <c r="D33" s="10">
        <v>32.6</v>
      </c>
      <c r="E33" s="10">
        <v>33.200000000000003</v>
      </c>
      <c r="F33" s="10">
        <v>8.8000000000000007</v>
      </c>
      <c r="G33" s="10">
        <v>16.3</v>
      </c>
      <c r="H33" s="10">
        <v>9.0999999999999943</v>
      </c>
      <c r="I33" s="10">
        <v>20.399999999999999</v>
      </c>
      <c r="J33" s="10">
        <v>53.687333333333335</v>
      </c>
      <c r="K33" t="s">
        <v>77</v>
      </c>
      <c r="L33" t="s">
        <v>143</v>
      </c>
      <c r="M33" s="10">
        <v>11.340206185567013</v>
      </c>
      <c r="N33" t="s">
        <v>143</v>
      </c>
    </row>
    <row r="34" spans="1:14" x14ac:dyDescent="0.2">
      <c r="A34" t="s">
        <v>174</v>
      </c>
      <c r="B34" s="10">
        <v>44.355141264964686</v>
      </c>
      <c r="C34" s="10">
        <v>45.280618556701036</v>
      </c>
      <c r="D34" s="10">
        <v>51.3</v>
      </c>
      <c r="E34" s="10">
        <v>14.2</v>
      </c>
      <c r="F34" s="10">
        <v>6.2</v>
      </c>
      <c r="G34" s="10">
        <v>19.899999999999999</v>
      </c>
      <c r="H34" s="10">
        <v>8.4000000000000057</v>
      </c>
      <c r="I34" s="10">
        <v>54.8</v>
      </c>
      <c r="J34" s="10">
        <v>72.707333333333338</v>
      </c>
      <c r="K34" t="s">
        <v>77</v>
      </c>
      <c r="L34" t="s">
        <v>143</v>
      </c>
      <c r="M34" s="10">
        <v>34.020618556701038</v>
      </c>
      <c r="N34" t="s">
        <v>143</v>
      </c>
    </row>
    <row r="35" spans="1:14" x14ac:dyDescent="0.2">
      <c r="A35" t="s">
        <v>175</v>
      </c>
      <c r="B35" s="10">
        <v>79.021188023223615</v>
      </c>
      <c r="C35" s="10">
        <v>78.569999999999993</v>
      </c>
      <c r="D35" s="10">
        <v>44.6</v>
      </c>
      <c r="E35" s="10">
        <v>11.3</v>
      </c>
      <c r="F35" s="10">
        <v>6.4</v>
      </c>
      <c r="G35" s="10">
        <v>32.799999999999997</v>
      </c>
      <c r="H35" s="10">
        <v>4.9000000000000057</v>
      </c>
      <c r="I35" s="10">
        <v>64</v>
      </c>
      <c r="J35" s="10">
        <v>71.433333333333337</v>
      </c>
      <c r="K35" t="s">
        <v>77</v>
      </c>
      <c r="L35" t="s">
        <v>145</v>
      </c>
      <c r="M35" s="10">
        <v>67.72</v>
      </c>
      <c r="N35" t="s">
        <v>145</v>
      </c>
    </row>
    <row r="36" spans="1:14" x14ac:dyDescent="0.2">
      <c r="A36" t="s">
        <v>176</v>
      </c>
      <c r="B36" s="10">
        <v>88.379086817062898</v>
      </c>
      <c r="C36" s="10">
        <v>88.34333333333332</v>
      </c>
      <c r="D36" s="10">
        <v>35.200000000000003</v>
      </c>
      <c r="E36" s="10">
        <v>15.2</v>
      </c>
      <c r="F36" s="10">
        <v>19.100000000000001</v>
      </c>
      <c r="G36" s="10">
        <v>22.3</v>
      </c>
      <c r="H36" s="10">
        <v>8.1999999999999886</v>
      </c>
      <c r="I36" s="10">
        <v>53.5</v>
      </c>
      <c r="J36" s="10">
        <v>58.378666666666668</v>
      </c>
      <c r="K36" t="s">
        <v>77</v>
      </c>
      <c r="L36" t="s">
        <v>143</v>
      </c>
      <c r="M36" s="10">
        <v>77.083333333333329</v>
      </c>
      <c r="N36" t="s">
        <v>143</v>
      </c>
    </row>
    <row r="37" spans="1:14" x14ac:dyDescent="0.2">
      <c r="A37" t="s">
        <v>177</v>
      </c>
      <c r="B37" s="10">
        <v>16.00698000037444</v>
      </c>
      <c r="C37" s="10">
        <v>12.290927835051543</v>
      </c>
      <c r="D37" s="10">
        <v>25.9</v>
      </c>
      <c r="E37" s="10">
        <v>53</v>
      </c>
      <c r="F37" s="10">
        <v>4.5</v>
      </c>
      <c r="G37" s="10">
        <v>7.1</v>
      </c>
      <c r="H37" s="10">
        <v>9.5</v>
      </c>
      <c r="I37" s="10">
        <v>13.1</v>
      </c>
      <c r="J37" s="10">
        <v>47.48833333333333</v>
      </c>
      <c r="K37" t="s">
        <v>77</v>
      </c>
      <c r="L37" t="s">
        <v>143</v>
      </c>
      <c r="M37" s="10">
        <v>1.0309278350515427</v>
      </c>
      <c r="N37" t="s">
        <v>143</v>
      </c>
    </row>
    <row r="38" spans="1:14" x14ac:dyDescent="0.2">
      <c r="A38" t="s">
        <v>178</v>
      </c>
      <c r="B38" s="10">
        <v>48.292747375536955</v>
      </c>
      <c r="C38" s="10">
        <v>46.676666666666669</v>
      </c>
      <c r="D38" s="10">
        <v>28.2</v>
      </c>
      <c r="E38" s="10">
        <v>20.100000000000001</v>
      </c>
      <c r="F38" s="10">
        <v>7.6</v>
      </c>
      <c r="G38" s="10">
        <v>34.799999999999997</v>
      </c>
      <c r="H38" s="10">
        <v>9.2999999999999972</v>
      </c>
      <c r="I38" s="10">
        <v>46.3</v>
      </c>
      <c r="J38" s="10">
        <v>70.25333333333333</v>
      </c>
      <c r="K38" t="s">
        <v>77</v>
      </c>
      <c r="L38" t="s">
        <v>143</v>
      </c>
      <c r="M38" s="10">
        <v>35.416666666666671</v>
      </c>
      <c r="N38" t="s">
        <v>143</v>
      </c>
    </row>
    <row r="39" spans="1:14" x14ac:dyDescent="0.2">
      <c r="A39" t="s">
        <v>179</v>
      </c>
      <c r="B39" s="10">
        <v>62.987465035112351</v>
      </c>
      <c r="C39" s="10">
        <v>61.26</v>
      </c>
      <c r="D39" s="10">
        <v>30.2</v>
      </c>
      <c r="E39" s="10">
        <v>19.899999999999999</v>
      </c>
      <c r="F39" s="10">
        <v>3.6</v>
      </c>
      <c r="G39" s="10">
        <v>38.4</v>
      </c>
      <c r="H39" s="10">
        <v>7.9000000000000057</v>
      </c>
      <c r="I39" s="10">
        <v>47.9</v>
      </c>
      <c r="J39" s="10">
        <v>70.054000000000002</v>
      </c>
      <c r="K39" t="s">
        <v>77</v>
      </c>
      <c r="L39" t="s">
        <v>143</v>
      </c>
      <c r="M39" s="10">
        <v>50</v>
      </c>
      <c r="N39" t="s">
        <v>143</v>
      </c>
    </row>
    <row r="40" spans="1:14" x14ac:dyDescent="0.2">
      <c r="A40" t="s">
        <v>180</v>
      </c>
      <c r="B40" s="10">
        <v>61.049960252066548</v>
      </c>
      <c r="C40" s="10">
        <v>61.26</v>
      </c>
      <c r="D40" s="10">
        <v>46.3</v>
      </c>
      <c r="E40" s="10">
        <v>14.8</v>
      </c>
      <c r="F40" s="10">
        <v>2.9</v>
      </c>
      <c r="G40" s="10">
        <v>27.8</v>
      </c>
      <c r="H40" s="10">
        <v>8.2000000000000028</v>
      </c>
      <c r="I40" s="10">
        <v>62.3</v>
      </c>
      <c r="J40" s="10">
        <v>78.540999999999997</v>
      </c>
      <c r="K40" t="s">
        <v>77</v>
      </c>
      <c r="L40" t="s">
        <v>143</v>
      </c>
      <c r="M40" s="10">
        <v>50</v>
      </c>
      <c r="N40" t="s">
        <v>143</v>
      </c>
    </row>
    <row r="41" spans="1:14" x14ac:dyDescent="0.2">
      <c r="A41" t="s">
        <v>181</v>
      </c>
      <c r="B41" s="10">
        <v>54.802898633155294</v>
      </c>
      <c r="C41" s="10">
        <v>52.312631578947368</v>
      </c>
      <c r="D41" s="10">
        <v>22.8</v>
      </c>
      <c r="E41" s="10">
        <v>15.7</v>
      </c>
      <c r="F41" s="10">
        <v>3.1</v>
      </c>
      <c r="G41" s="10">
        <v>48.8</v>
      </c>
      <c r="H41" s="10">
        <v>9.6000000000000085</v>
      </c>
      <c r="I41" s="10">
        <v>62.4</v>
      </c>
      <c r="J41" s="10">
        <v>80.496333333333325</v>
      </c>
      <c r="K41" t="s">
        <v>77</v>
      </c>
      <c r="L41" t="s">
        <v>143</v>
      </c>
      <c r="M41" s="10">
        <v>41.05263157894737</v>
      </c>
      <c r="N41" t="s">
        <v>143</v>
      </c>
    </row>
    <row r="42" spans="1:14" x14ac:dyDescent="0.2">
      <c r="A42" t="s">
        <v>182</v>
      </c>
      <c r="B42" s="10">
        <v>43.189473238533132</v>
      </c>
      <c r="C42" s="10">
        <v>41.156907216494837</v>
      </c>
      <c r="D42" s="10">
        <v>21.3</v>
      </c>
      <c r="E42" s="10">
        <v>51.8</v>
      </c>
      <c r="F42" s="10">
        <v>3.2</v>
      </c>
      <c r="G42" s="10">
        <v>14.3</v>
      </c>
      <c r="H42" s="10">
        <v>9.4000000000000057</v>
      </c>
      <c r="I42" s="10">
        <v>23.5</v>
      </c>
      <c r="J42" s="10">
        <v>57.169666666666664</v>
      </c>
      <c r="K42" t="s">
        <v>77</v>
      </c>
      <c r="L42" t="s">
        <v>143</v>
      </c>
      <c r="M42" s="10">
        <v>29.896907216494839</v>
      </c>
      <c r="N42" t="s">
        <v>143</v>
      </c>
    </row>
    <row r="43" spans="1:14" x14ac:dyDescent="0.2">
      <c r="A43" t="s">
        <v>183</v>
      </c>
      <c r="B43" s="10">
        <v>45.876182215410218</v>
      </c>
      <c r="C43" s="10">
        <v>46.676666666666669</v>
      </c>
      <c r="D43" s="10">
        <v>51.7</v>
      </c>
      <c r="E43" s="10">
        <v>18.2</v>
      </c>
      <c r="F43" s="10">
        <v>3</v>
      </c>
      <c r="G43" s="10">
        <v>17.899999999999999</v>
      </c>
      <c r="H43" s="10">
        <v>9.2000000000000028</v>
      </c>
      <c r="I43" s="10">
        <v>46.4</v>
      </c>
      <c r="J43" s="10">
        <v>64.484333333333339</v>
      </c>
      <c r="K43" t="s">
        <v>77</v>
      </c>
      <c r="L43" t="s">
        <v>143</v>
      </c>
      <c r="M43" s="10">
        <v>35.416666666666671</v>
      </c>
      <c r="N43" t="s">
        <v>143</v>
      </c>
    </row>
    <row r="44" spans="1:14" x14ac:dyDescent="0.2">
      <c r="A44" t="s">
        <v>184</v>
      </c>
      <c r="B44" s="10">
        <v>-21.340043526471586</v>
      </c>
      <c r="C44" s="10">
        <v>-21.393061224489802</v>
      </c>
      <c r="D44" s="10">
        <v>53.4</v>
      </c>
      <c r="E44" s="10">
        <v>28.3</v>
      </c>
      <c r="F44" s="10">
        <v>4.2</v>
      </c>
      <c r="G44" s="10">
        <v>7</v>
      </c>
      <c r="H44" s="10">
        <v>7.0999999999999943</v>
      </c>
      <c r="I44" s="10">
        <v>28.4</v>
      </c>
      <c r="J44" s="10">
        <v>52.661000000000001</v>
      </c>
      <c r="K44" t="s">
        <v>81</v>
      </c>
      <c r="L44" t="s">
        <v>143</v>
      </c>
      <c r="M44" s="10">
        <v>-32.653061224489804</v>
      </c>
      <c r="N44" t="s">
        <v>143</v>
      </c>
    </row>
    <row r="45" spans="1:14" x14ac:dyDescent="0.2">
      <c r="A45" t="s">
        <v>185</v>
      </c>
      <c r="B45" s="10">
        <v>22.02541746399104</v>
      </c>
      <c r="C45" s="10">
        <v>17.382448979591839</v>
      </c>
      <c r="D45" s="10">
        <v>21.2</v>
      </c>
      <c r="E45" s="10">
        <v>56.2</v>
      </c>
      <c r="F45" s="10">
        <v>6</v>
      </c>
      <c r="G45" s="10">
        <v>10.1</v>
      </c>
      <c r="H45" s="10">
        <v>6.5</v>
      </c>
      <c r="I45" s="10">
        <v>16.399999999999999</v>
      </c>
      <c r="J45" s="10">
        <v>45.404333333333334</v>
      </c>
      <c r="K45" t="s">
        <v>77</v>
      </c>
      <c r="L45" t="s">
        <v>143</v>
      </c>
      <c r="M45" s="10">
        <v>6.1224489795918373</v>
      </c>
      <c r="N45" t="s">
        <v>143</v>
      </c>
    </row>
    <row r="46" spans="1:14" x14ac:dyDescent="0.2">
      <c r="A46" t="s">
        <v>186</v>
      </c>
      <c r="B46" s="10">
        <v>14.434699598239579</v>
      </c>
      <c r="C46" s="10">
        <v>9.2191836734693826</v>
      </c>
      <c r="D46" s="10">
        <v>18.7</v>
      </c>
      <c r="E46" s="10">
        <v>62.7</v>
      </c>
      <c r="F46" s="10">
        <v>6.4</v>
      </c>
      <c r="G46" s="10">
        <v>4.3</v>
      </c>
      <c r="H46" s="10">
        <v>7.8999999999999915</v>
      </c>
      <c r="I46" s="10">
        <v>9.8000000000000007</v>
      </c>
      <c r="J46" s="10">
        <v>43.23233333333333</v>
      </c>
      <c r="K46" t="s">
        <v>81</v>
      </c>
      <c r="L46" t="s">
        <v>143</v>
      </c>
      <c r="M46" s="10">
        <v>-2.0408163265306172</v>
      </c>
      <c r="N46" t="s">
        <v>143</v>
      </c>
    </row>
    <row r="47" spans="1:14" x14ac:dyDescent="0.2">
      <c r="A47" t="s">
        <v>187</v>
      </c>
      <c r="B47" s="10">
        <v>-6.4812516279227808</v>
      </c>
      <c r="C47" s="10">
        <v>-8.3276288659793831</v>
      </c>
      <c r="D47" s="10">
        <v>44.1</v>
      </c>
      <c r="E47" s="10">
        <v>36.1</v>
      </c>
      <c r="F47" s="10">
        <v>9.1999999999999993</v>
      </c>
      <c r="G47" s="10">
        <v>4.5999999999999996</v>
      </c>
      <c r="H47" s="10">
        <v>6</v>
      </c>
      <c r="I47" s="10">
        <v>20.3</v>
      </c>
      <c r="J47" s="10">
        <v>47.774000000000001</v>
      </c>
      <c r="K47" t="s">
        <v>81</v>
      </c>
      <c r="L47" t="s">
        <v>143</v>
      </c>
      <c r="M47" s="10">
        <v>-19.587628865979383</v>
      </c>
      <c r="N47" t="s">
        <v>143</v>
      </c>
    </row>
    <row r="48" spans="1:14" x14ac:dyDescent="0.2">
      <c r="A48" t="s">
        <v>188</v>
      </c>
      <c r="B48" s="10">
        <v>36.057207675662511</v>
      </c>
      <c r="C48" s="10">
        <v>37.033195876288652</v>
      </c>
      <c r="D48" s="10">
        <v>54.2</v>
      </c>
      <c r="E48" s="10">
        <v>27.1</v>
      </c>
      <c r="F48" s="10">
        <v>2.4</v>
      </c>
      <c r="G48" s="10">
        <v>5.8</v>
      </c>
      <c r="H48" s="10">
        <v>10.5</v>
      </c>
      <c r="I48" s="10">
        <v>37.799999999999997</v>
      </c>
      <c r="J48" s="10">
        <v>55.594666666666669</v>
      </c>
      <c r="K48" t="s">
        <v>77</v>
      </c>
      <c r="L48" t="s">
        <v>143</v>
      </c>
      <c r="M48" s="10">
        <v>25.773195876288653</v>
      </c>
      <c r="N48" t="s">
        <v>143</v>
      </c>
    </row>
    <row r="49" spans="1:14" x14ac:dyDescent="0.2">
      <c r="A49" t="s">
        <v>189</v>
      </c>
      <c r="B49" s="10">
        <v>20.882016390616911</v>
      </c>
      <c r="C49" s="10">
        <v>17.382448979591839</v>
      </c>
      <c r="D49" s="10">
        <v>28.4</v>
      </c>
      <c r="E49" s="10">
        <v>56.3</v>
      </c>
      <c r="F49" s="10">
        <v>5.8</v>
      </c>
      <c r="G49" s="10">
        <v>3.2</v>
      </c>
      <c r="H49" s="10">
        <v>6.3000000000000114</v>
      </c>
      <c r="I49" s="10">
        <v>16.399999999999999</v>
      </c>
      <c r="J49" s="10">
        <v>46.817666666666668</v>
      </c>
      <c r="K49" t="s">
        <v>77</v>
      </c>
      <c r="L49" t="s">
        <v>143</v>
      </c>
      <c r="M49" s="10">
        <v>6.1224489795918373</v>
      </c>
      <c r="N49" t="s">
        <v>143</v>
      </c>
    </row>
    <row r="50" spans="1:14" x14ac:dyDescent="0.2">
      <c r="A50" t="s">
        <v>190</v>
      </c>
      <c r="B50" s="10">
        <v>26.102448763449615</v>
      </c>
      <c r="C50" s="10">
        <v>26.13</v>
      </c>
      <c r="D50" s="10">
        <v>46.2</v>
      </c>
      <c r="E50" s="10">
        <v>34</v>
      </c>
      <c r="F50" s="10">
        <v>2.7</v>
      </c>
      <c r="G50" s="10">
        <v>8.8000000000000007</v>
      </c>
      <c r="H50" s="10">
        <v>8.2999999999999972</v>
      </c>
      <c r="I50" s="10">
        <v>36.200000000000003</v>
      </c>
      <c r="J50" s="10">
        <v>60.755000000000003</v>
      </c>
      <c r="K50" t="s">
        <v>77</v>
      </c>
      <c r="L50" t="s">
        <v>145</v>
      </c>
      <c r="M50" s="10">
        <v>15.28</v>
      </c>
      <c r="N50" t="s">
        <v>145</v>
      </c>
    </row>
    <row r="51" spans="1:14" x14ac:dyDescent="0.2">
      <c r="A51" t="s">
        <v>191</v>
      </c>
      <c r="B51" s="10">
        <v>20.788861245052015</v>
      </c>
      <c r="C51" s="10">
        <v>20.538350515463922</v>
      </c>
      <c r="D51" s="10">
        <v>37.200000000000003</v>
      </c>
      <c r="E51" s="10">
        <v>37</v>
      </c>
      <c r="F51" s="10">
        <v>11.4</v>
      </c>
      <c r="G51" s="10">
        <v>9.8000000000000007</v>
      </c>
      <c r="H51" s="10">
        <v>4.5999999999999943</v>
      </c>
      <c r="I51" s="10">
        <v>29.3</v>
      </c>
      <c r="J51" s="10">
        <v>57.707666666666668</v>
      </c>
      <c r="K51" t="s">
        <v>77</v>
      </c>
      <c r="L51" t="s">
        <v>143</v>
      </c>
      <c r="M51" s="10">
        <v>9.2783505154639201</v>
      </c>
      <c r="N51" t="s">
        <v>143</v>
      </c>
    </row>
    <row r="52" spans="1:14" x14ac:dyDescent="0.2">
      <c r="A52" t="s">
        <v>192</v>
      </c>
      <c r="B52" s="10">
        <v>38.741266453427535</v>
      </c>
      <c r="C52" s="10">
        <v>37.033195876288652</v>
      </c>
      <c r="D52" s="10">
        <v>28.9</v>
      </c>
      <c r="E52" s="10">
        <v>24.9</v>
      </c>
      <c r="F52" s="10">
        <v>5.3</v>
      </c>
      <c r="G52" s="10">
        <v>35.200000000000003</v>
      </c>
      <c r="H52" s="10">
        <v>5.7000000000000028</v>
      </c>
      <c r="I52" s="10">
        <v>46.9</v>
      </c>
      <c r="J52" s="10">
        <v>57.769999999999996</v>
      </c>
      <c r="K52" t="s">
        <v>77</v>
      </c>
      <c r="L52" t="s">
        <v>143</v>
      </c>
      <c r="M52" s="10">
        <v>25.773195876288653</v>
      </c>
      <c r="N52" t="s">
        <v>143</v>
      </c>
    </row>
    <row r="53" spans="1:14" x14ac:dyDescent="0.2">
      <c r="A53" t="s">
        <v>193</v>
      </c>
      <c r="B53" s="10">
        <v>49.142782152683409</v>
      </c>
      <c r="C53" s="10">
        <v>45.280618556701036</v>
      </c>
      <c r="D53" s="10">
        <v>23.6</v>
      </c>
      <c r="E53" s="10">
        <v>55.7</v>
      </c>
      <c r="F53" s="10">
        <v>6</v>
      </c>
      <c r="G53" s="10">
        <v>9.3000000000000007</v>
      </c>
      <c r="H53" s="10">
        <v>5.3999999999999915</v>
      </c>
      <c r="I53" s="10">
        <v>23.9</v>
      </c>
      <c r="J53" s="10">
        <v>47.391666666666666</v>
      </c>
      <c r="K53" t="s">
        <v>77</v>
      </c>
      <c r="L53" t="s">
        <v>143</v>
      </c>
      <c r="M53" s="10">
        <v>34.020618556701038</v>
      </c>
      <c r="N53" t="s">
        <v>143</v>
      </c>
    </row>
    <row r="54" spans="1:14" x14ac:dyDescent="0.2">
      <c r="A54" t="s">
        <v>194</v>
      </c>
      <c r="B54" s="10">
        <v>52.475195039254871</v>
      </c>
      <c r="C54" s="10">
        <v>52.926666666666669</v>
      </c>
      <c r="D54" s="10">
        <v>57.1</v>
      </c>
      <c r="E54" s="10">
        <v>20.100000000000001</v>
      </c>
      <c r="F54" s="10">
        <v>5.3</v>
      </c>
      <c r="G54" s="10">
        <v>13.2</v>
      </c>
      <c r="H54" s="10">
        <v>4.2999999999999972</v>
      </c>
      <c r="I54" s="10">
        <v>49.5</v>
      </c>
      <c r="J54" s="10">
        <v>53.348666666666666</v>
      </c>
      <c r="K54" t="s">
        <v>77</v>
      </c>
      <c r="L54" t="s">
        <v>143</v>
      </c>
      <c r="M54" s="10">
        <v>41.666666666666671</v>
      </c>
      <c r="N54" t="s">
        <v>143</v>
      </c>
    </row>
    <row r="55" spans="1:14" x14ac:dyDescent="0.2">
      <c r="A55" t="s">
        <v>195</v>
      </c>
      <c r="B55" s="10">
        <v>28.362520607609486</v>
      </c>
      <c r="C55" s="10">
        <v>24.662061855670114</v>
      </c>
      <c r="D55" s="10">
        <v>16.7</v>
      </c>
      <c r="E55" s="10">
        <v>55.8</v>
      </c>
      <c r="F55" s="10">
        <v>3.7</v>
      </c>
      <c r="G55" s="10">
        <v>19.899999999999999</v>
      </c>
      <c r="H55" s="10">
        <v>3.9000000000000057</v>
      </c>
      <c r="I55" s="10">
        <v>24.3</v>
      </c>
      <c r="J55" s="10">
        <v>52.543666666666667</v>
      </c>
      <c r="K55" t="s">
        <v>77</v>
      </c>
      <c r="L55" t="s">
        <v>143</v>
      </c>
      <c r="M55" s="10">
        <v>13.402061855670112</v>
      </c>
      <c r="N55" t="s">
        <v>143</v>
      </c>
    </row>
    <row r="56" spans="1:14" x14ac:dyDescent="0.2">
      <c r="A56" t="s">
        <v>196</v>
      </c>
      <c r="B56" s="10">
        <v>35.784781042092057</v>
      </c>
      <c r="C56" s="10">
        <v>37.033195876288652</v>
      </c>
      <c r="D56" s="10">
        <v>54.8</v>
      </c>
      <c r="E56" s="10">
        <v>21.1</v>
      </c>
      <c r="F56" s="10">
        <v>5.8</v>
      </c>
      <c r="G56" s="10">
        <v>12.9</v>
      </c>
      <c r="H56" s="10">
        <v>5.4000000000000057</v>
      </c>
      <c r="I56" s="10">
        <v>51</v>
      </c>
      <c r="J56" s="10">
        <v>59.404333333333334</v>
      </c>
      <c r="K56" t="s">
        <v>77</v>
      </c>
      <c r="L56" t="s">
        <v>143</v>
      </c>
      <c r="M56" s="10">
        <v>25.773195876288653</v>
      </c>
      <c r="N56" t="s">
        <v>143</v>
      </c>
    </row>
    <row r="57" spans="1:14" x14ac:dyDescent="0.2">
      <c r="A57" t="s">
        <v>197</v>
      </c>
      <c r="B57" s="10">
        <v>23.290141070569394</v>
      </c>
      <c r="C57" s="10">
        <v>20.538350515463922</v>
      </c>
      <c r="D57" s="10">
        <v>20.100000000000001</v>
      </c>
      <c r="E57" s="10">
        <v>55.9</v>
      </c>
      <c r="F57" s="10">
        <v>12.6</v>
      </c>
      <c r="G57" s="10">
        <v>6.6</v>
      </c>
      <c r="H57" s="10">
        <v>4.7999999999999972</v>
      </c>
      <c r="I57" s="10">
        <v>20.5</v>
      </c>
      <c r="J57" s="10">
        <v>52.276666666666664</v>
      </c>
      <c r="K57" t="s">
        <v>77</v>
      </c>
      <c r="L57" t="s">
        <v>143</v>
      </c>
      <c r="M57" s="10">
        <v>9.2783505154639201</v>
      </c>
      <c r="N57" t="s">
        <v>143</v>
      </c>
    </row>
    <row r="58" spans="1:14" x14ac:dyDescent="0.2">
      <c r="A58" t="s">
        <v>198</v>
      </c>
      <c r="B58" s="10">
        <v>70.601501919988706</v>
      </c>
      <c r="C58" s="10">
        <v>64.944210526315786</v>
      </c>
      <c r="D58" s="10">
        <v>12.4</v>
      </c>
      <c r="E58" s="10">
        <v>55.4</v>
      </c>
      <c r="F58" s="10">
        <v>7.4</v>
      </c>
      <c r="G58" s="10">
        <v>19.7</v>
      </c>
      <c r="H58" s="10">
        <v>5.0999999999999943</v>
      </c>
      <c r="I58" s="10">
        <v>27.5</v>
      </c>
      <c r="J58" s="10">
        <v>44.615000000000002</v>
      </c>
      <c r="K58" t="s">
        <v>77</v>
      </c>
      <c r="L58" t="s">
        <v>143</v>
      </c>
      <c r="M58" s="10">
        <v>53.684210526315795</v>
      </c>
      <c r="N58" t="s">
        <v>143</v>
      </c>
    </row>
    <row r="59" spans="1:14" x14ac:dyDescent="0.2">
      <c r="A59" t="s">
        <v>199</v>
      </c>
      <c r="B59" s="10">
        <v>21.558469238954601</v>
      </c>
      <c r="C59" s="10">
        <v>18.476494845360829</v>
      </c>
      <c r="D59" s="10">
        <v>17</v>
      </c>
      <c r="E59" s="10">
        <v>59.1</v>
      </c>
      <c r="F59" s="10">
        <v>8.1999999999999993</v>
      </c>
      <c r="G59" s="10">
        <v>11</v>
      </c>
      <c r="H59" s="10">
        <v>4.7000000000000028</v>
      </c>
      <c r="I59" s="10">
        <v>21.8</v>
      </c>
      <c r="J59" s="10">
        <v>53.230666666666664</v>
      </c>
      <c r="K59" t="s">
        <v>77</v>
      </c>
      <c r="L59" t="s">
        <v>143</v>
      </c>
      <c r="M59" s="10">
        <v>7.2164948453608275</v>
      </c>
      <c r="N59" t="s">
        <v>143</v>
      </c>
    </row>
    <row r="60" spans="1:14" x14ac:dyDescent="0.2">
      <c r="A60" t="s">
        <v>200</v>
      </c>
      <c r="B60" s="10">
        <v>49.977790631419943</v>
      </c>
      <c r="C60" s="10">
        <v>51.466185567010314</v>
      </c>
      <c r="D60" s="10">
        <v>57.5</v>
      </c>
      <c r="E60" s="10">
        <v>14.7</v>
      </c>
      <c r="F60" s="10">
        <v>4.9000000000000004</v>
      </c>
      <c r="G60" s="10">
        <v>17.8</v>
      </c>
      <c r="H60" s="10">
        <v>5.0999999999999943</v>
      </c>
      <c r="I60" s="10">
        <v>65.400000000000006</v>
      </c>
      <c r="J60" s="10">
        <v>65.388000000000005</v>
      </c>
      <c r="K60" t="s">
        <v>77</v>
      </c>
      <c r="L60" t="s">
        <v>143</v>
      </c>
      <c r="M60" s="10">
        <v>40.206185567010316</v>
      </c>
      <c r="N60" t="s">
        <v>143</v>
      </c>
    </row>
    <row r="61" spans="1:14" x14ac:dyDescent="0.2">
      <c r="A61" t="s">
        <v>201</v>
      </c>
      <c r="B61" s="10">
        <v>77.831050609157316</v>
      </c>
      <c r="C61" s="10">
        <v>74.146597938144325</v>
      </c>
      <c r="D61" s="10">
        <v>14.6</v>
      </c>
      <c r="E61" s="10">
        <v>41</v>
      </c>
      <c r="F61" s="10">
        <v>32.700000000000003</v>
      </c>
      <c r="G61" s="10">
        <v>7.6</v>
      </c>
      <c r="H61" s="10">
        <v>4.0999999999999943</v>
      </c>
      <c r="I61" s="10">
        <v>27.6</v>
      </c>
      <c r="J61" s="10">
        <v>46.521666666666668</v>
      </c>
      <c r="K61" t="s">
        <v>77</v>
      </c>
      <c r="L61" t="s">
        <v>143</v>
      </c>
      <c r="M61" s="10">
        <v>62.886597938144334</v>
      </c>
      <c r="N61" t="s">
        <v>143</v>
      </c>
    </row>
    <row r="62" spans="1:14" x14ac:dyDescent="0.2">
      <c r="A62" t="s">
        <v>202</v>
      </c>
      <c r="B62" s="10">
        <v>27.888765969528126</v>
      </c>
      <c r="C62" s="10">
        <v>24.662061855670114</v>
      </c>
      <c r="D62" s="10">
        <v>15.1</v>
      </c>
      <c r="E62" s="10">
        <v>56.6</v>
      </c>
      <c r="F62" s="10">
        <v>2.4</v>
      </c>
      <c r="G62" s="10">
        <v>21.3</v>
      </c>
      <c r="H62" s="10">
        <v>4.5999999999999943</v>
      </c>
      <c r="I62" s="10">
        <v>29.2</v>
      </c>
      <c r="J62" s="10">
        <v>55.228999999999999</v>
      </c>
      <c r="K62" t="s">
        <v>77</v>
      </c>
      <c r="L62" t="s">
        <v>143</v>
      </c>
      <c r="M62" s="10">
        <v>13.402061855670112</v>
      </c>
      <c r="N62" t="s">
        <v>143</v>
      </c>
    </row>
    <row r="63" spans="1:14" x14ac:dyDescent="0.2">
      <c r="A63" t="s">
        <v>203</v>
      </c>
      <c r="B63" s="10">
        <v>23.037752380433314</v>
      </c>
      <c r="C63" s="10">
        <v>20.538350515463922</v>
      </c>
      <c r="D63" s="10">
        <v>22.4</v>
      </c>
      <c r="E63" s="10">
        <v>54.8</v>
      </c>
      <c r="F63" s="10">
        <v>11.1</v>
      </c>
      <c r="G63" s="10">
        <v>7</v>
      </c>
      <c r="H63" s="10">
        <v>4.7000000000000028</v>
      </c>
      <c r="I63" s="10">
        <v>18.7</v>
      </c>
      <c r="J63" s="10">
        <v>53.00566666666667</v>
      </c>
      <c r="K63" t="s">
        <v>77</v>
      </c>
      <c r="L63" t="s">
        <v>143</v>
      </c>
      <c r="M63" s="10">
        <v>9.2783505154639201</v>
      </c>
      <c r="N63" t="s">
        <v>143</v>
      </c>
    </row>
    <row r="64" spans="1:14" x14ac:dyDescent="0.2">
      <c r="A64" t="s">
        <v>204</v>
      </c>
      <c r="B64" s="10">
        <v>-2.8241294071842082</v>
      </c>
      <c r="C64" s="10">
        <v>-2.1420618556701125</v>
      </c>
      <c r="D64" s="10">
        <v>51.6</v>
      </c>
      <c r="E64" s="10">
        <v>20.3</v>
      </c>
      <c r="F64" s="10">
        <v>2.2999999999999998</v>
      </c>
      <c r="G64" s="10">
        <v>19.100000000000001</v>
      </c>
      <c r="H64" s="10">
        <v>6.7000000000000028</v>
      </c>
      <c r="I64" s="10">
        <v>50.3</v>
      </c>
      <c r="J64" s="10">
        <v>66.38133333333333</v>
      </c>
      <c r="K64" t="s">
        <v>81</v>
      </c>
      <c r="L64" t="s">
        <v>143</v>
      </c>
      <c r="M64" s="10">
        <v>-13.402061855670112</v>
      </c>
      <c r="N64" t="s">
        <v>143</v>
      </c>
    </row>
    <row r="65" spans="1:14" x14ac:dyDescent="0.2">
      <c r="A65" t="s">
        <v>205</v>
      </c>
      <c r="B65" s="10">
        <v>26.281904013501869</v>
      </c>
      <c r="C65" s="10">
        <v>26.723917525773206</v>
      </c>
      <c r="D65" s="10">
        <v>48.2</v>
      </c>
      <c r="E65" s="10">
        <v>32.5</v>
      </c>
      <c r="F65" s="10">
        <v>6.3</v>
      </c>
      <c r="G65" s="10">
        <v>7.9</v>
      </c>
      <c r="H65" s="10">
        <v>5.0999999999999943</v>
      </c>
      <c r="I65" s="10">
        <v>29.7</v>
      </c>
      <c r="J65" s="10">
        <v>56.768666666666668</v>
      </c>
      <c r="K65" t="s">
        <v>81</v>
      </c>
      <c r="L65" t="s">
        <v>143</v>
      </c>
      <c r="M65" s="10">
        <v>15.463917525773205</v>
      </c>
      <c r="N65" t="s">
        <v>143</v>
      </c>
    </row>
    <row r="66" spans="1:14" x14ac:dyDescent="0.2">
      <c r="A66" t="s">
        <v>206</v>
      </c>
      <c r="B66" s="10">
        <v>28.180701128457734</v>
      </c>
      <c r="C66" s="10">
        <v>24.662061855670114</v>
      </c>
      <c r="D66" s="10">
        <v>20.7</v>
      </c>
      <c r="E66" s="10">
        <v>54.7</v>
      </c>
      <c r="F66" s="10">
        <v>8.4</v>
      </c>
      <c r="G66" s="10">
        <v>9.3000000000000007</v>
      </c>
      <c r="H66" s="10">
        <v>6.8999999999999915</v>
      </c>
      <c r="I66" s="10">
        <v>24.9</v>
      </c>
      <c r="J66" s="10">
        <v>49.335333333333331</v>
      </c>
      <c r="K66" t="s">
        <v>77</v>
      </c>
      <c r="L66" t="s">
        <v>143</v>
      </c>
      <c r="M66" s="10">
        <v>13.402061855670112</v>
      </c>
      <c r="N66" t="s">
        <v>143</v>
      </c>
    </row>
    <row r="67" spans="1:14" x14ac:dyDescent="0.2">
      <c r="A67" t="s">
        <v>207</v>
      </c>
      <c r="B67" s="10">
        <v>66.068776561397698</v>
      </c>
      <c r="C67" s="10">
        <v>61.775463917525776</v>
      </c>
      <c r="D67" s="10">
        <v>8</v>
      </c>
      <c r="E67" s="10">
        <v>46.2</v>
      </c>
      <c r="F67" s="10">
        <v>32.1</v>
      </c>
      <c r="G67" s="10">
        <v>10.199999999999999</v>
      </c>
      <c r="H67" s="10">
        <v>3.5</v>
      </c>
      <c r="I67" s="10">
        <v>21.1</v>
      </c>
      <c r="J67" s="10">
        <v>47.169666666666664</v>
      </c>
      <c r="K67" t="s">
        <v>77</v>
      </c>
      <c r="L67" t="s">
        <v>143</v>
      </c>
      <c r="M67" s="10">
        <v>50.515463917525778</v>
      </c>
      <c r="N67" t="s">
        <v>143</v>
      </c>
    </row>
    <row r="68" spans="1:14" x14ac:dyDescent="0.2">
      <c r="A68" t="s">
        <v>208</v>
      </c>
      <c r="B68" s="10">
        <v>50.921047850559255</v>
      </c>
      <c r="C68" s="10">
        <v>47.342474226804121</v>
      </c>
      <c r="D68" s="10">
        <v>14.4</v>
      </c>
      <c r="E68" s="10">
        <v>52.7</v>
      </c>
      <c r="F68" s="10">
        <v>14.3</v>
      </c>
      <c r="G68" s="10">
        <v>13.4</v>
      </c>
      <c r="H68" s="10">
        <v>5.1999999999999886</v>
      </c>
      <c r="I68" s="10">
        <v>22.5</v>
      </c>
      <c r="J68" s="10">
        <v>51.241666666666667</v>
      </c>
      <c r="K68" t="s">
        <v>77</v>
      </c>
      <c r="L68" t="s">
        <v>143</v>
      </c>
      <c r="M68" s="10">
        <v>36.082474226804123</v>
      </c>
      <c r="N68" t="s">
        <v>143</v>
      </c>
    </row>
    <row r="69" spans="1:14" x14ac:dyDescent="0.2">
      <c r="A69" t="s">
        <v>209</v>
      </c>
      <c r="B69" s="10">
        <v>17.502492104787212</v>
      </c>
      <c r="C69" s="10">
        <v>15.341632653061234</v>
      </c>
      <c r="D69" s="10">
        <v>27.5</v>
      </c>
      <c r="E69" s="10">
        <v>24.5</v>
      </c>
      <c r="F69" s="10">
        <v>2.7</v>
      </c>
      <c r="G69" s="10">
        <v>38.1</v>
      </c>
      <c r="H69" s="10">
        <v>7.2000000000000028</v>
      </c>
      <c r="I69" s="10">
        <v>37.200000000000003</v>
      </c>
      <c r="J69" s="10">
        <v>58.630333333333333</v>
      </c>
      <c r="K69" t="s">
        <v>77</v>
      </c>
      <c r="L69" t="s">
        <v>143</v>
      </c>
      <c r="M69" s="10">
        <v>4.0816326530612344</v>
      </c>
      <c r="N69" t="s">
        <v>143</v>
      </c>
    </row>
    <row r="70" spans="1:14" x14ac:dyDescent="0.2">
      <c r="A70" t="s">
        <v>210</v>
      </c>
      <c r="B70" s="10">
        <v>32.610838257535335</v>
      </c>
      <c r="C70" s="10">
        <v>28.785773195876278</v>
      </c>
      <c r="D70" s="10">
        <v>17.2</v>
      </c>
      <c r="E70" s="10">
        <v>53.8</v>
      </c>
      <c r="F70" s="10">
        <v>2.7</v>
      </c>
      <c r="G70" s="10">
        <v>19.3</v>
      </c>
      <c r="H70" s="10">
        <v>7</v>
      </c>
      <c r="I70" s="10">
        <v>22.2</v>
      </c>
      <c r="J70" s="10">
        <v>51.926333333333332</v>
      </c>
      <c r="K70" t="s">
        <v>77</v>
      </c>
      <c r="L70" t="s">
        <v>143</v>
      </c>
      <c r="M70" s="10">
        <v>17.525773195876276</v>
      </c>
      <c r="N70" t="s">
        <v>143</v>
      </c>
    </row>
    <row r="71" spans="1:14" x14ac:dyDescent="0.2">
      <c r="A71" t="s">
        <v>211</v>
      </c>
      <c r="B71" s="10">
        <v>20.735432383392013</v>
      </c>
      <c r="C71" s="10">
        <v>21.676666666666666</v>
      </c>
      <c r="D71" s="10">
        <v>53</v>
      </c>
      <c r="E71" s="10">
        <v>14.7</v>
      </c>
      <c r="F71" s="10">
        <v>2.1</v>
      </c>
      <c r="G71" s="10">
        <v>21.2</v>
      </c>
      <c r="H71" s="10">
        <v>9</v>
      </c>
      <c r="I71" s="10">
        <v>58.2</v>
      </c>
      <c r="J71" s="10">
        <v>64.314666666666668</v>
      </c>
      <c r="K71" t="s">
        <v>77</v>
      </c>
      <c r="L71" t="s">
        <v>143</v>
      </c>
      <c r="M71" s="10">
        <v>10.416666666666664</v>
      </c>
      <c r="N71" t="s">
        <v>143</v>
      </c>
    </row>
    <row r="72" spans="1:14" x14ac:dyDescent="0.2">
      <c r="A72" t="s">
        <v>212</v>
      </c>
      <c r="B72" s="10">
        <v>13.293136076933893</v>
      </c>
      <c r="C72" s="10">
        <v>14.24</v>
      </c>
      <c r="D72" s="10">
        <v>57.1</v>
      </c>
      <c r="E72" s="10">
        <v>24</v>
      </c>
      <c r="F72" s="10">
        <v>4</v>
      </c>
      <c r="G72" s="10">
        <v>7.5</v>
      </c>
      <c r="H72" s="10">
        <v>7.4000000000000057</v>
      </c>
      <c r="I72" s="10">
        <v>32.9</v>
      </c>
      <c r="J72" s="10">
        <v>60.031666666666666</v>
      </c>
      <c r="K72" t="s">
        <v>81</v>
      </c>
      <c r="L72" t="s">
        <v>145</v>
      </c>
      <c r="M72" s="10">
        <v>3.39</v>
      </c>
      <c r="N72" t="s">
        <v>145</v>
      </c>
    </row>
    <row r="73" spans="1:14" x14ac:dyDescent="0.2">
      <c r="A73" t="s">
        <v>213</v>
      </c>
      <c r="B73" s="10">
        <v>22.843435858923748</v>
      </c>
      <c r="C73" s="10">
        <v>24.662061855670114</v>
      </c>
      <c r="D73" s="10">
        <v>61</v>
      </c>
      <c r="E73" s="10">
        <v>21.2</v>
      </c>
      <c r="F73" s="10">
        <v>3.4</v>
      </c>
      <c r="G73" s="10">
        <v>8</v>
      </c>
      <c r="H73" s="10">
        <v>6.4000000000000057</v>
      </c>
      <c r="I73" s="10">
        <v>47.1</v>
      </c>
      <c r="J73" s="10">
        <v>61.46</v>
      </c>
      <c r="K73" t="s">
        <v>77</v>
      </c>
      <c r="L73" t="s">
        <v>143</v>
      </c>
      <c r="M73" s="10">
        <v>13.402061855670112</v>
      </c>
      <c r="N73" t="s">
        <v>143</v>
      </c>
    </row>
    <row r="74" spans="1:14" x14ac:dyDescent="0.2">
      <c r="A74" t="s">
        <v>214</v>
      </c>
      <c r="B74" s="10">
        <v>29.234546113179267</v>
      </c>
      <c r="C74" s="10">
        <v>30.847628865979384</v>
      </c>
      <c r="D74" s="10">
        <v>57.9</v>
      </c>
      <c r="E74" s="10">
        <v>18.3</v>
      </c>
      <c r="F74" s="10">
        <v>3.8</v>
      </c>
      <c r="G74" s="10">
        <v>13.1</v>
      </c>
      <c r="H74" s="10">
        <v>6.9000000000000057</v>
      </c>
      <c r="I74" s="10">
        <v>58.6</v>
      </c>
      <c r="J74" s="10">
        <v>61.293666666666667</v>
      </c>
      <c r="K74" t="s">
        <v>77</v>
      </c>
      <c r="L74" t="s">
        <v>143</v>
      </c>
      <c r="M74" s="10">
        <v>19.587628865979383</v>
      </c>
      <c r="N74" t="s">
        <v>143</v>
      </c>
    </row>
    <row r="75" spans="1:14" x14ac:dyDescent="0.2">
      <c r="A75" t="s">
        <v>215</v>
      </c>
      <c r="B75" s="10">
        <v>30.206291089906802</v>
      </c>
      <c r="C75" s="10">
        <v>30.847628865979384</v>
      </c>
      <c r="D75" s="10">
        <v>48.6</v>
      </c>
      <c r="E75" s="10">
        <v>21.3</v>
      </c>
      <c r="F75" s="10">
        <v>7.2</v>
      </c>
      <c r="G75" s="10">
        <v>16</v>
      </c>
      <c r="H75" s="10">
        <v>6.8999999999999915</v>
      </c>
      <c r="I75" s="10">
        <v>44.3</v>
      </c>
      <c r="J75" s="10">
        <v>58.452333333333335</v>
      </c>
      <c r="K75" t="s">
        <v>77</v>
      </c>
      <c r="L75" t="s">
        <v>143</v>
      </c>
      <c r="M75" s="10">
        <v>19.587628865979383</v>
      </c>
      <c r="N75" t="s">
        <v>143</v>
      </c>
    </row>
    <row r="76" spans="1:14" x14ac:dyDescent="0.2">
      <c r="A76" t="s">
        <v>216</v>
      </c>
      <c r="B76" s="10">
        <v>32.474155776476401</v>
      </c>
      <c r="C76" s="10">
        <v>28.785773195876278</v>
      </c>
      <c r="D76" s="10">
        <v>15.3</v>
      </c>
      <c r="E76" s="10">
        <v>52.4</v>
      </c>
      <c r="F76" s="10">
        <v>9.5</v>
      </c>
      <c r="G76" s="10">
        <v>16.7</v>
      </c>
      <c r="H76" s="10">
        <v>6.0999999999999943</v>
      </c>
      <c r="I76" s="10">
        <v>23.4</v>
      </c>
      <c r="J76" s="10">
        <v>51.623333333333335</v>
      </c>
      <c r="K76" t="s">
        <v>77</v>
      </c>
      <c r="L76" t="s">
        <v>143</v>
      </c>
      <c r="M76" s="10">
        <v>17.525773195876276</v>
      </c>
      <c r="N76" t="s">
        <v>143</v>
      </c>
    </row>
    <row r="77" spans="1:14" x14ac:dyDescent="0.2">
      <c r="A77" t="s">
        <v>217</v>
      </c>
      <c r="B77" s="10">
        <v>65.869329459218491</v>
      </c>
      <c r="C77" s="10">
        <v>66.92</v>
      </c>
      <c r="D77" s="10">
        <v>58.8</v>
      </c>
      <c r="E77" s="10">
        <v>21.4</v>
      </c>
      <c r="F77" s="10">
        <v>9.4</v>
      </c>
      <c r="G77" s="10">
        <v>3.8</v>
      </c>
      <c r="H77" s="10">
        <v>6.6000000000000085</v>
      </c>
      <c r="I77" s="10">
        <v>54.3</v>
      </c>
      <c r="J77" s="10">
        <v>54.228000000000002</v>
      </c>
      <c r="K77" t="s">
        <v>77</v>
      </c>
      <c r="L77" t="s">
        <v>145</v>
      </c>
      <c r="M77" s="10">
        <v>56.07</v>
      </c>
      <c r="N77" t="s">
        <v>145</v>
      </c>
    </row>
    <row r="78" spans="1:14" x14ac:dyDescent="0.2">
      <c r="A78" t="s">
        <v>218</v>
      </c>
      <c r="B78" s="10">
        <v>48.382494007313888</v>
      </c>
      <c r="C78" s="10">
        <v>51.780000000000008</v>
      </c>
      <c r="D78" s="10">
        <v>78.7</v>
      </c>
      <c r="E78" s="10">
        <v>9.8000000000000007</v>
      </c>
      <c r="F78" s="10">
        <v>1.4</v>
      </c>
      <c r="G78" s="10">
        <v>3.1</v>
      </c>
      <c r="H78" s="10">
        <v>7</v>
      </c>
      <c r="I78" s="10">
        <v>57.9</v>
      </c>
      <c r="J78" s="10">
        <v>56.353000000000002</v>
      </c>
      <c r="K78" t="s">
        <v>77</v>
      </c>
      <c r="L78" t="s">
        <v>143</v>
      </c>
      <c r="M78" s="10">
        <v>40.52000000000001</v>
      </c>
      <c r="N78" t="s">
        <v>143</v>
      </c>
    </row>
    <row r="79" spans="1:14" x14ac:dyDescent="0.2">
      <c r="A79" t="s">
        <v>219</v>
      </c>
      <c r="B79" s="10">
        <v>5.8594557366945876</v>
      </c>
      <c r="C79" s="10">
        <v>6.0999999999999961</v>
      </c>
      <c r="D79" s="10">
        <v>70.099999999999994</v>
      </c>
      <c r="E79" s="10">
        <v>21.3</v>
      </c>
      <c r="F79" s="10">
        <v>1.2</v>
      </c>
      <c r="G79" s="10">
        <v>1</v>
      </c>
      <c r="H79" s="10">
        <v>6.4000000000000057</v>
      </c>
      <c r="I79" s="10">
        <v>31.6</v>
      </c>
      <c r="J79" s="10">
        <v>47.436999999999998</v>
      </c>
      <c r="K79" t="s">
        <v>81</v>
      </c>
      <c r="L79" t="s">
        <v>143</v>
      </c>
      <c r="M79" s="10">
        <v>-5.1600000000000037</v>
      </c>
      <c r="N79" t="s">
        <v>143</v>
      </c>
    </row>
    <row r="80" spans="1:14" x14ac:dyDescent="0.2">
      <c r="A80" t="s">
        <v>220</v>
      </c>
      <c r="B80" s="10">
        <v>-4.1663931870868955</v>
      </c>
      <c r="C80" s="10">
        <v>-0.86000000000000498</v>
      </c>
      <c r="D80" s="10">
        <v>78.5</v>
      </c>
      <c r="E80" s="10">
        <v>10.9</v>
      </c>
      <c r="F80" s="10">
        <v>2</v>
      </c>
      <c r="G80" s="10">
        <v>3.1</v>
      </c>
      <c r="H80" s="10">
        <v>5.5</v>
      </c>
      <c r="I80" s="10">
        <v>46.3</v>
      </c>
      <c r="J80" s="10">
        <v>61.028999999999996</v>
      </c>
      <c r="K80" t="s">
        <v>81</v>
      </c>
      <c r="L80" t="s">
        <v>143</v>
      </c>
      <c r="M80" s="10">
        <v>-12.120000000000005</v>
      </c>
      <c r="N80" t="s">
        <v>143</v>
      </c>
    </row>
    <row r="81" spans="1:14" x14ac:dyDescent="0.2">
      <c r="A81" t="s">
        <v>221</v>
      </c>
      <c r="B81" s="10">
        <v>-4.7440584404956105</v>
      </c>
      <c r="C81" s="10">
        <v>-3.180000000000005</v>
      </c>
      <c r="D81" s="10">
        <v>69.099999999999994</v>
      </c>
      <c r="E81" s="10">
        <v>14.5</v>
      </c>
      <c r="F81" s="10">
        <v>6.9</v>
      </c>
      <c r="G81" s="10">
        <v>3.5</v>
      </c>
      <c r="H81" s="10">
        <v>6</v>
      </c>
      <c r="I81" s="10">
        <v>40.299999999999997</v>
      </c>
      <c r="J81" s="10">
        <v>52.477333333333334</v>
      </c>
      <c r="K81" t="s">
        <v>81</v>
      </c>
      <c r="L81" t="s">
        <v>143</v>
      </c>
      <c r="M81" s="10">
        <v>-14.440000000000005</v>
      </c>
      <c r="N81" t="s">
        <v>143</v>
      </c>
    </row>
    <row r="82" spans="1:14" x14ac:dyDescent="0.2">
      <c r="A82" t="s">
        <v>222</v>
      </c>
      <c r="B82" s="10">
        <v>30.428581245343452</v>
      </c>
      <c r="C82" s="10">
        <v>32.319999999999993</v>
      </c>
      <c r="D82" s="10">
        <v>59.8</v>
      </c>
      <c r="E82" s="10">
        <v>14.3</v>
      </c>
      <c r="F82" s="10">
        <v>10.8</v>
      </c>
      <c r="G82" s="10">
        <v>5.0999999999999996</v>
      </c>
      <c r="H82" s="10">
        <v>10</v>
      </c>
      <c r="I82" s="10">
        <v>43.9</v>
      </c>
      <c r="J82" s="10">
        <v>55.575000000000003</v>
      </c>
      <c r="K82" t="s">
        <v>77</v>
      </c>
      <c r="L82" t="s">
        <v>143</v>
      </c>
      <c r="M82" s="10">
        <v>21.059999999999995</v>
      </c>
      <c r="N82" t="s">
        <v>143</v>
      </c>
    </row>
    <row r="83" spans="1:14" x14ac:dyDescent="0.2">
      <c r="A83" t="s">
        <v>223</v>
      </c>
      <c r="B83" s="10">
        <v>22.742201098627397</v>
      </c>
      <c r="C83" s="10">
        <v>25.960000000000004</v>
      </c>
      <c r="D83" s="10">
        <v>77.400000000000006</v>
      </c>
      <c r="E83" s="10">
        <v>12.5</v>
      </c>
      <c r="F83" s="10">
        <v>1.7</v>
      </c>
      <c r="G83" s="10">
        <v>2.9</v>
      </c>
      <c r="H83" s="10">
        <v>5.5</v>
      </c>
      <c r="I83" s="10">
        <v>46.7</v>
      </c>
      <c r="J83" s="10">
        <v>57.400999999999996</v>
      </c>
      <c r="K83" t="s">
        <v>77</v>
      </c>
      <c r="L83" t="s">
        <v>143</v>
      </c>
      <c r="M83" s="10">
        <v>14.700000000000003</v>
      </c>
      <c r="N83" t="s">
        <v>143</v>
      </c>
    </row>
    <row r="84" spans="1:14" x14ac:dyDescent="0.2">
      <c r="A84" t="s">
        <v>224</v>
      </c>
      <c r="B84" s="10">
        <v>9.5161301885194263</v>
      </c>
      <c r="C84" s="10">
        <v>10.499999999999995</v>
      </c>
      <c r="D84" s="10">
        <v>56.1</v>
      </c>
      <c r="E84" s="10">
        <v>29.9</v>
      </c>
      <c r="F84" s="10">
        <v>2.2999999999999998</v>
      </c>
      <c r="G84" s="10">
        <v>3.2</v>
      </c>
      <c r="H84" s="10">
        <v>8.5</v>
      </c>
      <c r="I84" s="10">
        <v>27.9</v>
      </c>
      <c r="J84" s="10">
        <v>55.682333333333332</v>
      </c>
      <c r="K84" t="s">
        <v>81</v>
      </c>
      <c r="L84" t="s">
        <v>143</v>
      </c>
      <c r="M84" s="10">
        <v>-0.76000000000000512</v>
      </c>
      <c r="N84" t="s">
        <v>143</v>
      </c>
    </row>
    <row r="85" spans="1:14" x14ac:dyDescent="0.2">
      <c r="A85" t="s">
        <v>225</v>
      </c>
      <c r="B85" s="10">
        <v>33.23592430978136</v>
      </c>
      <c r="C85" s="10">
        <v>33.729999999999997</v>
      </c>
      <c r="D85" s="10">
        <v>60.9</v>
      </c>
      <c r="E85" s="10">
        <v>16</v>
      </c>
      <c r="F85" s="10">
        <v>15.1</v>
      </c>
      <c r="G85" s="10">
        <v>3.8</v>
      </c>
      <c r="H85" s="10">
        <v>4.2000000000000028</v>
      </c>
      <c r="I85" s="10">
        <v>38.4</v>
      </c>
      <c r="J85" s="10">
        <v>51.790333333333336</v>
      </c>
      <c r="K85" t="s">
        <v>77</v>
      </c>
      <c r="L85" t="s">
        <v>145</v>
      </c>
      <c r="M85" s="10">
        <v>22.88</v>
      </c>
      <c r="N85" t="s">
        <v>145</v>
      </c>
    </row>
    <row r="86" spans="1:14" x14ac:dyDescent="0.2">
      <c r="A86" t="s">
        <v>226</v>
      </c>
      <c r="B86" s="10">
        <v>24.446718263170911</v>
      </c>
      <c r="C86" s="10">
        <v>27.3</v>
      </c>
      <c r="D86" s="10">
        <v>80.599999999999994</v>
      </c>
      <c r="E86" s="10">
        <v>6.8</v>
      </c>
      <c r="F86" s="10">
        <v>4</v>
      </c>
      <c r="G86" s="10">
        <v>3</v>
      </c>
      <c r="H86" s="10">
        <v>5.6000000000000085</v>
      </c>
      <c r="I86" s="10">
        <v>38.5</v>
      </c>
      <c r="J86" s="10">
        <v>54.63133333333333</v>
      </c>
      <c r="K86" t="s">
        <v>77</v>
      </c>
      <c r="L86" t="s">
        <v>143</v>
      </c>
      <c r="M86" s="10">
        <v>16.04</v>
      </c>
      <c r="N86" t="s">
        <v>143</v>
      </c>
    </row>
    <row r="87" spans="1:14" x14ac:dyDescent="0.2">
      <c r="A87" t="s">
        <v>227</v>
      </c>
      <c r="B87" s="10">
        <v>29.141871703099902</v>
      </c>
      <c r="C87" s="10">
        <v>30.899999999999995</v>
      </c>
      <c r="D87" s="10">
        <v>64.7</v>
      </c>
      <c r="E87" s="10">
        <v>12.5</v>
      </c>
      <c r="F87" s="10">
        <v>12.5</v>
      </c>
      <c r="G87" s="10">
        <v>3.3</v>
      </c>
      <c r="H87" s="10">
        <v>7</v>
      </c>
      <c r="I87" s="10">
        <v>39.299999999999997</v>
      </c>
      <c r="J87" s="10">
        <v>53.734999999999999</v>
      </c>
      <c r="K87" t="s">
        <v>77</v>
      </c>
      <c r="L87" t="s">
        <v>143</v>
      </c>
      <c r="M87" s="10">
        <v>19.639999999999993</v>
      </c>
      <c r="N87" t="s">
        <v>143</v>
      </c>
    </row>
    <row r="88" spans="1:14" x14ac:dyDescent="0.2">
      <c r="A88" t="s">
        <v>228</v>
      </c>
      <c r="B88" s="10">
        <v>32.995875167274797</v>
      </c>
      <c r="C88" s="10">
        <v>35.36</v>
      </c>
      <c r="D88" s="10">
        <v>59.5</v>
      </c>
      <c r="E88" s="10">
        <v>14.6</v>
      </c>
      <c r="F88" s="10">
        <v>11.8</v>
      </c>
      <c r="G88" s="10">
        <v>5.0999999999999996</v>
      </c>
      <c r="H88" s="10">
        <v>9</v>
      </c>
      <c r="I88" s="10">
        <v>53</v>
      </c>
      <c r="J88" s="10">
        <v>60.657333333333334</v>
      </c>
      <c r="K88" t="s">
        <v>77</v>
      </c>
      <c r="L88" t="s">
        <v>143</v>
      </c>
      <c r="M88" s="10">
        <v>24.1</v>
      </c>
      <c r="N88" t="s">
        <v>143</v>
      </c>
    </row>
    <row r="89" spans="1:14" x14ac:dyDescent="0.2">
      <c r="A89" t="s">
        <v>229</v>
      </c>
      <c r="B89" s="10">
        <v>13.818431223388066</v>
      </c>
      <c r="C89" s="10">
        <v>15.540000000000001</v>
      </c>
      <c r="D89" s="10">
        <v>67.400000000000006</v>
      </c>
      <c r="E89" s="10">
        <v>16.3</v>
      </c>
      <c r="F89" s="10">
        <v>9.4</v>
      </c>
      <c r="G89" s="10">
        <v>3.6</v>
      </c>
      <c r="H89" s="10">
        <v>3.2999999999999972</v>
      </c>
      <c r="I89" s="10">
        <v>38</v>
      </c>
      <c r="J89" s="10">
        <v>54.23833333333333</v>
      </c>
      <c r="K89" t="s">
        <v>77</v>
      </c>
      <c r="L89" t="s">
        <v>143</v>
      </c>
      <c r="M89" s="10">
        <v>4.2800000000000011</v>
      </c>
      <c r="N89" t="s">
        <v>143</v>
      </c>
    </row>
    <row r="90" spans="1:14" x14ac:dyDescent="0.2">
      <c r="A90" t="s">
        <v>230</v>
      </c>
      <c r="B90" s="10">
        <v>25.465628584327654</v>
      </c>
      <c r="C90" s="10">
        <v>26.98</v>
      </c>
      <c r="D90" s="10">
        <v>62.4</v>
      </c>
      <c r="E90" s="10">
        <v>6.1</v>
      </c>
      <c r="F90" s="10">
        <v>22.3</v>
      </c>
      <c r="G90" s="10">
        <v>3.1</v>
      </c>
      <c r="H90" s="10">
        <v>6.0999999999999943</v>
      </c>
      <c r="I90" s="10">
        <v>34.5</v>
      </c>
      <c r="J90" s="10">
        <v>52.391333333333336</v>
      </c>
      <c r="K90" t="s">
        <v>77</v>
      </c>
      <c r="L90" t="s">
        <v>143</v>
      </c>
      <c r="M90" s="10">
        <v>15.719999999999999</v>
      </c>
      <c r="N90" t="s">
        <v>143</v>
      </c>
    </row>
    <row r="91" spans="1:14" x14ac:dyDescent="0.2">
      <c r="A91" t="s">
        <v>231</v>
      </c>
      <c r="B91" s="10">
        <v>-27.168671827338592</v>
      </c>
      <c r="C91" s="10">
        <v>-26.113737373737376</v>
      </c>
      <c r="D91" s="10">
        <v>72.2</v>
      </c>
      <c r="E91" s="10">
        <v>5.5</v>
      </c>
      <c r="F91" s="10">
        <v>13.7</v>
      </c>
      <c r="G91" s="10">
        <v>3.1</v>
      </c>
      <c r="H91" s="10">
        <v>5.5</v>
      </c>
      <c r="I91" s="10">
        <v>30.5</v>
      </c>
      <c r="J91" s="10">
        <v>48.767333333333333</v>
      </c>
      <c r="K91" t="s">
        <v>81</v>
      </c>
      <c r="L91" t="s">
        <v>143</v>
      </c>
      <c r="M91" s="10">
        <v>-37.373737373737377</v>
      </c>
      <c r="N91" t="s">
        <v>143</v>
      </c>
    </row>
    <row r="92" spans="1:14" x14ac:dyDescent="0.2">
      <c r="A92" t="s">
        <v>232</v>
      </c>
      <c r="B92" s="10">
        <v>-6.5188675278129011</v>
      </c>
      <c r="C92" s="10">
        <v>-7.15</v>
      </c>
      <c r="D92" s="10">
        <v>65.5</v>
      </c>
      <c r="E92" s="10">
        <v>4.9000000000000004</v>
      </c>
      <c r="F92" s="10">
        <v>23.6</v>
      </c>
      <c r="G92" s="10">
        <v>1.8</v>
      </c>
      <c r="H92" s="10">
        <v>4.2000000000000028</v>
      </c>
      <c r="I92" s="10">
        <v>29.6</v>
      </c>
      <c r="J92" s="10">
        <v>44.171999999999997</v>
      </c>
      <c r="K92" t="s">
        <v>81</v>
      </c>
      <c r="L92" t="s">
        <v>145</v>
      </c>
      <c r="M92" s="10">
        <v>-18</v>
      </c>
      <c r="N92" t="s">
        <v>145</v>
      </c>
    </row>
    <row r="93" spans="1:14" x14ac:dyDescent="0.2">
      <c r="A93" t="s">
        <v>233</v>
      </c>
      <c r="B93" s="10">
        <v>-9.5043902280015828</v>
      </c>
      <c r="C93" s="10">
        <v>-9.9521212121212113</v>
      </c>
      <c r="D93" s="10">
        <v>67.7</v>
      </c>
      <c r="E93" s="10">
        <v>9.1</v>
      </c>
      <c r="F93" s="10">
        <v>16.3</v>
      </c>
      <c r="G93" s="10">
        <v>2.4</v>
      </c>
      <c r="H93" s="10">
        <v>4.5</v>
      </c>
      <c r="I93" s="10">
        <v>27.6</v>
      </c>
      <c r="J93" s="10">
        <v>43.762</v>
      </c>
      <c r="K93" t="s">
        <v>81</v>
      </c>
      <c r="L93" t="s">
        <v>143</v>
      </c>
      <c r="M93" s="10">
        <v>-21.212121212121211</v>
      </c>
      <c r="N93" t="s">
        <v>143</v>
      </c>
    </row>
    <row r="94" spans="1:14" x14ac:dyDescent="0.2">
      <c r="A94" t="s">
        <v>234</v>
      </c>
      <c r="B94" s="10">
        <v>4.2028348033565033E-2</v>
      </c>
      <c r="C94" s="10">
        <v>0.14888888888889246</v>
      </c>
      <c r="D94" s="10">
        <v>55.3</v>
      </c>
      <c r="E94" s="10">
        <v>6.8</v>
      </c>
      <c r="F94" s="10">
        <v>30.7</v>
      </c>
      <c r="G94" s="10">
        <v>2.7</v>
      </c>
      <c r="H94" s="10">
        <v>4.5</v>
      </c>
      <c r="I94" s="10">
        <v>25</v>
      </c>
      <c r="J94" s="10">
        <v>48.408666666666669</v>
      </c>
      <c r="K94" t="s">
        <v>81</v>
      </c>
      <c r="L94" t="s">
        <v>143</v>
      </c>
      <c r="M94" s="10">
        <v>-11.111111111111107</v>
      </c>
      <c r="N94" t="s">
        <v>143</v>
      </c>
    </row>
    <row r="95" spans="1:14" x14ac:dyDescent="0.2">
      <c r="A95" t="s">
        <v>235</v>
      </c>
      <c r="B95" s="10">
        <v>-11.745265389233364</v>
      </c>
      <c r="C95" s="10">
        <v>-9.9521212121212113</v>
      </c>
      <c r="D95" s="10">
        <v>67.5</v>
      </c>
      <c r="E95" s="10">
        <v>9.1999999999999993</v>
      </c>
      <c r="F95" s="10">
        <v>12.8</v>
      </c>
      <c r="G95" s="10">
        <v>5.0999999999999996</v>
      </c>
      <c r="H95" s="10">
        <v>5.4000000000000057</v>
      </c>
      <c r="I95" s="10">
        <v>43.8</v>
      </c>
      <c r="J95" s="10">
        <v>53.21</v>
      </c>
      <c r="K95" t="s">
        <v>81</v>
      </c>
      <c r="L95" t="s">
        <v>143</v>
      </c>
      <c r="M95" s="10">
        <v>-21.212121212121211</v>
      </c>
      <c r="N95" t="s">
        <v>143</v>
      </c>
    </row>
    <row r="96" spans="1:14" x14ac:dyDescent="0.2">
      <c r="A96" t="s">
        <v>236</v>
      </c>
      <c r="B96" s="10">
        <v>-18.889630592283954</v>
      </c>
      <c r="C96" s="10">
        <v>-18.739999999999998</v>
      </c>
      <c r="D96" s="10">
        <v>74.8</v>
      </c>
      <c r="E96" s="10">
        <v>8.9</v>
      </c>
      <c r="F96" s="10">
        <v>11.1</v>
      </c>
      <c r="G96" s="10">
        <v>1.5</v>
      </c>
      <c r="H96" s="10">
        <v>3.7000000000000028</v>
      </c>
      <c r="I96" s="10">
        <v>23.7</v>
      </c>
      <c r="J96" s="10">
        <v>45.095666666666666</v>
      </c>
      <c r="K96" t="s">
        <v>81</v>
      </c>
      <c r="L96" t="s">
        <v>143</v>
      </c>
      <c r="M96" s="10">
        <v>-30</v>
      </c>
      <c r="N96" t="s">
        <v>143</v>
      </c>
    </row>
    <row r="97" spans="1:14" x14ac:dyDescent="0.2">
      <c r="A97" t="s">
        <v>237</v>
      </c>
      <c r="B97" s="10">
        <v>-1.8226908760798477</v>
      </c>
      <c r="C97" s="10">
        <v>-1.6300000000000008</v>
      </c>
      <c r="D97" s="10">
        <v>64.599999999999994</v>
      </c>
      <c r="E97" s="10">
        <v>18.399999999999999</v>
      </c>
      <c r="F97" s="10">
        <v>9.3000000000000007</v>
      </c>
      <c r="G97" s="10">
        <v>3.1</v>
      </c>
      <c r="H97" s="10">
        <v>4.6000000000000085</v>
      </c>
      <c r="I97" s="10">
        <v>35.299999999999997</v>
      </c>
      <c r="J97" s="10">
        <v>50.145666666666664</v>
      </c>
      <c r="K97" t="s">
        <v>81</v>
      </c>
      <c r="L97" t="s">
        <v>145</v>
      </c>
      <c r="M97" s="10">
        <v>-12.48</v>
      </c>
      <c r="N97" t="s">
        <v>145</v>
      </c>
    </row>
    <row r="98" spans="1:14" x14ac:dyDescent="0.2">
      <c r="A98" t="s">
        <v>238</v>
      </c>
      <c r="B98" s="10">
        <v>-7.1361761269464452</v>
      </c>
      <c r="C98" s="10">
        <v>-5.9117171717171768</v>
      </c>
      <c r="D98" s="10">
        <v>74.900000000000006</v>
      </c>
      <c r="E98" s="10">
        <v>9.6</v>
      </c>
      <c r="F98" s="10">
        <v>9.1999999999999993</v>
      </c>
      <c r="G98" s="10">
        <v>2.2999999999999998</v>
      </c>
      <c r="H98" s="10">
        <v>4</v>
      </c>
      <c r="I98" s="10">
        <v>32.9</v>
      </c>
      <c r="J98" s="10">
        <v>49.448</v>
      </c>
      <c r="K98" t="s">
        <v>81</v>
      </c>
      <c r="L98" t="s">
        <v>143</v>
      </c>
      <c r="M98" s="10">
        <v>-17.171717171717177</v>
      </c>
      <c r="N98" t="s">
        <v>143</v>
      </c>
    </row>
    <row r="99" spans="1:14" x14ac:dyDescent="0.2">
      <c r="A99" t="s">
        <v>239</v>
      </c>
      <c r="B99" s="10">
        <v>-3.3904703488404957</v>
      </c>
      <c r="C99" s="10">
        <v>-5.9117171717171768</v>
      </c>
      <c r="D99" s="10">
        <v>32.299999999999997</v>
      </c>
      <c r="E99" s="10">
        <v>49</v>
      </c>
      <c r="F99" s="10">
        <v>10.1</v>
      </c>
      <c r="G99" s="10">
        <v>3.7</v>
      </c>
      <c r="H99" s="10">
        <v>4.9000000000000057</v>
      </c>
      <c r="I99" s="10">
        <v>31.3</v>
      </c>
      <c r="J99" s="10">
        <v>48.164333333333332</v>
      </c>
      <c r="K99" t="s">
        <v>77</v>
      </c>
      <c r="L99" t="s">
        <v>143</v>
      </c>
      <c r="M99" s="10">
        <v>-17.171717171717177</v>
      </c>
      <c r="N99" t="s">
        <v>143</v>
      </c>
    </row>
    <row r="100" spans="1:14" x14ac:dyDescent="0.2">
      <c r="A100" t="s">
        <v>240</v>
      </c>
      <c r="B100" s="10">
        <v>37.499270482665473</v>
      </c>
      <c r="C100" s="10">
        <v>35.749795918367347</v>
      </c>
      <c r="D100" s="10">
        <v>38.5</v>
      </c>
      <c r="E100" s="10">
        <v>26.1</v>
      </c>
      <c r="F100" s="10">
        <v>24.8</v>
      </c>
      <c r="G100" s="10">
        <v>4.7</v>
      </c>
      <c r="H100" s="10">
        <v>5.8999999999999915</v>
      </c>
      <c r="I100" s="10">
        <v>35.700000000000003</v>
      </c>
      <c r="J100" s="10">
        <v>46.524999999999999</v>
      </c>
      <c r="K100" t="s">
        <v>77</v>
      </c>
      <c r="L100" t="s">
        <v>143</v>
      </c>
      <c r="M100" s="10">
        <v>24.489795918367349</v>
      </c>
      <c r="N100" t="s">
        <v>143</v>
      </c>
    </row>
    <row r="101" spans="1:14" x14ac:dyDescent="0.2">
      <c r="A101" t="s">
        <v>241</v>
      </c>
      <c r="B101" s="10">
        <v>-5.2868190038705212</v>
      </c>
      <c r="C101" s="10">
        <v>-4.84</v>
      </c>
      <c r="D101" s="10">
        <v>63.3</v>
      </c>
      <c r="E101" s="10">
        <v>15.6</v>
      </c>
      <c r="F101" s="10">
        <v>12.5</v>
      </c>
      <c r="G101" s="10">
        <v>3.7</v>
      </c>
      <c r="H101" s="10">
        <v>4.9000000000000057</v>
      </c>
      <c r="I101" s="10">
        <v>33.5</v>
      </c>
      <c r="J101" s="10">
        <v>51.322000000000003</v>
      </c>
      <c r="K101" t="s">
        <v>81</v>
      </c>
      <c r="L101" t="s">
        <v>145</v>
      </c>
      <c r="M101" s="10">
        <v>-15.69</v>
      </c>
      <c r="N101" t="s">
        <v>145</v>
      </c>
    </row>
    <row r="102" spans="1:14" x14ac:dyDescent="0.2">
      <c r="A102" t="s">
        <v>242</v>
      </c>
      <c r="B102" s="10">
        <v>-4.0200198972640742</v>
      </c>
      <c r="C102" s="10">
        <v>-3.8915151515151489</v>
      </c>
      <c r="D102" s="10">
        <v>78.3</v>
      </c>
      <c r="E102" s="10">
        <v>11.5</v>
      </c>
      <c r="F102" s="10">
        <v>4.8</v>
      </c>
      <c r="G102" s="10">
        <v>1.8</v>
      </c>
      <c r="H102" s="10">
        <v>3.6000000000000085</v>
      </c>
      <c r="I102" s="10">
        <v>23</v>
      </c>
      <c r="J102" s="10">
        <v>44.934666666666665</v>
      </c>
      <c r="K102" t="s">
        <v>81</v>
      </c>
      <c r="L102" t="s">
        <v>143</v>
      </c>
      <c r="M102" s="10">
        <v>-15.151515151515149</v>
      </c>
      <c r="N102" t="s">
        <v>143</v>
      </c>
    </row>
    <row r="103" spans="1:14" x14ac:dyDescent="0.2">
      <c r="A103" t="s">
        <v>243</v>
      </c>
      <c r="B103" s="10">
        <v>-2.6128683656483265</v>
      </c>
      <c r="C103" s="10">
        <v>-1.8713131313131355</v>
      </c>
      <c r="D103" s="10">
        <v>77.2</v>
      </c>
      <c r="E103" s="10">
        <v>8.1999999999999993</v>
      </c>
      <c r="F103" s="10">
        <v>7.1</v>
      </c>
      <c r="G103" s="10">
        <v>3.3</v>
      </c>
      <c r="H103" s="10">
        <v>4.2000000000000028</v>
      </c>
      <c r="I103" s="10">
        <v>33.4</v>
      </c>
      <c r="J103" s="10">
        <v>46.928333333333335</v>
      </c>
      <c r="K103" t="s">
        <v>81</v>
      </c>
      <c r="L103" t="s">
        <v>143</v>
      </c>
      <c r="M103" s="10">
        <v>-13.131313131313135</v>
      </c>
      <c r="N103" t="s">
        <v>143</v>
      </c>
    </row>
    <row r="104" spans="1:14" x14ac:dyDescent="0.2">
      <c r="A104" t="s">
        <v>244</v>
      </c>
      <c r="B104" s="10">
        <v>0.63459683276524526</v>
      </c>
      <c r="C104" s="10">
        <v>0.14888888888889246</v>
      </c>
      <c r="D104" s="10">
        <v>49.4</v>
      </c>
      <c r="E104" s="10">
        <v>22.7</v>
      </c>
      <c r="F104" s="10">
        <v>18.8</v>
      </c>
      <c r="G104" s="10">
        <v>3.2</v>
      </c>
      <c r="H104" s="10">
        <v>5.9000000000000057</v>
      </c>
      <c r="I104" s="10">
        <v>39.4</v>
      </c>
      <c r="J104" s="10">
        <v>48.651666666666664</v>
      </c>
      <c r="K104" t="s">
        <v>77</v>
      </c>
      <c r="L104" t="s">
        <v>143</v>
      </c>
      <c r="M104" s="10">
        <v>-11.111111111111107</v>
      </c>
      <c r="N104" t="s">
        <v>143</v>
      </c>
    </row>
    <row r="105" spans="1:14" x14ac:dyDescent="0.2">
      <c r="A105" t="s">
        <v>245</v>
      </c>
      <c r="B105" s="10">
        <v>-8.5136442248328823</v>
      </c>
      <c r="C105" s="10">
        <v>-9.1481632653061293</v>
      </c>
      <c r="D105" s="10">
        <v>54.9</v>
      </c>
      <c r="E105" s="10">
        <v>21.2</v>
      </c>
      <c r="F105" s="10">
        <v>14.2</v>
      </c>
      <c r="G105" s="10">
        <v>4.2</v>
      </c>
      <c r="H105" s="10">
        <v>5.5</v>
      </c>
      <c r="I105" s="10">
        <v>31.9</v>
      </c>
      <c r="J105" s="10">
        <v>47.567999999999998</v>
      </c>
      <c r="K105" t="s">
        <v>81</v>
      </c>
      <c r="L105" t="s">
        <v>143</v>
      </c>
      <c r="M105" s="10">
        <v>-20.408163265306129</v>
      </c>
      <c r="N105" t="s">
        <v>143</v>
      </c>
    </row>
    <row r="106" spans="1:14" x14ac:dyDescent="0.2">
      <c r="A106" t="s">
        <v>246</v>
      </c>
      <c r="B106" s="10">
        <v>-3.5067510734011345</v>
      </c>
      <c r="C106" s="10">
        <v>-2.8499999999999996</v>
      </c>
      <c r="D106" s="10">
        <v>64.5</v>
      </c>
      <c r="E106" s="10">
        <v>15.1</v>
      </c>
      <c r="F106" s="10">
        <v>12</v>
      </c>
      <c r="G106" s="10">
        <v>2.2999999999999998</v>
      </c>
      <c r="H106" s="10">
        <v>6.0999999999999943</v>
      </c>
      <c r="I106" s="10">
        <v>33.5</v>
      </c>
      <c r="J106" s="10">
        <v>51.375</v>
      </c>
      <c r="K106" t="s">
        <v>81</v>
      </c>
      <c r="L106" t="s">
        <v>145</v>
      </c>
      <c r="M106" s="10">
        <v>-13.7</v>
      </c>
      <c r="N106" t="s">
        <v>145</v>
      </c>
    </row>
    <row r="107" spans="1:14" x14ac:dyDescent="0.2">
      <c r="A107" t="s">
        <v>247</v>
      </c>
      <c r="B107" s="10">
        <v>-11.976640213291834</v>
      </c>
      <c r="C107" s="10">
        <v>-10.74</v>
      </c>
      <c r="D107" s="10">
        <v>79.099999999999994</v>
      </c>
      <c r="E107" s="10">
        <v>9.6</v>
      </c>
      <c r="F107" s="10">
        <v>5.4</v>
      </c>
      <c r="G107" s="10">
        <v>1.5</v>
      </c>
      <c r="H107" s="10">
        <v>4.4000000000000057</v>
      </c>
      <c r="I107" s="10">
        <v>31.4</v>
      </c>
      <c r="J107" s="10">
        <v>48.519333333333336</v>
      </c>
      <c r="K107" t="s">
        <v>81</v>
      </c>
      <c r="L107" t="s">
        <v>143</v>
      </c>
      <c r="M107" s="10">
        <v>-22</v>
      </c>
      <c r="N107" t="s">
        <v>143</v>
      </c>
    </row>
    <row r="108" spans="1:14" x14ac:dyDescent="0.2">
      <c r="A108" t="s">
        <v>248</v>
      </c>
      <c r="B108" s="10">
        <v>-4.7274420903617003</v>
      </c>
      <c r="C108" s="10">
        <v>-5.9117171717171768</v>
      </c>
      <c r="D108" s="10">
        <v>59.8</v>
      </c>
      <c r="E108" s="10">
        <v>20.7</v>
      </c>
      <c r="F108" s="10">
        <v>13.1</v>
      </c>
      <c r="G108" s="10">
        <v>1.5</v>
      </c>
      <c r="H108" s="10">
        <v>4.9000000000000057</v>
      </c>
      <c r="I108" s="10">
        <v>18.8</v>
      </c>
      <c r="J108" s="10">
        <v>44.269999999999996</v>
      </c>
      <c r="K108" t="s">
        <v>81</v>
      </c>
      <c r="L108" t="s">
        <v>143</v>
      </c>
      <c r="M108" s="10">
        <v>-17.171717171717177</v>
      </c>
      <c r="N108" t="s">
        <v>143</v>
      </c>
    </row>
    <row r="109" spans="1:14" x14ac:dyDescent="0.2">
      <c r="A109" t="s">
        <v>249</v>
      </c>
      <c r="B109" s="10">
        <v>-20.375932515733041</v>
      </c>
      <c r="C109" s="10">
        <v>-19.369999999999997</v>
      </c>
      <c r="D109" s="10">
        <v>74.099999999999994</v>
      </c>
      <c r="E109" s="10">
        <v>12.9</v>
      </c>
      <c r="F109" s="10">
        <v>5.7</v>
      </c>
      <c r="G109" s="10">
        <v>1.8</v>
      </c>
      <c r="H109" s="10">
        <v>5.5</v>
      </c>
      <c r="I109" s="10">
        <v>36.299999999999997</v>
      </c>
      <c r="J109" s="10">
        <v>50.407666666666664</v>
      </c>
      <c r="K109" t="s">
        <v>81</v>
      </c>
      <c r="L109" t="s">
        <v>145</v>
      </c>
      <c r="M109" s="10">
        <v>-30.22</v>
      </c>
      <c r="N109" t="s">
        <v>145</v>
      </c>
    </row>
    <row r="110" spans="1:14" x14ac:dyDescent="0.2">
      <c r="A110" t="s">
        <v>250</v>
      </c>
      <c r="B110" s="10">
        <v>51.197204562398724</v>
      </c>
      <c r="C110" s="10">
        <v>48.01</v>
      </c>
      <c r="D110" s="10">
        <v>23.5</v>
      </c>
      <c r="E110" s="10">
        <v>20</v>
      </c>
      <c r="F110" s="10">
        <v>49.8</v>
      </c>
      <c r="G110" s="10">
        <v>2.9</v>
      </c>
      <c r="H110" s="10">
        <v>3.7999999999999972</v>
      </c>
      <c r="I110" s="10">
        <v>24.7</v>
      </c>
      <c r="J110" s="10">
        <v>44.079000000000001</v>
      </c>
      <c r="K110" t="s">
        <v>77</v>
      </c>
      <c r="L110" t="s">
        <v>145</v>
      </c>
      <c r="M110" s="10">
        <v>37.159999999999997</v>
      </c>
      <c r="N110" t="s">
        <v>145</v>
      </c>
    </row>
    <row r="111" spans="1:14" x14ac:dyDescent="0.2">
      <c r="A111" t="s">
        <v>251</v>
      </c>
      <c r="B111" s="10">
        <v>-5.8366908416956411</v>
      </c>
      <c r="C111" s="10">
        <v>-4.7399999999999931</v>
      </c>
      <c r="D111" s="10">
        <v>68.099999999999994</v>
      </c>
      <c r="E111" s="10">
        <v>13.1</v>
      </c>
      <c r="F111" s="10">
        <v>11.8</v>
      </c>
      <c r="G111" s="10">
        <v>2.1</v>
      </c>
      <c r="H111" s="10">
        <v>4.9000000000000057</v>
      </c>
      <c r="I111" s="10">
        <v>34.799999999999997</v>
      </c>
      <c r="J111" s="10">
        <v>50.451666666666668</v>
      </c>
      <c r="K111" t="s">
        <v>81</v>
      </c>
      <c r="L111" t="s">
        <v>143</v>
      </c>
      <c r="M111" s="10">
        <v>-15.999999999999993</v>
      </c>
      <c r="N111" t="s">
        <v>143</v>
      </c>
    </row>
    <row r="112" spans="1:14" x14ac:dyDescent="0.2">
      <c r="A112" t="s">
        <v>252</v>
      </c>
      <c r="B112" s="10">
        <v>8.8204100438198596E-2</v>
      </c>
      <c r="C112" s="10">
        <v>0.14888888888889246</v>
      </c>
      <c r="D112" s="10">
        <v>55.3</v>
      </c>
      <c r="E112" s="10">
        <v>20</v>
      </c>
      <c r="F112" s="10">
        <v>15.2</v>
      </c>
      <c r="G112" s="10">
        <v>2.7</v>
      </c>
      <c r="H112" s="10">
        <v>6.7999999999999972</v>
      </c>
      <c r="I112" s="10">
        <v>36.1</v>
      </c>
      <c r="J112" s="10">
        <v>49.468000000000004</v>
      </c>
      <c r="K112" t="s">
        <v>77</v>
      </c>
      <c r="L112" t="s">
        <v>143</v>
      </c>
      <c r="M112" s="10">
        <v>-11.111111111111107</v>
      </c>
      <c r="N112" t="s">
        <v>143</v>
      </c>
    </row>
    <row r="113" spans="1:14" x14ac:dyDescent="0.2">
      <c r="A113" t="s">
        <v>253</v>
      </c>
      <c r="B113" s="10">
        <v>23.56032308997673</v>
      </c>
      <c r="C113" s="10">
        <v>24.391313131313137</v>
      </c>
      <c r="D113" s="10">
        <v>58.4</v>
      </c>
      <c r="E113" s="10">
        <v>18.7</v>
      </c>
      <c r="F113" s="10">
        <v>12.8</v>
      </c>
      <c r="G113" s="10">
        <v>3.5</v>
      </c>
      <c r="H113" s="10">
        <v>6.5999999999999943</v>
      </c>
      <c r="I113" s="10">
        <v>44</v>
      </c>
      <c r="J113" s="10">
        <v>51.726333333333336</v>
      </c>
      <c r="K113" t="s">
        <v>77</v>
      </c>
      <c r="L113" t="s">
        <v>143</v>
      </c>
      <c r="M113" s="10">
        <v>13.131313131313135</v>
      </c>
      <c r="N113" t="s">
        <v>143</v>
      </c>
    </row>
    <row r="114" spans="1:14" x14ac:dyDescent="0.2">
      <c r="A114" t="s">
        <v>254</v>
      </c>
      <c r="B114" s="10">
        <v>53.077604578867891</v>
      </c>
      <c r="C114" s="10">
        <v>49.550000000000004</v>
      </c>
      <c r="D114" s="10">
        <v>18.2</v>
      </c>
      <c r="E114" s="10">
        <v>34.5</v>
      </c>
      <c r="F114" s="10">
        <v>45.2</v>
      </c>
      <c r="G114" s="10">
        <v>1.6</v>
      </c>
      <c r="H114" s="10">
        <v>0.5</v>
      </c>
      <c r="I114" s="10">
        <v>29.7</v>
      </c>
      <c r="J114" s="10">
        <v>45.129333333333335</v>
      </c>
      <c r="K114" t="s">
        <v>77</v>
      </c>
      <c r="L114" t="s">
        <v>145</v>
      </c>
      <c r="M114" s="10">
        <v>38.700000000000003</v>
      </c>
      <c r="N114" t="s">
        <v>145</v>
      </c>
    </row>
    <row r="115" spans="1:14" x14ac:dyDescent="0.2">
      <c r="A115" t="s">
        <v>255</v>
      </c>
      <c r="B115" s="10">
        <v>3.3839879359936842</v>
      </c>
      <c r="C115" s="10">
        <v>2.1690909090909063</v>
      </c>
      <c r="D115" s="10">
        <v>34.4</v>
      </c>
      <c r="E115" s="10">
        <v>38.4</v>
      </c>
      <c r="F115" s="10">
        <v>17.399999999999999</v>
      </c>
      <c r="G115" s="10">
        <v>4.4000000000000004</v>
      </c>
      <c r="H115" s="10">
        <v>5.4000000000000057</v>
      </c>
      <c r="I115" s="10">
        <v>39.6</v>
      </c>
      <c r="J115" s="10">
        <v>51.341333333333331</v>
      </c>
      <c r="K115" t="s">
        <v>77</v>
      </c>
      <c r="L115" t="s">
        <v>143</v>
      </c>
      <c r="M115" s="10">
        <v>-9.0909090909090935</v>
      </c>
      <c r="N115" t="s">
        <v>143</v>
      </c>
    </row>
    <row r="116" spans="1:14" x14ac:dyDescent="0.2">
      <c r="A116" t="s">
        <v>256</v>
      </c>
      <c r="B116" s="10">
        <v>-4.0899856530695722</v>
      </c>
      <c r="C116" s="10">
        <v>-7.9319191919191834</v>
      </c>
      <c r="D116" s="10">
        <v>19.7</v>
      </c>
      <c r="E116" s="10">
        <v>67.900000000000006</v>
      </c>
      <c r="F116" s="10">
        <v>6.1</v>
      </c>
      <c r="G116" s="10">
        <v>1.1000000000000001</v>
      </c>
      <c r="H116" s="10">
        <v>5.1999999999999886</v>
      </c>
      <c r="I116" s="10">
        <v>28.3</v>
      </c>
      <c r="J116" s="10">
        <v>47.356999999999999</v>
      </c>
      <c r="K116" t="s">
        <v>81</v>
      </c>
      <c r="L116" t="s">
        <v>143</v>
      </c>
      <c r="M116" s="10">
        <v>-19.191919191919183</v>
      </c>
      <c r="N116" t="s">
        <v>143</v>
      </c>
    </row>
    <row r="117" spans="1:14" x14ac:dyDescent="0.2">
      <c r="A117" t="s">
        <v>257</v>
      </c>
      <c r="B117" s="10">
        <v>-0.60822512255524064</v>
      </c>
      <c r="C117" s="10">
        <v>-3.8915151515151489</v>
      </c>
      <c r="D117" s="10">
        <v>16.899999999999999</v>
      </c>
      <c r="E117" s="10">
        <v>71.3</v>
      </c>
      <c r="F117" s="10">
        <v>6.5</v>
      </c>
      <c r="G117" s="10">
        <v>2.1</v>
      </c>
      <c r="H117" s="10">
        <v>3.2000000000000028</v>
      </c>
      <c r="I117" s="10">
        <v>41.2</v>
      </c>
      <c r="J117" s="10">
        <v>50.107666666666667</v>
      </c>
      <c r="K117" t="s">
        <v>81</v>
      </c>
      <c r="L117" t="s">
        <v>143</v>
      </c>
      <c r="M117" s="10">
        <v>-15.151515151515149</v>
      </c>
      <c r="N117" t="s">
        <v>143</v>
      </c>
    </row>
    <row r="118" spans="1:14" x14ac:dyDescent="0.2">
      <c r="A118" t="s">
        <v>258</v>
      </c>
      <c r="B118" s="10">
        <v>-10.401180683539291</v>
      </c>
      <c r="C118" s="10">
        <v>-13.992525252525253</v>
      </c>
      <c r="D118" s="10">
        <v>15.2</v>
      </c>
      <c r="E118" s="10">
        <v>68.7</v>
      </c>
      <c r="F118" s="10">
        <v>9.8000000000000007</v>
      </c>
      <c r="G118" s="10">
        <v>1.6</v>
      </c>
      <c r="H118" s="10">
        <v>4.7000000000000028</v>
      </c>
      <c r="I118" s="10">
        <v>29.3</v>
      </c>
      <c r="J118" s="10">
        <v>49.476333333333336</v>
      </c>
      <c r="K118" t="s">
        <v>81</v>
      </c>
      <c r="L118" t="s">
        <v>143</v>
      </c>
      <c r="M118" s="10">
        <v>-25.252525252525253</v>
      </c>
      <c r="N118" t="s">
        <v>143</v>
      </c>
    </row>
    <row r="119" spans="1:14" x14ac:dyDescent="0.2">
      <c r="A119" t="s">
        <v>259</v>
      </c>
      <c r="B119" s="10">
        <v>-4.5100551175669503</v>
      </c>
      <c r="C119" s="10">
        <v>-4.9600000000000009</v>
      </c>
      <c r="D119" s="10">
        <v>60.4</v>
      </c>
      <c r="E119" s="10">
        <v>4.9000000000000004</v>
      </c>
      <c r="F119" s="10">
        <v>29.6</v>
      </c>
      <c r="G119" s="10">
        <v>1.7</v>
      </c>
      <c r="H119" s="10">
        <v>3.4000000000000057</v>
      </c>
      <c r="I119" s="10">
        <v>27.4</v>
      </c>
      <c r="J119" s="10">
        <v>46.12533333333333</v>
      </c>
      <c r="K119" t="s">
        <v>81</v>
      </c>
      <c r="L119" t="s">
        <v>145</v>
      </c>
      <c r="M119" s="10">
        <v>-15.81</v>
      </c>
      <c r="N119" t="s">
        <v>145</v>
      </c>
    </row>
    <row r="120" spans="1:14" x14ac:dyDescent="0.2">
      <c r="A120" t="s">
        <v>260</v>
      </c>
      <c r="B120" s="10">
        <v>25.561742920196043</v>
      </c>
      <c r="C120" s="10">
        <v>23.920000000000012</v>
      </c>
      <c r="D120" s="10">
        <v>42.7</v>
      </c>
      <c r="E120" s="10">
        <v>3.6</v>
      </c>
      <c r="F120" s="10">
        <v>50.3</v>
      </c>
      <c r="G120" s="10">
        <v>1.3</v>
      </c>
      <c r="H120" s="10">
        <v>2.0999999999999943</v>
      </c>
      <c r="I120" s="10">
        <v>20.8</v>
      </c>
      <c r="J120" s="10">
        <v>41.259666666666668</v>
      </c>
      <c r="K120" t="s">
        <v>77</v>
      </c>
      <c r="L120" t="s">
        <v>143</v>
      </c>
      <c r="M120" s="10">
        <v>12.660000000000011</v>
      </c>
      <c r="N120" t="s">
        <v>143</v>
      </c>
    </row>
    <row r="121" spans="1:14" x14ac:dyDescent="0.2">
      <c r="A121" t="s">
        <v>261</v>
      </c>
      <c r="B121" s="10">
        <v>-22.500442592917956</v>
      </c>
      <c r="C121" s="10">
        <v>-21.360000000000003</v>
      </c>
      <c r="D121" s="10">
        <v>66.8</v>
      </c>
      <c r="E121" s="10">
        <v>3.9</v>
      </c>
      <c r="F121" s="10">
        <v>23.6</v>
      </c>
      <c r="G121" s="10">
        <v>1.6</v>
      </c>
      <c r="H121" s="10">
        <v>4.0999999999999943</v>
      </c>
      <c r="I121" s="10">
        <v>27.8</v>
      </c>
      <c r="J121" s="10">
        <v>49.782666666666664</v>
      </c>
      <c r="K121" t="s">
        <v>81</v>
      </c>
      <c r="L121" t="s">
        <v>143</v>
      </c>
      <c r="M121" s="10">
        <v>-32.620000000000005</v>
      </c>
      <c r="N121" t="s">
        <v>143</v>
      </c>
    </row>
    <row r="122" spans="1:14" x14ac:dyDescent="0.2">
      <c r="A122" t="s">
        <v>262</v>
      </c>
      <c r="B122" s="10">
        <v>62.946612091462789</v>
      </c>
      <c r="C122" s="10">
        <v>62.419999999999995</v>
      </c>
      <c r="D122" s="10">
        <v>28.3</v>
      </c>
      <c r="E122" s="10">
        <v>4.2</v>
      </c>
      <c r="F122" s="10">
        <v>59.2</v>
      </c>
      <c r="G122" s="10">
        <v>4</v>
      </c>
      <c r="H122" s="10">
        <v>4.2999999999999972</v>
      </c>
      <c r="I122" s="10">
        <v>40.9</v>
      </c>
      <c r="J122" s="10">
        <v>49.580666666666666</v>
      </c>
      <c r="K122" t="s">
        <v>77</v>
      </c>
      <c r="L122" t="s">
        <v>143</v>
      </c>
      <c r="M122" s="10">
        <v>51.16</v>
      </c>
      <c r="N122" t="s">
        <v>143</v>
      </c>
    </row>
    <row r="123" spans="1:14" x14ac:dyDescent="0.2">
      <c r="A123" t="s">
        <v>263</v>
      </c>
      <c r="B123" s="10">
        <v>82.014065784426606</v>
      </c>
      <c r="C123" s="10">
        <v>82.62</v>
      </c>
      <c r="D123" s="10">
        <v>37.9</v>
      </c>
      <c r="E123" s="10">
        <v>4.2</v>
      </c>
      <c r="F123" s="10">
        <v>50.6</v>
      </c>
      <c r="G123" s="10">
        <v>3.8</v>
      </c>
      <c r="H123" s="10">
        <v>3.5</v>
      </c>
      <c r="I123" s="10">
        <v>53.6</v>
      </c>
      <c r="J123" s="10">
        <v>51.81</v>
      </c>
      <c r="K123" t="s">
        <v>77</v>
      </c>
      <c r="L123" t="s">
        <v>143</v>
      </c>
      <c r="M123" s="10">
        <v>71.360000000000014</v>
      </c>
      <c r="N123" t="s">
        <v>143</v>
      </c>
    </row>
    <row r="124" spans="1:14" x14ac:dyDescent="0.2">
      <c r="A124" t="s">
        <v>264</v>
      </c>
      <c r="B124" s="10">
        <v>57.682334916443963</v>
      </c>
      <c r="C124" s="10">
        <v>60.620000000000012</v>
      </c>
      <c r="D124" s="10">
        <v>66.599999999999994</v>
      </c>
      <c r="E124" s="10">
        <v>6.2</v>
      </c>
      <c r="F124" s="10">
        <v>10.3</v>
      </c>
      <c r="G124" s="10">
        <v>7.5</v>
      </c>
      <c r="H124" s="10">
        <v>9.4000000000000057</v>
      </c>
      <c r="I124" s="10">
        <v>58.4</v>
      </c>
      <c r="J124" s="10">
        <v>66.034999999999997</v>
      </c>
      <c r="K124" t="s">
        <v>77</v>
      </c>
      <c r="L124" t="s">
        <v>143</v>
      </c>
      <c r="M124" s="10">
        <v>49.360000000000014</v>
      </c>
      <c r="N124" t="s">
        <v>143</v>
      </c>
    </row>
    <row r="125" spans="1:14" x14ac:dyDescent="0.2">
      <c r="A125" t="s">
        <v>265</v>
      </c>
      <c r="B125" s="10">
        <v>-18.029699221923927</v>
      </c>
      <c r="C125" s="10">
        <v>-18.439999999999994</v>
      </c>
      <c r="D125" s="10">
        <v>32.799999999999997</v>
      </c>
      <c r="E125" s="10">
        <v>12</v>
      </c>
      <c r="F125" s="10">
        <v>33.799999999999997</v>
      </c>
      <c r="G125" s="10">
        <v>12.5</v>
      </c>
      <c r="H125" s="10">
        <v>8.9000000000000057</v>
      </c>
      <c r="I125" s="10">
        <v>40.799999999999997</v>
      </c>
      <c r="J125" s="10">
        <v>53.182333333333332</v>
      </c>
      <c r="K125" t="s">
        <v>81</v>
      </c>
      <c r="L125" t="s">
        <v>143</v>
      </c>
      <c r="M125" s="10">
        <v>-29.699999999999996</v>
      </c>
      <c r="N125" t="s">
        <v>143</v>
      </c>
    </row>
    <row r="126" spans="1:14" x14ac:dyDescent="0.2">
      <c r="A126" t="s">
        <v>266</v>
      </c>
      <c r="B126" s="10">
        <v>-25.935021378893268</v>
      </c>
      <c r="C126" s="10">
        <v>-26.580000000000002</v>
      </c>
      <c r="D126" s="10">
        <v>60.5</v>
      </c>
      <c r="E126" s="10">
        <v>4.0999999999999996</v>
      </c>
      <c r="F126" s="10">
        <v>30.8</v>
      </c>
      <c r="G126" s="10">
        <v>1.4</v>
      </c>
      <c r="H126" s="10">
        <v>3.2000000000000028</v>
      </c>
      <c r="I126" s="10">
        <v>22.5</v>
      </c>
      <c r="J126" s="10">
        <v>43.60733333333333</v>
      </c>
      <c r="K126" t="s">
        <v>81</v>
      </c>
      <c r="L126" t="s">
        <v>143</v>
      </c>
      <c r="M126" s="10">
        <v>-37.840000000000003</v>
      </c>
      <c r="N126" t="s">
        <v>143</v>
      </c>
    </row>
    <row r="127" spans="1:14" x14ac:dyDescent="0.2">
      <c r="A127" t="s">
        <v>267</v>
      </c>
      <c r="B127" s="10">
        <v>-27.824023514162345</v>
      </c>
      <c r="C127" s="10">
        <v>-26.74</v>
      </c>
      <c r="D127" s="10">
        <v>68.3</v>
      </c>
      <c r="E127" s="10">
        <v>8.5</v>
      </c>
      <c r="F127" s="10">
        <v>10.6</v>
      </c>
      <c r="G127" s="10">
        <v>4.5999999999999996</v>
      </c>
      <c r="H127" s="10">
        <v>8</v>
      </c>
      <c r="I127" s="10">
        <v>30.4</v>
      </c>
      <c r="J127" s="10">
        <v>50.345999999999997</v>
      </c>
      <c r="K127" t="s">
        <v>81</v>
      </c>
      <c r="L127" t="s">
        <v>143</v>
      </c>
      <c r="M127" s="10">
        <v>-38</v>
      </c>
      <c r="N127" t="s">
        <v>143</v>
      </c>
    </row>
    <row r="128" spans="1:14" x14ac:dyDescent="0.2">
      <c r="A128" t="s">
        <v>268</v>
      </c>
      <c r="B128" s="10">
        <v>-10.556811433490964</v>
      </c>
      <c r="C128" s="10">
        <v>-9.9300000000000015</v>
      </c>
      <c r="D128" s="10">
        <v>66.2</v>
      </c>
      <c r="E128" s="10">
        <v>4.5999999999999996</v>
      </c>
      <c r="F128" s="10">
        <v>23.6</v>
      </c>
      <c r="G128" s="10">
        <v>2</v>
      </c>
      <c r="H128" s="10">
        <v>3.5999999999999943</v>
      </c>
      <c r="I128" s="10">
        <v>28.9</v>
      </c>
      <c r="J128" s="10">
        <v>49.662666666666667</v>
      </c>
      <c r="K128" t="s">
        <v>81</v>
      </c>
      <c r="L128" t="s">
        <v>145</v>
      </c>
      <c r="M128" s="10">
        <v>-20.78</v>
      </c>
      <c r="N128" t="s">
        <v>145</v>
      </c>
    </row>
    <row r="129" spans="1:14" x14ac:dyDescent="0.2">
      <c r="A129" t="s">
        <v>269</v>
      </c>
      <c r="B129" s="10">
        <v>-14.433907261725709</v>
      </c>
      <c r="C129" s="10">
        <v>-12.49</v>
      </c>
      <c r="D129" s="10">
        <v>64</v>
      </c>
      <c r="E129" s="10">
        <v>6.6</v>
      </c>
      <c r="F129" s="10">
        <v>18.899999999999999</v>
      </c>
      <c r="G129" s="10">
        <v>3.1</v>
      </c>
      <c r="H129" s="10">
        <v>7.4000000000000057</v>
      </c>
      <c r="I129" s="10">
        <v>42.1</v>
      </c>
      <c r="J129" s="10">
        <v>55.157333333333334</v>
      </c>
      <c r="K129" t="s">
        <v>81</v>
      </c>
      <c r="L129" t="s">
        <v>145</v>
      </c>
      <c r="M129" s="10">
        <v>-23.34</v>
      </c>
      <c r="N129" t="s">
        <v>145</v>
      </c>
    </row>
    <row r="130" spans="1:14" x14ac:dyDescent="0.2">
      <c r="A130" t="s">
        <v>270</v>
      </c>
      <c r="B130" s="10">
        <v>-8.5000961023721082</v>
      </c>
      <c r="C130" s="10">
        <v>-9.3799999999999937</v>
      </c>
      <c r="D130" s="10">
        <v>54.6</v>
      </c>
      <c r="E130" s="10">
        <v>3.8</v>
      </c>
      <c r="F130" s="10">
        <v>37.5</v>
      </c>
      <c r="G130" s="10">
        <v>1.7</v>
      </c>
      <c r="H130" s="10">
        <v>2.4000000000000057</v>
      </c>
      <c r="I130" s="10">
        <v>23.4</v>
      </c>
      <c r="J130" s="10">
        <v>43.729666666666667</v>
      </c>
      <c r="K130" t="s">
        <v>81</v>
      </c>
      <c r="L130" t="s">
        <v>143</v>
      </c>
      <c r="M130" s="10">
        <v>-20.639999999999993</v>
      </c>
      <c r="N130" t="s">
        <v>143</v>
      </c>
    </row>
    <row r="131" spans="1:14" x14ac:dyDescent="0.2">
      <c r="A131" t="s">
        <v>271</v>
      </c>
      <c r="B131" s="10">
        <v>56.184778931905463</v>
      </c>
      <c r="C131" s="10">
        <v>54.919999999999995</v>
      </c>
      <c r="D131" s="10">
        <v>18.8</v>
      </c>
      <c r="E131" s="10">
        <v>6.4</v>
      </c>
      <c r="F131" s="10">
        <v>68.599999999999994</v>
      </c>
      <c r="G131" s="10">
        <v>3.1</v>
      </c>
      <c r="H131" s="10">
        <v>3.1000000000000085</v>
      </c>
      <c r="I131" s="10">
        <v>30.2</v>
      </c>
      <c r="J131" s="10">
        <v>48.997666666666667</v>
      </c>
      <c r="K131" t="s">
        <v>77</v>
      </c>
      <c r="L131" t="s">
        <v>143</v>
      </c>
      <c r="M131" s="10">
        <v>43.66</v>
      </c>
      <c r="N131" t="s">
        <v>143</v>
      </c>
    </row>
    <row r="132" spans="1:14" x14ac:dyDescent="0.2">
      <c r="A132" t="s">
        <v>272</v>
      </c>
      <c r="B132" s="10">
        <v>-18.30000072233689</v>
      </c>
      <c r="C132" s="10">
        <v>-17.48</v>
      </c>
      <c r="D132" s="10">
        <v>71.3</v>
      </c>
      <c r="E132" s="10">
        <v>7.2</v>
      </c>
      <c r="F132" s="10">
        <v>14.5</v>
      </c>
      <c r="G132" s="10">
        <v>1</v>
      </c>
      <c r="H132" s="10">
        <v>6</v>
      </c>
      <c r="I132" s="10">
        <v>22.2</v>
      </c>
      <c r="J132" s="10">
        <v>48.056333333333335</v>
      </c>
      <c r="K132" t="s">
        <v>81</v>
      </c>
      <c r="L132" t="s">
        <v>143</v>
      </c>
      <c r="M132" s="10">
        <v>-28.740000000000002</v>
      </c>
      <c r="N132" t="s">
        <v>143</v>
      </c>
    </row>
    <row r="133" spans="1:14" x14ac:dyDescent="0.2">
      <c r="A133" t="s">
        <v>273</v>
      </c>
      <c r="B133" s="10">
        <v>58.734009959705126</v>
      </c>
      <c r="C133" s="10">
        <v>54.940000000000005</v>
      </c>
      <c r="D133" s="10">
        <v>16.100000000000001</v>
      </c>
      <c r="E133" s="10">
        <v>7.7</v>
      </c>
      <c r="F133" s="10">
        <v>2.8</v>
      </c>
      <c r="G133" s="10">
        <v>55.5</v>
      </c>
      <c r="H133" s="10">
        <v>17.900000000000006</v>
      </c>
      <c r="I133" s="10">
        <v>37.9</v>
      </c>
      <c r="J133" s="10">
        <v>57.028666666666666</v>
      </c>
      <c r="K133" t="s">
        <v>77</v>
      </c>
      <c r="L133" t="s">
        <v>143</v>
      </c>
      <c r="M133" s="10">
        <v>43.680000000000007</v>
      </c>
      <c r="N133" t="s">
        <v>143</v>
      </c>
    </row>
    <row r="134" spans="1:14" x14ac:dyDescent="0.2">
      <c r="A134" t="s">
        <v>274</v>
      </c>
      <c r="B134" s="10">
        <v>50.49511946461724</v>
      </c>
      <c r="C134" s="10">
        <v>48.82</v>
      </c>
      <c r="D134" s="10">
        <v>31.8</v>
      </c>
      <c r="E134" s="10">
        <v>10.4</v>
      </c>
      <c r="F134" s="10">
        <v>2.1</v>
      </c>
      <c r="G134" s="10">
        <v>28.7</v>
      </c>
      <c r="H134" s="10">
        <v>27</v>
      </c>
      <c r="I134" s="10">
        <v>31.4</v>
      </c>
      <c r="J134" s="10">
        <v>54.771333333333331</v>
      </c>
      <c r="K134" t="s">
        <v>77</v>
      </c>
      <c r="L134" t="s">
        <v>143</v>
      </c>
      <c r="M134" s="10">
        <v>37.56</v>
      </c>
      <c r="N134" t="s">
        <v>143</v>
      </c>
    </row>
    <row r="135" spans="1:14" x14ac:dyDescent="0.2">
      <c r="A135" t="s">
        <v>275</v>
      </c>
      <c r="B135" s="10">
        <v>9.5804760863404557</v>
      </c>
      <c r="C135" s="10">
        <v>11.059999999999997</v>
      </c>
      <c r="D135" s="10">
        <v>85.8</v>
      </c>
      <c r="E135" s="10">
        <v>3.9</v>
      </c>
      <c r="F135" s="10">
        <v>3.8</v>
      </c>
      <c r="G135" s="10">
        <v>1.9</v>
      </c>
      <c r="H135" s="10">
        <v>4.6000000000000085</v>
      </c>
      <c r="I135" s="10">
        <v>31.5</v>
      </c>
      <c r="J135" s="10">
        <v>47.460333333333331</v>
      </c>
      <c r="K135" t="s">
        <v>81</v>
      </c>
      <c r="L135" t="s">
        <v>143</v>
      </c>
      <c r="M135" s="10">
        <v>-0.20000000000000284</v>
      </c>
      <c r="N135" t="s">
        <v>143</v>
      </c>
    </row>
    <row r="136" spans="1:14" x14ac:dyDescent="0.2">
      <c r="A136" t="s">
        <v>276</v>
      </c>
      <c r="B136" s="10">
        <v>-0.39937256192532256</v>
      </c>
      <c r="C136" s="10">
        <v>0.85999999999999943</v>
      </c>
      <c r="D136" s="10">
        <v>88.4</v>
      </c>
      <c r="E136" s="10">
        <v>2.2999999999999998</v>
      </c>
      <c r="F136" s="10">
        <v>3.7</v>
      </c>
      <c r="G136" s="10">
        <v>1.3</v>
      </c>
      <c r="H136" s="10">
        <v>4.2999999999999972</v>
      </c>
      <c r="I136" s="10">
        <v>28.3</v>
      </c>
      <c r="J136" s="10">
        <v>47.620666666666665</v>
      </c>
      <c r="K136" t="s">
        <v>81</v>
      </c>
      <c r="L136" t="s">
        <v>145</v>
      </c>
      <c r="M136" s="10">
        <v>-9.99</v>
      </c>
      <c r="N136" t="s">
        <v>145</v>
      </c>
    </row>
    <row r="137" spans="1:14" x14ac:dyDescent="0.2">
      <c r="A137" t="s">
        <v>277</v>
      </c>
      <c r="B137" s="10">
        <v>5.4844143070240952</v>
      </c>
      <c r="C137" s="10">
        <v>7.4199999999999964</v>
      </c>
      <c r="D137" s="10">
        <v>82.1</v>
      </c>
      <c r="E137" s="10">
        <v>4.5</v>
      </c>
      <c r="F137" s="10">
        <v>4.5</v>
      </c>
      <c r="G137" s="10">
        <v>2.7</v>
      </c>
      <c r="H137" s="10">
        <v>6.2000000000000028</v>
      </c>
      <c r="I137" s="10">
        <v>35.4</v>
      </c>
      <c r="J137" s="10">
        <v>49.986666666666665</v>
      </c>
      <c r="K137" t="s">
        <v>81</v>
      </c>
      <c r="L137" t="s">
        <v>143</v>
      </c>
      <c r="M137" s="10">
        <v>-3.8400000000000034</v>
      </c>
      <c r="N137" t="s">
        <v>143</v>
      </c>
    </row>
    <row r="138" spans="1:14" x14ac:dyDescent="0.2">
      <c r="A138" t="s">
        <v>278</v>
      </c>
      <c r="B138" s="10">
        <v>-21.710782333573768</v>
      </c>
      <c r="C138" s="10">
        <v>-20.630000000000003</v>
      </c>
      <c r="D138" s="10">
        <v>85.5</v>
      </c>
      <c r="E138" s="10">
        <v>5.2</v>
      </c>
      <c r="F138" s="10">
        <v>2</v>
      </c>
      <c r="G138" s="10">
        <v>1.6</v>
      </c>
      <c r="H138" s="10">
        <v>5.7000000000000028</v>
      </c>
      <c r="I138" s="10">
        <v>25.8</v>
      </c>
      <c r="J138" s="10">
        <v>47.918333333333337</v>
      </c>
      <c r="K138" t="s">
        <v>81</v>
      </c>
      <c r="L138" t="s">
        <v>145</v>
      </c>
      <c r="M138" s="10">
        <v>-31.48</v>
      </c>
      <c r="N138" t="s">
        <v>145</v>
      </c>
    </row>
    <row r="139" spans="1:14" x14ac:dyDescent="0.2">
      <c r="A139" t="s">
        <v>279</v>
      </c>
      <c r="B139" s="10">
        <v>-37.616178655770113</v>
      </c>
      <c r="C139" s="10">
        <v>-35.96</v>
      </c>
      <c r="D139" s="10">
        <v>82.7</v>
      </c>
      <c r="E139" s="10">
        <v>8.1999999999999993</v>
      </c>
      <c r="F139" s="10">
        <v>0.7</v>
      </c>
      <c r="G139" s="10">
        <v>1.5</v>
      </c>
      <c r="H139" s="10">
        <v>6.8999999999999915</v>
      </c>
      <c r="I139" s="10">
        <v>28.2</v>
      </c>
      <c r="J139" s="10">
        <v>49.299333333333337</v>
      </c>
      <c r="K139" t="s">
        <v>81</v>
      </c>
      <c r="L139" t="s">
        <v>143</v>
      </c>
      <c r="M139" s="10">
        <v>-47.22</v>
      </c>
      <c r="N139" t="s">
        <v>143</v>
      </c>
    </row>
    <row r="140" spans="1:14" x14ac:dyDescent="0.2">
      <c r="A140" t="s">
        <v>280</v>
      </c>
      <c r="B140" s="10">
        <v>-23.206084829041398</v>
      </c>
      <c r="C140" s="10">
        <v>-21.659999999999993</v>
      </c>
      <c r="D140" s="10">
        <v>80.3</v>
      </c>
      <c r="E140" s="10">
        <v>9.5</v>
      </c>
      <c r="F140" s="10">
        <v>0.9</v>
      </c>
      <c r="G140" s="10">
        <v>1.8</v>
      </c>
      <c r="H140" s="10">
        <v>7.5</v>
      </c>
      <c r="I140" s="10">
        <v>32.299999999999997</v>
      </c>
      <c r="J140" s="10">
        <v>49.224666666666664</v>
      </c>
      <c r="K140" t="s">
        <v>81</v>
      </c>
      <c r="L140" t="s">
        <v>143</v>
      </c>
      <c r="M140" s="10">
        <v>-32.919999999999995</v>
      </c>
      <c r="N140" t="s">
        <v>143</v>
      </c>
    </row>
    <row r="141" spans="1:14" x14ac:dyDescent="0.2">
      <c r="A141" t="s">
        <v>281</v>
      </c>
      <c r="B141" s="10">
        <v>43.936383209825436</v>
      </c>
      <c r="C141" s="10">
        <v>42.959999999999987</v>
      </c>
      <c r="D141" s="10">
        <v>37</v>
      </c>
      <c r="E141" s="10">
        <v>6.3</v>
      </c>
      <c r="F141" s="10">
        <v>52.6</v>
      </c>
      <c r="G141" s="10">
        <v>1.7</v>
      </c>
      <c r="H141" s="10">
        <v>2.4000000000000057</v>
      </c>
      <c r="I141" s="10">
        <v>31.7</v>
      </c>
      <c r="J141" s="10">
        <v>46.369</v>
      </c>
      <c r="K141" t="s">
        <v>77</v>
      </c>
      <c r="L141" t="s">
        <v>143</v>
      </c>
      <c r="M141" s="10">
        <v>31.699999999999989</v>
      </c>
      <c r="N141" t="s">
        <v>143</v>
      </c>
    </row>
    <row r="142" spans="1:14" x14ac:dyDescent="0.2">
      <c r="A142" t="s">
        <v>282</v>
      </c>
      <c r="B142" s="10">
        <v>46.092978211302544</v>
      </c>
      <c r="C142" s="10">
        <v>43.97</v>
      </c>
      <c r="D142" s="10">
        <v>36.299999999999997</v>
      </c>
      <c r="E142" s="10">
        <v>10.4</v>
      </c>
      <c r="F142" s="10">
        <v>48.5</v>
      </c>
      <c r="G142" s="10">
        <v>1.1000000000000001</v>
      </c>
      <c r="H142" s="10">
        <v>3.7000000000000028</v>
      </c>
      <c r="I142" s="10">
        <v>23.8</v>
      </c>
      <c r="J142" s="10">
        <v>44.26</v>
      </c>
      <c r="K142" t="s">
        <v>77</v>
      </c>
      <c r="L142" t="s">
        <v>145</v>
      </c>
      <c r="M142" s="10">
        <v>33.119999999999997</v>
      </c>
      <c r="N142" t="s">
        <v>145</v>
      </c>
    </row>
    <row r="143" spans="1:14" x14ac:dyDescent="0.2">
      <c r="A143" t="s">
        <v>283</v>
      </c>
      <c r="B143" s="10">
        <v>46.873419430866143</v>
      </c>
      <c r="C143" s="10">
        <v>45.84</v>
      </c>
      <c r="D143" s="10">
        <v>42.8</v>
      </c>
      <c r="E143" s="10">
        <v>35.5</v>
      </c>
      <c r="F143" s="10">
        <v>6.6</v>
      </c>
      <c r="G143" s="10">
        <v>6.9</v>
      </c>
      <c r="H143" s="10">
        <v>8.2000000000000028</v>
      </c>
      <c r="I143" s="10">
        <v>35.200000000000003</v>
      </c>
      <c r="J143" s="10">
        <v>51.150666666666666</v>
      </c>
      <c r="K143" t="s">
        <v>77</v>
      </c>
      <c r="L143" t="s">
        <v>143</v>
      </c>
      <c r="M143" s="10">
        <v>34.580000000000005</v>
      </c>
      <c r="N143" t="s">
        <v>143</v>
      </c>
    </row>
    <row r="144" spans="1:14" x14ac:dyDescent="0.2">
      <c r="A144" t="s">
        <v>284</v>
      </c>
      <c r="B144" s="10">
        <v>42.858752868069558</v>
      </c>
      <c r="C144" s="10">
        <v>39.18</v>
      </c>
      <c r="D144" s="10">
        <v>26.2</v>
      </c>
      <c r="E144" s="10">
        <v>55.3</v>
      </c>
      <c r="F144" s="10">
        <v>6.3</v>
      </c>
      <c r="G144" s="10">
        <v>4.3</v>
      </c>
      <c r="H144" s="10">
        <v>7.9000000000000057</v>
      </c>
      <c r="I144" s="10">
        <v>23.3</v>
      </c>
      <c r="J144" s="10">
        <v>48.040999999999997</v>
      </c>
      <c r="K144" t="s">
        <v>77</v>
      </c>
      <c r="L144" t="s">
        <v>145</v>
      </c>
      <c r="M144" s="10">
        <v>28.33</v>
      </c>
      <c r="N144" t="s">
        <v>145</v>
      </c>
    </row>
    <row r="145" spans="1:14" x14ac:dyDescent="0.2">
      <c r="A145" t="s">
        <v>285</v>
      </c>
      <c r="B145" s="10">
        <v>46.232595509462307</v>
      </c>
      <c r="C145" s="10">
        <v>49.199999999999996</v>
      </c>
      <c r="D145" s="10">
        <v>73.3</v>
      </c>
      <c r="E145" s="10">
        <v>9.8000000000000007</v>
      </c>
      <c r="F145" s="10">
        <v>3.3</v>
      </c>
      <c r="G145" s="10">
        <v>9</v>
      </c>
      <c r="H145" s="10">
        <v>4.6000000000000085</v>
      </c>
      <c r="I145" s="10">
        <v>64.400000000000006</v>
      </c>
      <c r="J145" s="10">
        <v>59.730333333333334</v>
      </c>
      <c r="K145" t="s">
        <v>77</v>
      </c>
      <c r="L145" t="s">
        <v>143</v>
      </c>
      <c r="M145" s="10">
        <v>37.94</v>
      </c>
      <c r="N145" t="s">
        <v>143</v>
      </c>
    </row>
    <row r="146" spans="1:14" x14ac:dyDescent="0.2">
      <c r="A146" t="s">
        <v>286</v>
      </c>
      <c r="B146" s="10">
        <v>16.92534970483938</v>
      </c>
      <c r="C146" s="10">
        <v>19.680000000000003</v>
      </c>
      <c r="D146" s="10">
        <v>74.599999999999994</v>
      </c>
      <c r="E146" s="10">
        <v>11.2</v>
      </c>
      <c r="F146" s="10">
        <v>5.8</v>
      </c>
      <c r="G146" s="10">
        <v>5.4</v>
      </c>
      <c r="H146" s="10">
        <v>3</v>
      </c>
      <c r="I146" s="10">
        <v>43.6</v>
      </c>
      <c r="J146" s="10">
        <v>56.765999999999998</v>
      </c>
      <c r="K146" t="s">
        <v>77</v>
      </c>
      <c r="L146" t="s">
        <v>143</v>
      </c>
      <c r="M146" s="10">
        <v>8.4200000000000017</v>
      </c>
      <c r="N146" t="s">
        <v>143</v>
      </c>
    </row>
    <row r="147" spans="1:14" x14ac:dyDescent="0.2">
      <c r="A147" t="s">
        <v>287</v>
      </c>
      <c r="B147" s="10">
        <v>77.18151751823757</v>
      </c>
      <c r="C147" s="10">
        <v>76.239999999999995</v>
      </c>
      <c r="D147" s="10">
        <v>32.700000000000003</v>
      </c>
      <c r="E147" s="10">
        <v>10.9</v>
      </c>
      <c r="F147" s="10">
        <v>45.4</v>
      </c>
      <c r="G147" s="10">
        <v>7.1</v>
      </c>
      <c r="H147" s="10">
        <v>3.9000000000000057</v>
      </c>
      <c r="I147" s="10">
        <v>46.1</v>
      </c>
      <c r="J147" s="10">
        <v>50.454999999999998</v>
      </c>
      <c r="K147" t="s">
        <v>77</v>
      </c>
      <c r="L147" t="s">
        <v>145</v>
      </c>
      <c r="M147" s="10">
        <v>65.39</v>
      </c>
      <c r="N147" t="s">
        <v>145</v>
      </c>
    </row>
    <row r="148" spans="1:14" x14ac:dyDescent="0.2">
      <c r="A148" t="s">
        <v>288</v>
      </c>
      <c r="B148" s="10">
        <v>17.128344841299356</v>
      </c>
      <c r="C148" s="10">
        <v>17.759999999999998</v>
      </c>
      <c r="D148" s="10">
        <v>58.4</v>
      </c>
      <c r="E148" s="10">
        <v>16.3</v>
      </c>
      <c r="F148" s="10">
        <v>5.2</v>
      </c>
      <c r="G148" s="10">
        <v>12.6</v>
      </c>
      <c r="H148" s="10">
        <v>7.5</v>
      </c>
      <c r="I148" s="10">
        <v>39.200000000000003</v>
      </c>
      <c r="J148" s="10">
        <v>55.439</v>
      </c>
      <c r="K148" t="s">
        <v>77</v>
      </c>
      <c r="L148" t="s">
        <v>145</v>
      </c>
      <c r="M148" s="10">
        <v>6.91</v>
      </c>
      <c r="N148" t="s">
        <v>145</v>
      </c>
    </row>
    <row r="149" spans="1:14" x14ac:dyDescent="0.2">
      <c r="A149" t="s">
        <v>289</v>
      </c>
      <c r="B149" s="10">
        <v>46.467960878770036</v>
      </c>
      <c r="C149" s="10">
        <v>47.42</v>
      </c>
      <c r="D149" s="10">
        <v>61.6</v>
      </c>
      <c r="E149" s="10">
        <v>9.8000000000000007</v>
      </c>
      <c r="F149" s="10">
        <v>8.8000000000000007</v>
      </c>
      <c r="G149" s="10">
        <v>12.3</v>
      </c>
      <c r="H149" s="10">
        <v>7.5</v>
      </c>
      <c r="I149" s="10">
        <v>54.9</v>
      </c>
      <c r="J149" s="10">
        <v>53.897333333333336</v>
      </c>
      <c r="K149" t="s">
        <v>77</v>
      </c>
      <c r="L149" t="s">
        <v>145</v>
      </c>
      <c r="M149" s="10">
        <v>36.57</v>
      </c>
      <c r="N149" t="s">
        <v>145</v>
      </c>
    </row>
    <row r="150" spans="1:14" x14ac:dyDescent="0.2">
      <c r="A150" t="s">
        <v>290</v>
      </c>
      <c r="B150" s="10">
        <v>29.012128867150274</v>
      </c>
      <c r="C150" s="10">
        <v>31.219999999999995</v>
      </c>
      <c r="D150" s="10">
        <v>61.6</v>
      </c>
      <c r="E150" s="10">
        <v>15.3</v>
      </c>
      <c r="F150" s="10">
        <v>7.3</v>
      </c>
      <c r="G150" s="10">
        <v>6.7</v>
      </c>
      <c r="H150" s="10">
        <v>9.0999999999999943</v>
      </c>
      <c r="I150" s="10">
        <v>46.5</v>
      </c>
      <c r="J150" s="10">
        <v>57.68566666666667</v>
      </c>
      <c r="K150" t="s">
        <v>77</v>
      </c>
      <c r="L150" t="s">
        <v>143</v>
      </c>
      <c r="M150" s="10">
        <v>19.959999999999994</v>
      </c>
      <c r="N150" t="s">
        <v>143</v>
      </c>
    </row>
    <row r="151" spans="1:14" x14ac:dyDescent="0.2">
      <c r="A151" t="s">
        <v>291</v>
      </c>
      <c r="B151" s="10">
        <v>19.976092189244909</v>
      </c>
      <c r="C151" s="10">
        <v>22.44</v>
      </c>
      <c r="D151" s="10">
        <v>66.599999999999994</v>
      </c>
      <c r="E151" s="10">
        <v>12.9</v>
      </c>
      <c r="F151" s="10">
        <v>6.5</v>
      </c>
      <c r="G151" s="10">
        <v>6.6</v>
      </c>
      <c r="H151" s="10">
        <v>7.4000000000000057</v>
      </c>
      <c r="I151" s="10">
        <v>44.2</v>
      </c>
      <c r="J151" s="10">
        <v>58.267333333333333</v>
      </c>
      <c r="K151" t="s">
        <v>77</v>
      </c>
      <c r="L151" t="s">
        <v>143</v>
      </c>
      <c r="M151" s="10">
        <v>11.18</v>
      </c>
      <c r="N151" t="s">
        <v>143</v>
      </c>
    </row>
    <row r="152" spans="1:14" x14ac:dyDescent="0.2">
      <c r="A152" t="s">
        <v>292</v>
      </c>
      <c r="B152" s="10">
        <v>-38.295665713320851</v>
      </c>
      <c r="C152" s="10">
        <v>-37.119999999999997</v>
      </c>
      <c r="D152" s="10">
        <v>88</v>
      </c>
      <c r="E152" s="10">
        <v>2</v>
      </c>
      <c r="F152" s="10">
        <v>5.5</v>
      </c>
      <c r="G152" s="10">
        <v>0.8</v>
      </c>
      <c r="H152" s="10">
        <v>3.7000000000000028</v>
      </c>
      <c r="I152" s="10">
        <v>23.8</v>
      </c>
      <c r="J152" s="10">
        <v>45.750999999999998</v>
      </c>
      <c r="K152" t="s">
        <v>81</v>
      </c>
      <c r="L152" t="s">
        <v>143</v>
      </c>
      <c r="M152" s="10">
        <v>-48.379999999999995</v>
      </c>
      <c r="N152" t="s">
        <v>143</v>
      </c>
    </row>
    <row r="153" spans="1:14" x14ac:dyDescent="0.2">
      <c r="A153" t="s">
        <v>293</v>
      </c>
      <c r="B153" s="10">
        <v>27.325713502475224</v>
      </c>
      <c r="C153" s="10">
        <v>27.479999999999993</v>
      </c>
      <c r="D153" s="10">
        <v>67.8</v>
      </c>
      <c r="E153" s="10">
        <v>3.1</v>
      </c>
      <c r="F153" s="10">
        <v>19.5</v>
      </c>
      <c r="G153" s="10">
        <v>2.7</v>
      </c>
      <c r="H153" s="10">
        <v>6.9000000000000057</v>
      </c>
      <c r="I153" s="10">
        <v>30.8</v>
      </c>
      <c r="J153" s="10">
        <v>44.947666666666663</v>
      </c>
      <c r="K153" t="s">
        <v>77</v>
      </c>
      <c r="L153" t="s">
        <v>143</v>
      </c>
      <c r="M153" s="10">
        <v>16.219999999999992</v>
      </c>
      <c r="N153" t="s">
        <v>143</v>
      </c>
    </row>
    <row r="154" spans="1:14" x14ac:dyDescent="0.2">
      <c r="A154" t="s">
        <v>294</v>
      </c>
      <c r="B154" s="10">
        <v>20.174284204077246</v>
      </c>
      <c r="C154" s="10">
        <v>21.460000000000004</v>
      </c>
      <c r="D154" s="10">
        <v>62.7</v>
      </c>
      <c r="E154" s="10">
        <v>16.2</v>
      </c>
      <c r="F154" s="10">
        <v>10.5</v>
      </c>
      <c r="G154" s="10">
        <v>4.7</v>
      </c>
      <c r="H154" s="10">
        <v>5.8999999999999915</v>
      </c>
      <c r="I154" s="10">
        <v>32.299999999999997</v>
      </c>
      <c r="J154" s="10">
        <v>53.724666666666664</v>
      </c>
      <c r="K154" t="s">
        <v>77</v>
      </c>
      <c r="L154" t="s">
        <v>143</v>
      </c>
      <c r="M154" s="10">
        <v>10.200000000000003</v>
      </c>
      <c r="N154" t="s">
        <v>143</v>
      </c>
    </row>
    <row r="155" spans="1:14" x14ac:dyDescent="0.2">
      <c r="A155" t="s">
        <v>295</v>
      </c>
      <c r="B155" s="10">
        <v>-31.19364443538705</v>
      </c>
      <c r="C155" s="10">
        <v>-29.559999999999992</v>
      </c>
      <c r="D155" s="10">
        <v>90.8</v>
      </c>
      <c r="E155" s="10">
        <v>1.9</v>
      </c>
      <c r="F155" s="10">
        <v>3.3</v>
      </c>
      <c r="G155" s="10">
        <v>0.8</v>
      </c>
      <c r="H155" s="10">
        <v>3.2000000000000028</v>
      </c>
      <c r="I155" s="10">
        <v>25.1</v>
      </c>
      <c r="J155" s="10">
        <v>47.204666666666668</v>
      </c>
      <c r="K155" t="s">
        <v>81</v>
      </c>
      <c r="L155" t="s">
        <v>143</v>
      </c>
      <c r="M155" s="10">
        <v>-40.819999999999993</v>
      </c>
      <c r="N155" t="s">
        <v>143</v>
      </c>
    </row>
    <row r="156" spans="1:14" x14ac:dyDescent="0.2">
      <c r="A156" t="s">
        <v>296</v>
      </c>
      <c r="B156" s="10">
        <v>-14.348936508617593</v>
      </c>
      <c r="C156" s="10">
        <v>-11.980000000000002</v>
      </c>
      <c r="D156" s="10">
        <v>87.3</v>
      </c>
      <c r="E156" s="10">
        <v>4.3</v>
      </c>
      <c r="F156" s="10">
        <v>2.8</v>
      </c>
      <c r="G156" s="10">
        <v>1.5</v>
      </c>
      <c r="H156" s="10">
        <v>4.1000000000000085</v>
      </c>
      <c r="I156" s="10">
        <v>30.8</v>
      </c>
      <c r="J156" s="10">
        <v>51.131</v>
      </c>
      <c r="K156" t="s">
        <v>81</v>
      </c>
      <c r="L156" t="s">
        <v>143</v>
      </c>
      <c r="M156" s="10">
        <v>-23.240000000000002</v>
      </c>
      <c r="N156" t="s">
        <v>143</v>
      </c>
    </row>
    <row r="157" spans="1:14" x14ac:dyDescent="0.2">
      <c r="A157" t="s">
        <v>297</v>
      </c>
      <c r="B157" s="10">
        <v>20.219942160719913</v>
      </c>
      <c r="C157" s="10">
        <v>20.12</v>
      </c>
      <c r="D157" s="10">
        <v>72</v>
      </c>
      <c r="E157" s="10">
        <v>7.2</v>
      </c>
      <c r="F157" s="10">
        <v>13</v>
      </c>
      <c r="G157" s="10">
        <v>1.6</v>
      </c>
      <c r="H157" s="10">
        <v>6.2000000000000028</v>
      </c>
      <c r="I157" s="10">
        <v>24</v>
      </c>
      <c r="J157" s="10">
        <v>43.944666666666663</v>
      </c>
      <c r="K157" t="s">
        <v>77</v>
      </c>
      <c r="L157" t="s">
        <v>143</v>
      </c>
      <c r="M157" s="10">
        <v>8.86</v>
      </c>
      <c r="N157" t="s">
        <v>143</v>
      </c>
    </row>
    <row r="158" spans="1:14" x14ac:dyDescent="0.2">
      <c r="A158" t="s">
        <v>298</v>
      </c>
      <c r="B158" s="10">
        <v>19.640616787950947</v>
      </c>
      <c r="C158" s="10">
        <v>19.900000000000002</v>
      </c>
      <c r="D158" s="10">
        <v>63.2</v>
      </c>
      <c r="E158" s="10">
        <v>13.3</v>
      </c>
      <c r="F158" s="10">
        <v>18</v>
      </c>
      <c r="G158" s="10">
        <v>1.2</v>
      </c>
      <c r="H158" s="10">
        <v>4.2999999999999972</v>
      </c>
      <c r="I158" s="10">
        <v>25.4</v>
      </c>
      <c r="J158" s="10">
        <v>48.193333333333335</v>
      </c>
      <c r="K158" t="s">
        <v>77</v>
      </c>
      <c r="L158" t="s">
        <v>143</v>
      </c>
      <c r="M158" s="10">
        <v>8.64</v>
      </c>
      <c r="N158" t="s">
        <v>143</v>
      </c>
    </row>
    <row r="159" spans="1:14" x14ac:dyDescent="0.2">
      <c r="A159" t="s">
        <v>299</v>
      </c>
      <c r="B159" s="10">
        <v>-18.360817169983413</v>
      </c>
      <c r="C159" s="10">
        <v>-17.640000000000004</v>
      </c>
      <c r="D159" s="10">
        <v>79.3</v>
      </c>
      <c r="E159" s="10">
        <v>6.2</v>
      </c>
      <c r="F159" s="10">
        <v>6.8</v>
      </c>
      <c r="G159" s="10">
        <v>1.3</v>
      </c>
      <c r="H159" s="10">
        <v>6.4000000000000057</v>
      </c>
      <c r="I159" s="10">
        <v>24.1</v>
      </c>
      <c r="J159" s="10">
        <v>45.829000000000001</v>
      </c>
      <c r="K159" t="s">
        <v>81</v>
      </c>
      <c r="L159" t="s">
        <v>143</v>
      </c>
      <c r="M159" s="10">
        <v>-28.900000000000006</v>
      </c>
      <c r="N159" t="s">
        <v>143</v>
      </c>
    </row>
    <row r="160" spans="1:14" x14ac:dyDescent="0.2">
      <c r="A160" t="s">
        <v>300</v>
      </c>
      <c r="B160" s="10">
        <v>-24.734614769812644</v>
      </c>
      <c r="C160" s="10">
        <v>-23.600000000000005</v>
      </c>
      <c r="D160" s="10">
        <v>83.1</v>
      </c>
      <c r="E160" s="10">
        <v>3.9</v>
      </c>
      <c r="F160" s="10">
        <v>6.4</v>
      </c>
      <c r="G160" s="10">
        <v>1.7</v>
      </c>
      <c r="H160" s="10">
        <v>4.9000000000000057</v>
      </c>
      <c r="I160" s="10">
        <v>24.6</v>
      </c>
      <c r="J160" s="10">
        <v>46.840666666666664</v>
      </c>
      <c r="K160" t="s">
        <v>81</v>
      </c>
      <c r="L160" t="s">
        <v>143</v>
      </c>
      <c r="M160" s="10">
        <v>-34.860000000000007</v>
      </c>
      <c r="N160" t="s">
        <v>143</v>
      </c>
    </row>
    <row r="161" spans="1:14" x14ac:dyDescent="0.2">
      <c r="A161" t="s">
        <v>301</v>
      </c>
      <c r="B161" s="10">
        <v>-25.951083522063275</v>
      </c>
      <c r="C161" s="10">
        <v>-24.139999999999997</v>
      </c>
      <c r="D161" s="10">
        <v>83.4</v>
      </c>
      <c r="E161" s="10">
        <v>3.8</v>
      </c>
      <c r="F161" s="10">
        <v>4</v>
      </c>
      <c r="G161" s="10">
        <v>2.2999999999999998</v>
      </c>
      <c r="H161" s="10">
        <v>6.5</v>
      </c>
      <c r="I161" s="10">
        <v>30.8</v>
      </c>
      <c r="J161" s="10">
        <v>49.225666666666669</v>
      </c>
      <c r="K161" t="s">
        <v>81</v>
      </c>
      <c r="L161" t="s">
        <v>143</v>
      </c>
      <c r="M161" s="10">
        <v>-35.4</v>
      </c>
      <c r="N161" t="s">
        <v>143</v>
      </c>
    </row>
    <row r="162" spans="1:14" x14ac:dyDescent="0.2">
      <c r="A162" t="s">
        <v>302</v>
      </c>
      <c r="B162" s="10">
        <v>-10.532290219820865</v>
      </c>
      <c r="C162" s="10">
        <v>-8.3799999999999937</v>
      </c>
      <c r="D162" s="10">
        <v>83.4</v>
      </c>
      <c r="E162" s="10">
        <v>2.8</v>
      </c>
      <c r="F162" s="10">
        <v>6.4</v>
      </c>
      <c r="G162" s="10">
        <v>2.6</v>
      </c>
      <c r="H162" s="10">
        <v>4.7999999999999972</v>
      </c>
      <c r="I162" s="10">
        <v>39.299999999999997</v>
      </c>
      <c r="J162" s="10">
        <v>50.305</v>
      </c>
      <c r="K162" t="s">
        <v>81</v>
      </c>
      <c r="L162" t="s">
        <v>143</v>
      </c>
      <c r="M162" s="10">
        <v>-19.639999999999993</v>
      </c>
      <c r="N162" t="s">
        <v>143</v>
      </c>
    </row>
    <row r="163" spans="1:14" x14ac:dyDescent="0.2">
      <c r="A163" t="s">
        <v>303</v>
      </c>
      <c r="B163" s="10">
        <v>-23.991695322743148</v>
      </c>
      <c r="C163" s="10">
        <v>-22.439999999999994</v>
      </c>
      <c r="D163" s="10">
        <v>84</v>
      </c>
      <c r="E163" s="10">
        <v>2.7</v>
      </c>
      <c r="F163" s="10">
        <v>4.5999999999999996</v>
      </c>
      <c r="G163" s="10">
        <v>2.5</v>
      </c>
      <c r="H163" s="10">
        <v>6.2000000000000028</v>
      </c>
      <c r="I163" s="10">
        <v>27.4</v>
      </c>
      <c r="J163" s="10">
        <v>48.142000000000003</v>
      </c>
      <c r="K163" t="s">
        <v>81</v>
      </c>
      <c r="L163" t="s">
        <v>143</v>
      </c>
      <c r="M163" s="10">
        <v>-33.699999999999996</v>
      </c>
      <c r="N163" t="s">
        <v>143</v>
      </c>
    </row>
    <row r="164" spans="1:14" x14ac:dyDescent="0.2">
      <c r="A164" t="s">
        <v>304</v>
      </c>
      <c r="B164" s="10">
        <v>52.338884280613954</v>
      </c>
      <c r="C164" s="10">
        <v>51.740000000000009</v>
      </c>
      <c r="D164" s="10">
        <v>50.4</v>
      </c>
      <c r="E164" s="10">
        <v>5.7</v>
      </c>
      <c r="F164" s="10">
        <v>34.299999999999997</v>
      </c>
      <c r="G164" s="10">
        <v>1.9</v>
      </c>
      <c r="H164" s="10">
        <v>7.7000000000000028</v>
      </c>
      <c r="I164" s="10">
        <v>34.6</v>
      </c>
      <c r="J164" s="10">
        <v>44.865000000000002</v>
      </c>
      <c r="K164" t="s">
        <v>77</v>
      </c>
      <c r="L164" t="s">
        <v>143</v>
      </c>
      <c r="M164" s="10">
        <v>40.480000000000011</v>
      </c>
      <c r="N164" t="s">
        <v>143</v>
      </c>
    </row>
    <row r="165" spans="1:14" x14ac:dyDescent="0.2">
      <c r="A165" t="s">
        <v>305</v>
      </c>
      <c r="B165" s="10">
        <v>-29.44479182823104</v>
      </c>
      <c r="C165" s="10">
        <v>-28.27999999999999</v>
      </c>
      <c r="D165" s="10">
        <v>89.2</v>
      </c>
      <c r="E165" s="10">
        <v>1.6</v>
      </c>
      <c r="F165" s="10">
        <v>4.5</v>
      </c>
      <c r="G165" s="10">
        <v>0.9</v>
      </c>
      <c r="H165" s="10">
        <v>3.7999999999999972</v>
      </c>
      <c r="I165" s="10">
        <v>22.3</v>
      </c>
      <c r="J165" s="10">
        <v>45.533666666666669</v>
      </c>
      <c r="K165" t="s">
        <v>81</v>
      </c>
      <c r="L165" t="s">
        <v>143</v>
      </c>
      <c r="M165" s="10">
        <v>-39.539999999999992</v>
      </c>
      <c r="N165" t="s">
        <v>143</v>
      </c>
    </row>
    <row r="166" spans="1:14" x14ac:dyDescent="0.2">
      <c r="A166" t="s">
        <v>306</v>
      </c>
      <c r="B166" s="10">
        <v>-22.926697159692463</v>
      </c>
      <c r="C166" s="10">
        <v>-21.3</v>
      </c>
      <c r="D166" s="10">
        <v>88.5</v>
      </c>
      <c r="E166" s="10">
        <v>2</v>
      </c>
      <c r="F166" s="10">
        <v>3.3</v>
      </c>
      <c r="G166" s="10">
        <v>1.3</v>
      </c>
      <c r="H166" s="10">
        <v>4.9000000000000057</v>
      </c>
      <c r="I166" s="10">
        <v>26</v>
      </c>
      <c r="J166" s="10">
        <v>47.427666666666667</v>
      </c>
      <c r="K166" t="s">
        <v>81</v>
      </c>
      <c r="L166" t="s">
        <v>143</v>
      </c>
      <c r="M166" s="10">
        <v>-32.56</v>
      </c>
      <c r="N166" t="s">
        <v>143</v>
      </c>
    </row>
    <row r="167" spans="1:14" x14ac:dyDescent="0.2">
      <c r="A167" t="s">
        <v>307</v>
      </c>
      <c r="B167" s="10">
        <v>-27.512893697966163</v>
      </c>
      <c r="C167" s="10">
        <v>-27.02</v>
      </c>
      <c r="D167" s="10">
        <v>77.7</v>
      </c>
      <c r="E167" s="10">
        <v>9.5</v>
      </c>
      <c r="F167" s="10">
        <v>3.3</v>
      </c>
      <c r="G167" s="10">
        <v>1.6</v>
      </c>
      <c r="H167" s="10">
        <v>7.8999999999999915</v>
      </c>
      <c r="I167" s="10">
        <v>29.4</v>
      </c>
      <c r="J167" s="10">
        <v>45.215333333333334</v>
      </c>
      <c r="K167" t="s">
        <v>81</v>
      </c>
      <c r="L167" t="s">
        <v>143</v>
      </c>
      <c r="M167" s="10">
        <v>-38.28</v>
      </c>
      <c r="N167" t="s">
        <v>143</v>
      </c>
    </row>
    <row r="168" spans="1:14" x14ac:dyDescent="0.2">
      <c r="A168" t="s">
        <v>308</v>
      </c>
      <c r="B168" s="10">
        <v>-8.9002105542302541</v>
      </c>
      <c r="C168" s="10">
        <v>-8.56</v>
      </c>
      <c r="D168" s="10">
        <v>73.3</v>
      </c>
      <c r="E168" s="10">
        <v>7.6</v>
      </c>
      <c r="F168" s="10">
        <v>9.8000000000000007</v>
      </c>
      <c r="G168" s="10">
        <v>1.7</v>
      </c>
      <c r="H168" s="10">
        <v>7.6000000000000085</v>
      </c>
      <c r="I168" s="10">
        <v>26.9</v>
      </c>
      <c r="J168" s="10">
        <v>45.327666666666666</v>
      </c>
      <c r="K168" t="s">
        <v>81</v>
      </c>
      <c r="L168" t="s">
        <v>143</v>
      </c>
      <c r="M168" s="10">
        <v>-19.82</v>
      </c>
      <c r="N168" t="s">
        <v>143</v>
      </c>
    </row>
    <row r="169" spans="1:14" x14ac:dyDescent="0.2">
      <c r="A169" t="s">
        <v>309</v>
      </c>
      <c r="B169" s="10">
        <v>19.25950715352311</v>
      </c>
      <c r="C169" s="10">
        <v>22.460000000000012</v>
      </c>
      <c r="D169" s="10">
        <v>77.900000000000006</v>
      </c>
      <c r="E169" s="10">
        <v>5.8</v>
      </c>
      <c r="F169" s="10">
        <v>4.7</v>
      </c>
      <c r="G169" s="10">
        <v>3.8</v>
      </c>
      <c r="H169" s="10">
        <v>7.7999999999999972</v>
      </c>
      <c r="I169" s="10">
        <v>51.3</v>
      </c>
      <c r="J169" s="10">
        <v>55.542000000000002</v>
      </c>
      <c r="K169" t="s">
        <v>77</v>
      </c>
      <c r="L169" t="s">
        <v>143</v>
      </c>
      <c r="M169" s="10">
        <v>11.20000000000001</v>
      </c>
      <c r="N169" t="s">
        <v>143</v>
      </c>
    </row>
    <row r="170" spans="1:14" x14ac:dyDescent="0.2">
      <c r="A170" t="s">
        <v>310</v>
      </c>
      <c r="B170" s="10">
        <v>-19.451068304529905</v>
      </c>
      <c r="C170" s="10">
        <v>-18.84</v>
      </c>
      <c r="D170" s="10">
        <v>73.3</v>
      </c>
      <c r="E170" s="10">
        <v>8.5</v>
      </c>
      <c r="F170" s="10">
        <v>7.1</v>
      </c>
      <c r="G170" s="10">
        <v>3.2</v>
      </c>
      <c r="H170" s="10">
        <v>7.9000000000000057</v>
      </c>
      <c r="I170" s="10">
        <v>30.4</v>
      </c>
      <c r="J170" s="10">
        <v>46.864333333333335</v>
      </c>
      <c r="K170" t="s">
        <v>81</v>
      </c>
      <c r="L170" t="s">
        <v>143</v>
      </c>
      <c r="M170" s="10">
        <v>-30.1</v>
      </c>
      <c r="N170" t="s">
        <v>143</v>
      </c>
    </row>
    <row r="171" spans="1:14" x14ac:dyDescent="0.2">
      <c r="A171" t="s">
        <v>311</v>
      </c>
      <c r="B171" s="10">
        <v>-38.632420521270561</v>
      </c>
      <c r="C171" s="10">
        <v>-38.18</v>
      </c>
      <c r="D171" s="10">
        <v>85.8</v>
      </c>
      <c r="E171" s="10">
        <v>2.1</v>
      </c>
      <c r="F171" s="10">
        <v>7.8</v>
      </c>
      <c r="G171" s="10">
        <v>0.6</v>
      </c>
      <c r="H171" s="10">
        <v>3.7000000000000028</v>
      </c>
      <c r="I171" s="10">
        <v>20.3</v>
      </c>
      <c r="J171" s="10">
        <v>43.204999999999998</v>
      </c>
      <c r="K171" t="s">
        <v>81</v>
      </c>
      <c r="L171" t="s">
        <v>143</v>
      </c>
      <c r="M171" s="10">
        <v>-49.44</v>
      </c>
      <c r="N171" t="s">
        <v>143</v>
      </c>
    </row>
    <row r="172" spans="1:14" x14ac:dyDescent="0.2">
      <c r="A172" t="s">
        <v>312</v>
      </c>
      <c r="B172" s="10">
        <v>-35.990637663153493</v>
      </c>
      <c r="C172" s="10">
        <v>-34.939999999999991</v>
      </c>
      <c r="D172" s="10">
        <v>85.7</v>
      </c>
      <c r="E172" s="10">
        <v>2.1</v>
      </c>
      <c r="F172" s="10">
        <v>5.8</v>
      </c>
      <c r="G172" s="10">
        <v>1.2</v>
      </c>
      <c r="H172" s="10">
        <v>5.2000000000000028</v>
      </c>
      <c r="I172" s="10">
        <v>23</v>
      </c>
      <c r="J172" s="10">
        <v>45.589333333333336</v>
      </c>
      <c r="K172" t="s">
        <v>81</v>
      </c>
      <c r="L172" t="s">
        <v>143</v>
      </c>
      <c r="M172" s="10">
        <v>-46.199999999999989</v>
      </c>
      <c r="N172" t="s">
        <v>143</v>
      </c>
    </row>
    <row r="173" spans="1:14" x14ac:dyDescent="0.2">
      <c r="A173" t="s">
        <v>313</v>
      </c>
      <c r="B173" s="10">
        <v>34.749712070972933</v>
      </c>
      <c r="C173" s="10">
        <v>35.18</v>
      </c>
      <c r="D173" s="10">
        <v>65.599999999999994</v>
      </c>
      <c r="E173" s="10">
        <v>3</v>
      </c>
      <c r="F173" s="10">
        <v>22.4</v>
      </c>
      <c r="G173" s="10">
        <v>2.2000000000000002</v>
      </c>
      <c r="H173" s="10">
        <v>6.8000000000000114</v>
      </c>
      <c r="I173" s="10">
        <v>35.1</v>
      </c>
      <c r="J173" s="10">
        <v>46.109000000000002</v>
      </c>
      <c r="K173" t="s">
        <v>77</v>
      </c>
      <c r="L173" t="s">
        <v>143</v>
      </c>
      <c r="M173" s="10">
        <v>23.92</v>
      </c>
      <c r="N173" t="s">
        <v>143</v>
      </c>
    </row>
    <row r="174" spans="1:14" x14ac:dyDescent="0.2">
      <c r="A174" t="s">
        <v>314</v>
      </c>
      <c r="B174" s="10">
        <v>-26.691835940761646</v>
      </c>
      <c r="C174" s="10">
        <v>-24.71</v>
      </c>
      <c r="D174" s="10">
        <v>88.6</v>
      </c>
      <c r="E174" s="10">
        <v>2</v>
      </c>
      <c r="F174" s="10">
        <v>3.7</v>
      </c>
      <c r="G174" s="10">
        <v>0.9</v>
      </c>
      <c r="H174" s="10">
        <v>4.8000000000000114</v>
      </c>
      <c r="I174" s="10">
        <v>30.8</v>
      </c>
      <c r="J174" s="10">
        <v>50.302333333333337</v>
      </c>
      <c r="K174" t="s">
        <v>81</v>
      </c>
      <c r="L174" t="s">
        <v>145</v>
      </c>
      <c r="M174" s="10">
        <v>-35.56</v>
      </c>
      <c r="N174" t="s">
        <v>145</v>
      </c>
    </row>
    <row r="175" spans="1:14" x14ac:dyDescent="0.2">
      <c r="A175" t="s">
        <v>315</v>
      </c>
      <c r="B175" s="10">
        <v>-54.657140378934834</v>
      </c>
      <c r="C175" s="10">
        <v>-54.040000000000013</v>
      </c>
      <c r="D175" s="10">
        <v>94.1</v>
      </c>
      <c r="E175" s="10">
        <v>0.9</v>
      </c>
      <c r="F175" s="10">
        <v>1.8</v>
      </c>
      <c r="G175" s="10">
        <v>0.4</v>
      </c>
      <c r="H175" s="10">
        <v>2.8000000000000114</v>
      </c>
      <c r="I175" s="10">
        <v>15.1</v>
      </c>
      <c r="J175" s="10">
        <v>39.245333333333335</v>
      </c>
      <c r="K175" t="s">
        <v>81</v>
      </c>
      <c r="L175" t="s">
        <v>143</v>
      </c>
      <c r="M175" s="10">
        <v>-65.300000000000011</v>
      </c>
      <c r="N175" t="s">
        <v>143</v>
      </c>
    </row>
    <row r="176" spans="1:14" x14ac:dyDescent="0.2">
      <c r="A176" t="s">
        <v>316</v>
      </c>
      <c r="B176" s="10">
        <v>-4.8371076356307467</v>
      </c>
      <c r="C176" s="10">
        <v>-4.18</v>
      </c>
      <c r="D176" s="10">
        <v>81</v>
      </c>
      <c r="E176" s="10">
        <v>2.2999999999999998</v>
      </c>
      <c r="F176" s="10">
        <v>8.9</v>
      </c>
      <c r="G176" s="10">
        <v>1.7</v>
      </c>
      <c r="H176" s="10">
        <v>6.0999999999999943</v>
      </c>
      <c r="I176" s="10">
        <v>34.9</v>
      </c>
      <c r="J176" s="10">
        <v>45.765999999999998</v>
      </c>
      <c r="K176" t="s">
        <v>81</v>
      </c>
      <c r="L176" t="s">
        <v>145</v>
      </c>
      <c r="M176" s="10">
        <v>-15.03</v>
      </c>
      <c r="N176" t="s">
        <v>145</v>
      </c>
    </row>
    <row r="177" spans="1:14" x14ac:dyDescent="0.2">
      <c r="A177" t="s">
        <v>317</v>
      </c>
      <c r="B177" s="10">
        <v>-39.713856153647775</v>
      </c>
      <c r="C177" s="10">
        <v>-38.689135300101725</v>
      </c>
      <c r="D177" s="10">
        <v>69.900000000000006</v>
      </c>
      <c r="E177" s="10">
        <v>6</v>
      </c>
      <c r="F177" s="10">
        <v>12.9</v>
      </c>
      <c r="G177" s="10">
        <v>2.2000000000000002</v>
      </c>
      <c r="H177" s="10">
        <v>9</v>
      </c>
      <c r="I177" s="10">
        <v>33.1</v>
      </c>
      <c r="J177" s="10">
        <v>48.244</v>
      </c>
      <c r="K177" t="s">
        <v>81</v>
      </c>
      <c r="L177" t="s">
        <v>143</v>
      </c>
      <c r="M177" s="10">
        <v>-49.949135300101723</v>
      </c>
      <c r="N177" t="s">
        <v>143</v>
      </c>
    </row>
    <row r="178" spans="1:14" x14ac:dyDescent="0.2">
      <c r="A178" t="s">
        <v>318</v>
      </c>
      <c r="B178" s="10">
        <v>70.606695698950745</v>
      </c>
      <c r="C178" s="10">
        <v>68.417157157157163</v>
      </c>
      <c r="D178" s="10">
        <v>29.8</v>
      </c>
      <c r="E178" s="10">
        <v>4.2</v>
      </c>
      <c r="F178" s="10">
        <v>61.7</v>
      </c>
      <c r="G178" s="10">
        <v>2.4</v>
      </c>
      <c r="H178" s="10">
        <v>1.8999999999999915</v>
      </c>
      <c r="I178" s="10">
        <v>26.7</v>
      </c>
      <c r="J178" s="10">
        <v>41.005000000000003</v>
      </c>
      <c r="K178" t="s">
        <v>77</v>
      </c>
      <c r="L178" t="s">
        <v>143</v>
      </c>
      <c r="M178" s="10">
        <v>57.157157157157165</v>
      </c>
      <c r="N178" t="s">
        <v>143</v>
      </c>
    </row>
    <row r="179" spans="1:14" x14ac:dyDescent="0.2">
      <c r="A179" t="s">
        <v>319</v>
      </c>
      <c r="B179" s="10">
        <v>-28.132047547931467</v>
      </c>
      <c r="C179" s="10">
        <v>-28.539999999999996</v>
      </c>
      <c r="D179" s="10">
        <v>67</v>
      </c>
      <c r="E179" s="10">
        <v>2.5</v>
      </c>
      <c r="F179" s="10">
        <v>24.5</v>
      </c>
      <c r="G179" s="10">
        <v>1.1000000000000001</v>
      </c>
      <c r="H179" s="10">
        <v>4.9000000000000057</v>
      </c>
      <c r="I179" s="10">
        <v>23.5</v>
      </c>
      <c r="J179" s="10">
        <v>42.802</v>
      </c>
      <c r="K179" t="s">
        <v>81</v>
      </c>
      <c r="L179" t="s">
        <v>143</v>
      </c>
      <c r="M179" s="10">
        <v>-39.799999999999997</v>
      </c>
      <c r="N179" t="s">
        <v>143</v>
      </c>
    </row>
    <row r="180" spans="1:14" x14ac:dyDescent="0.2">
      <c r="A180" t="s">
        <v>320</v>
      </c>
      <c r="B180" s="10">
        <v>-22.459891046462804</v>
      </c>
      <c r="C180" s="10">
        <v>-23.355384615384612</v>
      </c>
      <c r="D180" s="10">
        <v>58.1</v>
      </c>
      <c r="E180" s="10">
        <v>2.7</v>
      </c>
      <c r="F180" s="10">
        <v>34.200000000000003</v>
      </c>
      <c r="G180" s="10">
        <v>0.9</v>
      </c>
      <c r="H180" s="10">
        <v>4.0999999999999943</v>
      </c>
      <c r="I180" s="10">
        <v>20.2</v>
      </c>
      <c r="J180" s="10">
        <v>41.206000000000003</v>
      </c>
      <c r="K180" t="s">
        <v>81</v>
      </c>
      <c r="L180" t="s">
        <v>143</v>
      </c>
      <c r="M180" s="10">
        <v>-34.615384615384613</v>
      </c>
      <c r="N180" t="s">
        <v>143</v>
      </c>
    </row>
    <row r="181" spans="1:14" x14ac:dyDescent="0.2">
      <c r="A181" t="s">
        <v>321</v>
      </c>
      <c r="B181" s="10">
        <v>-21.991069151289334</v>
      </c>
      <c r="C181" s="10">
        <v>-23.189999999999998</v>
      </c>
      <c r="D181" s="10">
        <v>60.3</v>
      </c>
      <c r="E181" s="10">
        <v>2</v>
      </c>
      <c r="F181" s="10">
        <v>33.9</v>
      </c>
      <c r="G181" s="10">
        <v>0.7</v>
      </c>
      <c r="H181" s="10">
        <v>3.1000000000000085</v>
      </c>
      <c r="I181" s="10">
        <v>20</v>
      </c>
      <c r="J181" s="10">
        <v>40.387333333333331</v>
      </c>
      <c r="K181" t="s">
        <v>81</v>
      </c>
      <c r="L181" t="s">
        <v>145</v>
      </c>
      <c r="M181" s="10">
        <v>-34.04</v>
      </c>
      <c r="N181" t="s">
        <v>145</v>
      </c>
    </row>
    <row r="182" spans="1:14" x14ac:dyDescent="0.2">
      <c r="A182" t="s">
        <v>322</v>
      </c>
      <c r="B182" s="10">
        <v>-19.764081324366234</v>
      </c>
      <c r="C182" s="10">
        <v>-19.240000000000002</v>
      </c>
      <c r="D182" s="10">
        <v>65</v>
      </c>
      <c r="E182" s="10">
        <v>2.8</v>
      </c>
      <c r="F182" s="10">
        <v>24.4</v>
      </c>
      <c r="G182" s="10">
        <v>1.9</v>
      </c>
      <c r="H182" s="10">
        <v>5.9000000000000057</v>
      </c>
      <c r="I182" s="10">
        <v>33.1</v>
      </c>
      <c r="J182" s="10">
        <v>48.543999999999997</v>
      </c>
      <c r="K182" t="s">
        <v>77</v>
      </c>
      <c r="L182" t="s">
        <v>145</v>
      </c>
      <c r="M182" s="10">
        <v>-30.09</v>
      </c>
      <c r="N182" t="s">
        <v>145</v>
      </c>
    </row>
    <row r="183" spans="1:14" x14ac:dyDescent="0.2">
      <c r="A183" t="s">
        <v>323</v>
      </c>
      <c r="B183" s="10">
        <v>24.951739464452125</v>
      </c>
      <c r="C183" s="10">
        <v>25.540000000000003</v>
      </c>
      <c r="D183" s="10">
        <v>73.2</v>
      </c>
      <c r="E183" s="10">
        <v>15.7</v>
      </c>
      <c r="F183" s="10">
        <v>5.7</v>
      </c>
      <c r="G183" s="10">
        <v>1.8</v>
      </c>
      <c r="H183" s="10">
        <v>3.5999999999999943</v>
      </c>
      <c r="I183" s="10">
        <v>31.5</v>
      </c>
      <c r="J183" s="10">
        <v>47.98533333333333</v>
      </c>
      <c r="K183" t="s">
        <v>77</v>
      </c>
      <c r="L183" t="s">
        <v>143</v>
      </c>
      <c r="M183" s="10">
        <v>14.280000000000001</v>
      </c>
      <c r="N183" t="s">
        <v>143</v>
      </c>
    </row>
    <row r="184" spans="1:14" x14ac:dyDescent="0.2">
      <c r="A184" t="s">
        <v>324</v>
      </c>
      <c r="B184" s="10">
        <v>33.234778681850486</v>
      </c>
      <c r="C184" s="10">
        <v>35.739999999999995</v>
      </c>
      <c r="D184" s="10">
        <v>73.900000000000006</v>
      </c>
      <c r="E184" s="10">
        <v>8.5</v>
      </c>
      <c r="F184" s="10">
        <v>4.5</v>
      </c>
      <c r="G184" s="10">
        <v>4.8</v>
      </c>
      <c r="H184" s="10">
        <v>8.2999999999999972</v>
      </c>
      <c r="I184" s="10">
        <v>45.2</v>
      </c>
      <c r="J184" s="10">
        <v>54.44233333333333</v>
      </c>
      <c r="K184" t="s">
        <v>77</v>
      </c>
      <c r="L184" t="s">
        <v>143</v>
      </c>
      <c r="M184" s="10">
        <v>24.479999999999997</v>
      </c>
      <c r="N184" t="s">
        <v>143</v>
      </c>
    </row>
    <row r="185" spans="1:14" x14ac:dyDescent="0.2">
      <c r="A185" t="s">
        <v>325</v>
      </c>
      <c r="B185" s="10">
        <v>29.049031690663679</v>
      </c>
      <c r="C185" s="10">
        <v>30.84</v>
      </c>
      <c r="D185" s="10">
        <v>64.3</v>
      </c>
      <c r="E185" s="10">
        <v>15.9</v>
      </c>
      <c r="F185" s="10">
        <v>3.8</v>
      </c>
      <c r="G185" s="10">
        <v>6.7</v>
      </c>
      <c r="H185" s="10">
        <v>9.2999999999999972</v>
      </c>
      <c r="I185" s="10">
        <v>38.5</v>
      </c>
      <c r="J185" s="10">
        <v>55.491999999999997</v>
      </c>
      <c r="K185" t="s">
        <v>77</v>
      </c>
      <c r="L185" t="s">
        <v>143</v>
      </c>
      <c r="M185" s="10">
        <v>19.579999999999998</v>
      </c>
      <c r="N185" t="s">
        <v>143</v>
      </c>
    </row>
    <row r="186" spans="1:14" x14ac:dyDescent="0.2">
      <c r="A186" t="s">
        <v>326</v>
      </c>
      <c r="B186" s="10">
        <v>28.090281959116886</v>
      </c>
      <c r="C186" s="10">
        <v>31.659999999999993</v>
      </c>
      <c r="D186" s="10">
        <v>80.599999999999994</v>
      </c>
      <c r="E186" s="10">
        <v>4.2</v>
      </c>
      <c r="F186" s="10">
        <v>3.7</v>
      </c>
      <c r="G186" s="10">
        <v>5.2</v>
      </c>
      <c r="H186" s="10">
        <v>6.3000000000000114</v>
      </c>
      <c r="I186" s="10">
        <v>48.8</v>
      </c>
      <c r="J186" s="10">
        <v>61.791333333333334</v>
      </c>
      <c r="K186" t="s">
        <v>77</v>
      </c>
      <c r="L186" t="s">
        <v>143</v>
      </c>
      <c r="M186" s="10">
        <v>20.399999999999991</v>
      </c>
      <c r="N186" t="s">
        <v>143</v>
      </c>
    </row>
    <row r="187" spans="1:14" x14ac:dyDescent="0.2">
      <c r="A187" t="s">
        <v>327</v>
      </c>
      <c r="B187" s="10">
        <v>54.903355923233818</v>
      </c>
      <c r="C187" s="10">
        <v>57.660000000000004</v>
      </c>
      <c r="D187" s="10">
        <v>66.900000000000006</v>
      </c>
      <c r="E187" s="10">
        <v>7.5</v>
      </c>
      <c r="F187" s="10">
        <v>5.2</v>
      </c>
      <c r="G187" s="10">
        <v>10.1</v>
      </c>
      <c r="H187" s="10">
        <v>10.299999999999997</v>
      </c>
      <c r="I187" s="10">
        <v>60.5</v>
      </c>
      <c r="J187" s="10">
        <v>63.388999999999996</v>
      </c>
      <c r="K187" t="s">
        <v>77</v>
      </c>
      <c r="L187" t="s">
        <v>143</v>
      </c>
      <c r="M187" s="10">
        <v>46.400000000000006</v>
      </c>
      <c r="N187" t="s">
        <v>143</v>
      </c>
    </row>
    <row r="188" spans="1:14" x14ac:dyDescent="0.2">
      <c r="A188" t="s">
        <v>328</v>
      </c>
      <c r="B188" s="10">
        <v>28.447822065658631</v>
      </c>
      <c r="C188" s="10">
        <v>31.53</v>
      </c>
      <c r="D188" s="10">
        <v>79.599999999999994</v>
      </c>
      <c r="E188" s="10">
        <v>7.2</v>
      </c>
      <c r="F188" s="10">
        <v>3.1</v>
      </c>
      <c r="G188" s="10">
        <v>4</v>
      </c>
      <c r="H188" s="10">
        <v>6.1000000000000085</v>
      </c>
      <c r="I188" s="10">
        <v>48.9</v>
      </c>
      <c r="J188" s="10">
        <v>60.408666666666669</v>
      </c>
      <c r="K188" t="s">
        <v>77</v>
      </c>
      <c r="L188" t="s">
        <v>145</v>
      </c>
      <c r="M188" s="10">
        <v>20.68</v>
      </c>
      <c r="N188" t="s">
        <v>145</v>
      </c>
    </row>
    <row r="189" spans="1:14" x14ac:dyDescent="0.2">
      <c r="A189" t="s">
        <v>329</v>
      </c>
      <c r="B189" s="10">
        <v>76.191832352844372</v>
      </c>
      <c r="C189" s="10">
        <v>76.199999999999989</v>
      </c>
      <c r="D189" s="10">
        <v>42.2</v>
      </c>
      <c r="E189" s="10">
        <v>15.8</v>
      </c>
      <c r="F189" s="10">
        <v>24.6</v>
      </c>
      <c r="G189" s="10">
        <v>9.3000000000000007</v>
      </c>
      <c r="H189" s="10">
        <v>8.0999999999999943</v>
      </c>
      <c r="I189" s="10">
        <v>48.3</v>
      </c>
      <c r="J189" s="10">
        <v>52.265000000000001</v>
      </c>
      <c r="K189" t="s">
        <v>77</v>
      </c>
      <c r="L189" t="s">
        <v>143</v>
      </c>
      <c r="M189" s="10">
        <v>64.94</v>
      </c>
      <c r="N189" t="s">
        <v>143</v>
      </c>
    </row>
    <row r="190" spans="1:14" x14ac:dyDescent="0.2">
      <c r="A190" t="s">
        <v>330</v>
      </c>
      <c r="B190" s="10">
        <v>49.492704811808665</v>
      </c>
      <c r="C190" s="10">
        <v>52.419999999999995</v>
      </c>
      <c r="D190" s="10">
        <v>69.099999999999994</v>
      </c>
      <c r="E190" s="10">
        <v>5.4</v>
      </c>
      <c r="F190" s="10">
        <v>10.5</v>
      </c>
      <c r="G190" s="10">
        <v>7.3</v>
      </c>
      <c r="H190" s="10">
        <v>7.7000000000000028</v>
      </c>
      <c r="I190" s="10">
        <v>50.5</v>
      </c>
      <c r="J190" s="10">
        <v>59.585999999999999</v>
      </c>
      <c r="K190" t="s">
        <v>77</v>
      </c>
      <c r="L190" t="s">
        <v>143</v>
      </c>
      <c r="M190" s="10">
        <v>41.16</v>
      </c>
      <c r="N190" t="s">
        <v>143</v>
      </c>
    </row>
    <row r="191" spans="1:14" x14ac:dyDescent="0.2">
      <c r="A191" t="s">
        <v>331</v>
      </c>
      <c r="B191" s="10">
        <v>20.538536485672935</v>
      </c>
      <c r="C191" s="10">
        <v>24.3</v>
      </c>
      <c r="D191" s="10">
        <v>85.2</v>
      </c>
      <c r="E191" s="10">
        <v>3.7</v>
      </c>
      <c r="F191" s="10">
        <v>3.1</v>
      </c>
      <c r="G191" s="10">
        <v>1.4</v>
      </c>
      <c r="H191" s="10">
        <v>6.5999999999999943</v>
      </c>
      <c r="I191" s="10">
        <v>41</v>
      </c>
      <c r="J191" s="10">
        <v>56.355333333333334</v>
      </c>
      <c r="K191" t="s">
        <v>77</v>
      </c>
      <c r="L191" t="s">
        <v>143</v>
      </c>
      <c r="M191" s="10">
        <v>13.04</v>
      </c>
      <c r="N191" t="s">
        <v>143</v>
      </c>
    </row>
    <row r="192" spans="1:14" x14ac:dyDescent="0.2">
      <c r="A192" t="s">
        <v>332</v>
      </c>
      <c r="B192" s="10">
        <v>-14.109180909376596</v>
      </c>
      <c r="C192" s="10">
        <v>-11.500000000000005</v>
      </c>
      <c r="D192" s="10">
        <v>75</v>
      </c>
      <c r="E192" s="10">
        <v>3.1</v>
      </c>
      <c r="F192" s="10">
        <v>15</v>
      </c>
      <c r="G192" s="10">
        <v>2.2000000000000002</v>
      </c>
      <c r="H192" s="10">
        <v>4.7000000000000028</v>
      </c>
      <c r="I192" s="10">
        <v>33.6</v>
      </c>
      <c r="J192" s="10">
        <v>54.223666666666666</v>
      </c>
      <c r="K192" t="s">
        <v>81</v>
      </c>
      <c r="L192" t="s">
        <v>143</v>
      </c>
      <c r="M192" s="10">
        <v>-22.760000000000005</v>
      </c>
      <c r="N192" t="s">
        <v>143</v>
      </c>
    </row>
    <row r="193" spans="1:14" x14ac:dyDescent="0.2">
      <c r="A193" t="s">
        <v>333</v>
      </c>
      <c r="B193" s="10">
        <v>27.86905303149469</v>
      </c>
      <c r="C193" s="10">
        <v>30.340000000000007</v>
      </c>
      <c r="D193" s="10">
        <v>62.4</v>
      </c>
      <c r="E193" s="10">
        <v>3.4</v>
      </c>
      <c r="F193" s="10">
        <v>23.4</v>
      </c>
      <c r="G193" s="10">
        <v>4.5999999999999996</v>
      </c>
      <c r="H193" s="10">
        <v>6.2000000000000028</v>
      </c>
      <c r="I193" s="10">
        <v>45.2</v>
      </c>
      <c r="J193" s="10">
        <v>55.822666666666663</v>
      </c>
      <c r="K193" t="s">
        <v>77</v>
      </c>
      <c r="L193" t="s">
        <v>143</v>
      </c>
      <c r="M193" s="10">
        <v>19.080000000000005</v>
      </c>
      <c r="N193" t="s">
        <v>143</v>
      </c>
    </row>
    <row r="194" spans="1:14" x14ac:dyDescent="0.2">
      <c r="A194" t="s">
        <v>334</v>
      </c>
      <c r="B194" s="10">
        <v>30.865834812541809</v>
      </c>
      <c r="C194" s="10">
        <v>33.299999999999997</v>
      </c>
      <c r="D194" s="10">
        <v>60.6</v>
      </c>
      <c r="E194" s="10">
        <v>5.2</v>
      </c>
      <c r="F194" s="10">
        <v>18.3</v>
      </c>
      <c r="G194" s="10">
        <v>9</v>
      </c>
      <c r="H194" s="10">
        <v>6.8999999999999915</v>
      </c>
      <c r="I194" s="10">
        <v>51.7</v>
      </c>
      <c r="J194" s="10">
        <v>64.805999999999997</v>
      </c>
      <c r="K194" t="s">
        <v>77</v>
      </c>
      <c r="L194" t="s">
        <v>143</v>
      </c>
      <c r="M194" s="10">
        <v>22.04</v>
      </c>
      <c r="N194" t="s">
        <v>143</v>
      </c>
    </row>
    <row r="195" spans="1:14" x14ac:dyDescent="0.2">
      <c r="A195" t="s">
        <v>335</v>
      </c>
      <c r="B195" s="10">
        <v>89.365044892514035</v>
      </c>
      <c r="C195" s="10">
        <v>88.699999999999989</v>
      </c>
      <c r="D195" s="10">
        <v>12.3</v>
      </c>
      <c r="E195" s="10">
        <v>10.5</v>
      </c>
      <c r="F195" s="10">
        <v>68.599999999999994</v>
      </c>
      <c r="G195" s="10">
        <v>5.2</v>
      </c>
      <c r="H195" s="10">
        <v>3.4000000000000057</v>
      </c>
      <c r="I195" s="10">
        <v>32.5</v>
      </c>
      <c r="J195" s="10">
        <v>53.980333333333334</v>
      </c>
      <c r="K195" t="s">
        <v>77</v>
      </c>
      <c r="L195" t="s">
        <v>143</v>
      </c>
      <c r="M195" s="10">
        <v>77.44</v>
      </c>
      <c r="N195" t="s">
        <v>143</v>
      </c>
    </row>
    <row r="196" spans="1:14" x14ac:dyDescent="0.2">
      <c r="A196" t="s">
        <v>336</v>
      </c>
      <c r="B196" s="10">
        <v>42.529598013864529</v>
      </c>
      <c r="C196" s="10">
        <v>44.14</v>
      </c>
      <c r="D196" s="10">
        <v>45.7</v>
      </c>
      <c r="E196" s="10">
        <v>4.5</v>
      </c>
      <c r="F196" s="10">
        <v>42.6</v>
      </c>
      <c r="G196" s="10">
        <v>3</v>
      </c>
      <c r="H196" s="10">
        <v>4.1999999999999886</v>
      </c>
      <c r="I196" s="10">
        <v>40.700000000000003</v>
      </c>
      <c r="J196" s="10">
        <v>65.427999999999997</v>
      </c>
      <c r="K196" t="s">
        <v>77</v>
      </c>
      <c r="L196" t="s">
        <v>145</v>
      </c>
      <c r="M196" s="10">
        <v>33.29</v>
      </c>
      <c r="N196" t="s">
        <v>145</v>
      </c>
    </row>
    <row r="197" spans="1:14" x14ac:dyDescent="0.2">
      <c r="A197" t="s">
        <v>337</v>
      </c>
      <c r="B197" s="10">
        <v>15.226623037076884</v>
      </c>
      <c r="C197" s="10">
        <v>17.599999999999998</v>
      </c>
      <c r="D197" s="10">
        <v>63.6</v>
      </c>
      <c r="E197" s="10">
        <v>7.7</v>
      </c>
      <c r="F197" s="10">
        <v>13.3</v>
      </c>
      <c r="G197" s="10">
        <v>7.4</v>
      </c>
      <c r="H197" s="10">
        <v>8</v>
      </c>
      <c r="I197" s="10">
        <v>39.6</v>
      </c>
      <c r="J197" s="10">
        <v>57.013666666666666</v>
      </c>
      <c r="K197" t="s">
        <v>77</v>
      </c>
      <c r="L197" t="s">
        <v>143</v>
      </c>
      <c r="M197" s="10">
        <v>6.3399999999999963</v>
      </c>
      <c r="N197" t="s">
        <v>143</v>
      </c>
    </row>
    <row r="198" spans="1:14" x14ac:dyDescent="0.2">
      <c r="A198" t="s">
        <v>338</v>
      </c>
      <c r="B198" s="10">
        <v>77.683427092480983</v>
      </c>
      <c r="C198" s="10">
        <v>76.019999999999982</v>
      </c>
      <c r="D198" s="10">
        <v>32.5</v>
      </c>
      <c r="E198" s="10">
        <v>3.5</v>
      </c>
      <c r="F198" s="10">
        <v>57.9</v>
      </c>
      <c r="G198" s="10">
        <v>2.5</v>
      </c>
      <c r="H198" s="10">
        <v>3.5999999999999943</v>
      </c>
      <c r="I198" s="10">
        <v>31.3</v>
      </c>
      <c r="J198" s="10">
        <v>43.956666666666663</v>
      </c>
      <c r="K198" t="s">
        <v>77</v>
      </c>
      <c r="L198" t="s">
        <v>143</v>
      </c>
      <c r="M198" s="10">
        <v>64.759999999999991</v>
      </c>
      <c r="N198" t="s">
        <v>143</v>
      </c>
    </row>
    <row r="199" spans="1:14" x14ac:dyDescent="0.2">
      <c r="A199" t="s">
        <v>339</v>
      </c>
      <c r="B199" s="10">
        <v>67.839566938475485</v>
      </c>
      <c r="C199" s="10">
        <v>69.179999999999993</v>
      </c>
      <c r="D199" s="10">
        <v>46.9</v>
      </c>
      <c r="E199" s="10">
        <v>12.9</v>
      </c>
      <c r="F199" s="10">
        <v>17.3</v>
      </c>
      <c r="G199" s="10">
        <v>14.2</v>
      </c>
      <c r="H199" s="10">
        <v>8.7000000000000028</v>
      </c>
      <c r="I199" s="10">
        <v>63.1</v>
      </c>
      <c r="J199" s="10">
        <v>66.164666666666662</v>
      </c>
      <c r="K199" t="s">
        <v>77</v>
      </c>
      <c r="L199" t="s">
        <v>143</v>
      </c>
      <c r="M199" s="10">
        <v>57.919999999999995</v>
      </c>
      <c r="N199" t="s">
        <v>143</v>
      </c>
    </row>
    <row r="200" spans="1:14" x14ac:dyDescent="0.2">
      <c r="A200" t="s">
        <v>340</v>
      </c>
      <c r="B200" s="10">
        <v>31.736428826147019</v>
      </c>
      <c r="C200" s="10">
        <v>34.72</v>
      </c>
      <c r="D200" s="10">
        <v>91</v>
      </c>
      <c r="E200" s="10">
        <v>1.7</v>
      </c>
      <c r="F200" s="10">
        <v>1.3</v>
      </c>
      <c r="G200" s="10">
        <v>1.7</v>
      </c>
      <c r="H200" s="10">
        <v>4.2999999999999972</v>
      </c>
      <c r="I200" s="10">
        <v>41.3</v>
      </c>
      <c r="J200" s="10">
        <v>51.979333333333336</v>
      </c>
      <c r="K200" t="s">
        <v>77</v>
      </c>
      <c r="L200" t="s">
        <v>143</v>
      </c>
      <c r="M200" s="10">
        <v>23.46</v>
      </c>
      <c r="N200" t="s">
        <v>143</v>
      </c>
    </row>
    <row r="201" spans="1:14" x14ac:dyDescent="0.2">
      <c r="A201" t="s">
        <v>341</v>
      </c>
      <c r="B201" s="10">
        <v>0.93882787081202346</v>
      </c>
      <c r="C201" s="10">
        <v>1.7999999999999989</v>
      </c>
      <c r="D201" s="10">
        <v>92.3</v>
      </c>
      <c r="E201" s="10">
        <v>1.3</v>
      </c>
      <c r="F201" s="10">
        <v>1.1000000000000001</v>
      </c>
      <c r="G201" s="10">
        <v>0.8</v>
      </c>
      <c r="H201" s="10">
        <v>4.5</v>
      </c>
      <c r="I201" s="10">
        <v>26.9</v>
      </c>
      <c r="J201" s="10">
        <v>44.892000000000003</v>
      </c>
      <c r="K201" t="s">
        <v>77</v>
      </c>
      <c r="L201" t="s">
        <v>145</v>
      </c>
      <c r="M201" s="10">
        <v>-9.0500000000000007</v>
      </c>
      <c r="N201" t="s">
        <v>145</v>
      </c>
    </row>
    <row r="202" spans="1:14" x14ac:dyDescent="0.2">
      <c r="A202" t="s">
        <v>342</v>
      </c>
      <c r="B202" s="10">
        <v>-11.939934587745505</v>
      </c>
      <c r="C202" s="10">
        <v>-10.620000000000003</v>
      </c>
      <c r="D202" s="10">
        <v>90.9</v>
      </c>
      <c r="E202" s="10">
        <v>1.6</v>
      </c>
      <c r="F202" s="10">
        <v>1.6</v>
      </c>
      <c r="G202" s="10">
        <v>0.7</v>
      </c>
      <c r="H202" s="10">
        <v>5.1999999999999886</v>
      </c>
      <c r="I202" s="10">
        <v>26.5</v>
      </c>
      <c r="J202" s="10">
        <v>45.292333333333332</v>
      </c>
      <c r="K202" t="s">
        <v>81</v>
      </c>
      <c r="L202" t="s">
        <v>143</v>
      </c>
      <c r="M202" s="10">
        <v>-21.880000000000003</v>
      </c>
      <c r="N202" t="s">
        <v>143</v>
      </c>
    </row>
    <row r="203" spans="1:14" x14ac:dyDescent="0.2">
      <c r="A203" t="s">
        <v>343</v>
      </c>
      <c r="B203" s="10">
        <v>-24.355633301853189</v>
      </c>
      <c r="C203" s="10">
        <v>-23.279999999999998</v>
      </c>
      <c r="D203" s="10">
        <v>89.2</v>
      </c>
      <c r="E203" s="10">
        <v>3.2</v>
      </c>
      <c r="F203" s="10">
        <v>2.9</v>
      </c>
      <c r="G203" s="10">
        <v>0.6</v>
      </c>
      <c r="H203" s="10">
        <v>4.0999999999999943</v>
      </c>
      <c r="I203" s="10">
        <v>21.2</v>
      </c>
      <c r="J203" s="10">
        <v>45.343333333333334</v>
      </c>
      <c r="K203" t="s">
        <v>81</v>
      </c>
      <c r="L203" t="s">
        <v>143</v>
      </c>
      <c r="M203" s="10">
        <v>-34.54</v>
      </c>
      <c r="N203" t="s">
        <v>143</v>
      </c>
    </row>
    <row r="204" spans="1:14" x14ac:dyDescent="0.2">
      <c r="A204" t="s">
        <v>344</v>
      </c>
      <c r="B204" s="10">
        <v>20.049442187576464</v>
      </c>
      <c r="C204" s="10">
        <v>21.399999999999995</v>
      </c>
      <c r="D204" s="10">
        <v>74</v>
      </c>
      <c r="E204" s="10">
        <v>6.6</v>
      </c>
      <c r="F204" s="10">
        <v>11.1</v>
      </c>
      <c r="G204" s="10">
        <v>2.4</v>
      </c>
      <c r="H204" s="10">
        <v>5.9000000000000057</v>
      </c>
      <c r="I204" s="10">
        <v>36.700000000000003</v>
      </c>
      <c r="J204" s="10">
        <v>49.191333333333333</v>
      </c>
      <c r="K204" t="s">
        <v>77</v>
      </c>
      <c r="L204" t="s">
        <v>143</v>
      </c>
      <c r="M204" s="10">
        <v>10.139999999999993</v>
      </c>
      <c r="N204" t="s">
        <v>143</v>
      </c>
    </row>
    <row r="205" spans="1:14" x14ac:dyDescent="0.2">
      <c r="A205" t="s">
        <v>345</v>
      </c>
      <c r="B205" s="10">
        <v>-1.9329051402317845</v>
      </c>
      <c r="C205" s="10">
        <v>-0.64000000000000612</v>
      </c>
      <c r="D205" s="10">
        <v>78.400000000000006</v>
      </c>
      <c r="E205" s="10">
        <v>5.8</v>
      </c>
      <c r="F205" s="10">
        <v>8.8000000000000007</v>
      </c>
      <c r="G205" s="10">
        <v>2.1</v>
      </c>
      <c r="H205" s="10">
        <v>4.8999999999999915</v>
      </c>
      <c r="I205" s="10">
        <v>31.7</v>
      </c>
      <c r="J205" s="10">
        <v>48.362000000000002</v>
      </c>
      <c r="K205" t="s">
        <v>81</v>
      </c>
      <c r="L205" t="s">
        <v>143</v>
      </c>
      <c r="M205" s="10">
        <v>-11.900000000000006</v>
      </c>
      <c r="N205" t="s">
        <v>143</v>
      </c>
    </row>
    <row r="206" spans="1:14" x14ac:dyDescent="0.2">
      <c r="A206" t="s">
        <v>346</v>
      </c>
      <c r="B206" s="10">
        <v>-23.388752732335412</v>
      </c>
      <c r="C206" s="10">
        <v>-22.179999999999996</v>
      </c>
      <c r="D206" s="10">
        <v>86.6</v>
      </c>
      <c r="E206" s="10">
        <v>3.6</v>
      </c>
      <c r="F206" s="10">
        <v>4.5</v>
      </c>
      <c r="G206" s="10">
        <v>0.8</v>
      </c>
      <c r="H206" s="10">
        <v>4.5</v>
      </c>
      <c r="I206" s="10">
        <v>22.9</v>
      </c>
      <c r="J206" s="10">
        <v>46.355666666666664</v>
      </c>
      <c r="K206" t="s">
        <v>81</v>
      </c>
      <c r="L206" t="s">
        <v>143</v>
      </c>
      <c r="M206" s="10">
        <v>-33.44</v>
      </c>
      <c r="N206" t="s">
        <v>143</v>
      </c>
    </row>
    <row r="207" spans="1:14" x14ac:dyDescent="0.2">
      <c r="A207" t="s">
        <v>347</v>
      </c>
      <c r="B207" s="10">
        <v>36.674171019654636</v>
      </c>
      <c r="C207" s="10">
        <v>39.119999999999997</v>
      </c>
      <c r="D207" s="10">
        <v>71.5</v>
      </c>
      <c r="E207" s="10">
        <v>3.6</v>
      </c>
      <c r="F207" s="10">
        <v>11.2</v>
      </c>
      <c r="G207" s="10">
        <v>7.3</v>
      </c>
      <c r="H207" s="10">
        <v>6.4000000000000057</v>
      </c>
      <c r="I207" s="10">
        <v>51.1</v>
      </c>
      <c r="J207" s="10">
        <v>54.424999999999997</v>
      </c>
      <c r="K207" t="s">
        <v>77</v>
      </c>
      <c r="L207" t="s">
        <v>143</v>
      </c>
      <c r="M207" s="10">
        <v>27.86</v>
      </c>
      <c r="N207" t="s">
        <v>143</v>
      </c>
    </row>
    <row r="208" spans="1:14" x14ac:dyDescent="0.2">
      <c r="A208" t="s">
        <v>348</v>
      </c>
      <c r="B208" s="10">
        <v>5.5113007635391238</v>
      </c>
      <c r="C208" s="10">
        <v>7.4199999999999964</v>
      </c>
      <c r="D208" s="10">
        <v>82</v>
      </c>
      <c r="E208" s="10">
        <v>4.5</v>
      </c>
      <c r="F208" s="10">
        <v>6</v>
      </c>
      <c r="G208" s="10">
        <v>2.2000000000000002</v>
      </c>
      <c r="H208" s="10">
        <v>5.2999999999999972</v>
      </c>
      <c r="I208" s="10">
        <v>36.299999999999997</v>
      </c>
      <c r="J208" s="10">
        <v>49.801333333333332</v>
      </c>
      <c r="K208" t="s">
        <v>81</v>
      </c>
      <c r="L208" t="s">
        <v>143</v>
      </c>
      <c r="M208" s="10">
        <v>-3.8400000000000034</v>
      </c>
      <c r="N208" t="s">
        <v>143</v>
      </c>
    </row>
    <row r="209" spans="1:14" x14ac:dyDescent="0.2">
      <c r="A209" t="s">
        <v>349</v>
      </c>
      <c r="B209" s="10">
        <v>17.978385331011619</v>
      </c>
      <c r="C209" s="10">
        <v>18.179999999999996</v>
      </c>
      <c r="D209" s="10">
        <v>76.2</v>
      </c>
      <c r="E209" s="10">
        <v>4.2</v>
      </c>
      <c r="F209" s="10">
        <v>15</v>
      </c>
      <c r="G209" s="10">
        <v>1.1000000000000001</v>
      </c>
      <c r="H209" s="10">
        <v>3.5</v>
      </c>
      <c r="I209" s="10">
        <v>23.9</v>
      </c>
      <c r="J209" s="10">
        <v>44.175333333333334</v>
      </c>
      <c r="K209" t="s">
        <v>77</v>
      </c>
      <c r="L209" t="s">
        <v>143</v>
      </c>
      <c r="M209" s="10">
        <v>6.9199999999999946</v>
      </c>
      <c r="N209" t="s">
        <v>143</v>
      </c>
    </row>
    <row r="210" spans="1:14" x14ac:dyDescent="0.2">
      <c r="A210" t="s">
        <v>350</v>
      </c>
      <c r="B210" s="10">
        <v>-29.916941660360052</v>
      </c>
      <c r="C210" s="10">
        <v>-27.439999999999994</v>
      </c>
      <c r="D210" s="10">
        <v>89.6</v>
      </c>
      <c r="E210" s="10">
        <v>2.8</v>
      </c>
      <c r="F210" s="10">
        <v>3.1</v>
      </c>
      <c r="G210" s="10">
        <v>1.2</v>
      </c>
      <c r="H210" s="10">
        <v>3.3000000000000114</v>
      </c>
      <c r="I210" s="10">
        <v>28.1</v>
      </c>
      <c r="J210" s="10">
        <v>51.152000000000001</v>
      </c>
      <c r="K210" t="s">
        <v>81</v>
      </c>
      <c r="L210" t="s">
        <v>143</v>
      </c>
      <c r="M210" s="10">
        <v>-38.699999999999996</v>
      </c>
      <c r="N210" t="s">
        <v>143</v>
      </c>
    </row>
    <row r="211" spans="1:14" x14ac:dyDescent="0.2">
      <c r="A211" t="s">
        <v>351</v>
      </c>
      <c r="B211" s="10">
        <v>3.5405109909469772</v>
      </c>
      <c r="C211" s="10">
        <v>4.3</v>
      </c>
      <c r="D211" s="10">
        <v>75.7</v>
      </c>
      <c r="E211" s="10">
        <v>2.1</v>
      </c>
      <c r="F211" s="10">
        <v>13.4</v>
      </c>
      <c r="G211" s="10">
        <v>5.0999999999999996</v>
      </c>
      <c r="H211" s="10">
        <v>3.7000000000000028</v>
      </c>
      <c r="I211" s="10">
        <v>29.3</v>
      </c>
      <c r="J211" s="10">
        <v>48.978666666666669</v>
      </c>
      <c r="K211" t="s">
        <v>81</v>
      </c>
      <c r="L211" t="s">
        <v>145</v>
      </c>
      <c r="M211" s="10">
        <v>-6.55</v>
      </c>
      <c r="N211" t="s">
        <v>145</v>
      </c>
    </row>
    <row r="212" spans="1:14" x14ac:dyDescent="0.2">
      <c r="A212" t="s">
        <v>352</v>
      </c>
      <c r="B212" s="10">
        <v>25.006512274208177</v>
      </c>
      <c r="C212" s="10">
        <v>26.93</v>
      </c>
      <c r="D212" s="10">
        <v>70.900000000000006</v>
      </c>
      <c r="E212" s="10">
        <v>3.4</v>
      </c>
      <c r="F212" s="10">
        <v>14.4</v>
      </c>
      <c r="G212" s="10">
        <v>5.9</v>
      </c>
      <c r="H212" s="10">
        <v>5.3999999999999915</v>
      </c>
      <c r="I212" s="10">
        <v>49.6</v>
      </c>
      <c r="J212" s="10">
        <v>53.792999999999999</v>
      </c>
      <c r="K212" t="s">
        <v>77</v>
      </c>
      <c r="L212" t="s">
        <v>145</v>
      </c>
      <c r="M212" s="10">
        <v>16.079999999999998</v>
      </c>
      <c r="N212" t="s">
        <v>145</v>
      </c>
    </row>
    <row r="213" spans="1:14" x14ac:dyDescent="0.2">
      <c r="A213" t="s">
        <v>353</v>
      </c>
      <c r="B213" s="10">
        <v>58.972345750087193</v>
      </c>
      <c r="C213" s="10">
        <v>57.78</v>
      </c>
      <c r="D213" s="10">
        <v>47.5</v>
      </c>
      <c r="E213" s="10">
        <v>2.4</v>
      </c>
      <c r="F213" s="10">
        <v>46.5</v>
      </c>
      <c r="G213" s="10">
        <v>1.7</v>
      </c>
      <c r="H213" s="10">
        <v>1.9000000000000057</v>
      </c>
      <c r="I213" s="10">
        <v>26.4</v>
      </c>
      <c r="J213" s="10">
        <v>43.272666666666666</v>
      </c>
      <c r="K213" t="s">
        <v>77</v>
      </c>
      <c r="L213" t="s">
        <v>143</v>
      </c>
      <c r="M213" s="10">
        <v>46.52</v>
      </c>
      <c r="N213" t="s">
        <v>143</v>
      </c>
    </row>
    <row r="214" spans="1:14" x14ac:dyDescent="0.2">
      <c r="A214" t="s">
        <v>354</v>
      </c>
      <c r="B214" s="10">
        <v>54.232604782393977</v>
      </c>
      <c r="C214" s="10">
        <v>51.910000000000004</v>
      </c>
      <c r="D214" s="10">
        <v>39.5</v>
      </c>
      <c r="E214" s="10">
        <v>6.3</v>
      </c>
      <c r="F214" s="10">
        <v>48.6</v>
      </c>
      <c r="G214" s="10">
        <v>2.2000000000000002</v>
      </c>
      <c r="H214" s="10">
        <v>3.4000000000000057</v>
      </c>
      <c r="I214" s="10">
        <v>21.4</v>
      </c>
      <c r="J214" s="10">
        <v>40.926000000000002</v>
      </c>
      <c r="K214" t="s">
        <v>77</v>
      </c>
      <c r="L214" t="s">
        <v>145</v>
      </c>
      <c r="M214" s="10">
        <v>41.06</v>
      </c>
      <c r="N214" t="s">
        <v>145</v>
      </c>
    </row>
    <row r="215" spans="1:14" x14ac:dyDescent="0.2">
      <c r="A215" t="s">
        <v>355</v>
      </c>
      <c r="B215" s="10">
        <v>-7.7924848344865074</v>
      </c>
      <c r="C215" s="10">
        <v>-5.8400000000000087</v>
      </c>
      <c r="D215" s="10">
        <v>85.6</v>
      </c>
      <c r="E215" s="10">
        <v>3.9</v>
      </c>
      <c r="F215" s="10">
        <v>2.7</v>
      </c>
      <c r="G215" s="10">
        <v>2.4</v>
      </c>
      <c r="H215" s="10">
        <v>5.4000000000000057</v>
      </c>
      <c r="I215" s="10">
        <v>31.3</v>
      </c>
      <c r="J215" s="10">
        <v>49.608666666666664</v>
      </c>
      <c r="K215" t="s">
        <v>81</v>
      </c>
      <c r="L215" t="s">
        <v>143</v>
      </c>
      <c r="M215" s="10">
        <v>-17.100000000000009</v>
      </c>
      <c r="N215" t="s">
        <v>143</v>
      </c>
    </row>
    <row r="216" spans="1:14" x14ac:dyDescent="0.2">
      <c r="A216" t="s">
        <v>356</v>
      </c>
      <c r="B216" s="10">
        <v>13.660561802208491</v>
      </c>
      <c r="C216" s="10">
        <v>16.68</v>
      </c>
      <c r="D216" s="10">
        <v>79</v>
      </c>
      <c r="E216" s="10">
        <v>4.3</v>
      </c>
      <c r="F216" s="10">
        <v>5.4</v>
      </c>
      <c r="G216" s="10">
        <v>4.8</v>
      </c>
      <c r="H216" s="10">
        <v>6.5</v>
      </c>
      <c r="I216" s="10">
        <v>42.5</v>
      </c>
      <c r="J216" s="10">
        <v>58.714666666666666</v>
      </c>
      <c r="K216" t="s">
        <v>77</v>
      </c>
      <c r="L216" t="s">
        <v>145</v>
      </c>
      <c r="M216" s="10">
        <v>5.83</v>
      </c>
      <c r="N216" t="s">
        <v>145</v>
      </c>
    </row>
    <row r="217" spans="1:14" x14ac:dyDescent="0.2">
      <c r="A217" t="s">
        <v>357</v>
      </c>
      <c r="B217" s="10">
        <v>24.923363820776682</v>
      </c>
      <c r="C217" s="10">
        <v>28.26</v>
      </c>
      <c r="D217" s="10">
        <v>75.8</v>
      </c>
      <c r="E217" s="10">
        <v>2.7</v>
      </c>
      <c r="F217" s="10">
        <v>7.7</v>
      </c>
      <c r="G217" s="10">
        <v>6.9</v>
      </c>
      <c r="H217" s="10">
        <v>6.9000000000000057</v>
      </c>
      <c r="I217" s="10">
        <v>50.4</v>
      </c>
      <c r="J217" s="10">
        <v>58.62233333333333</v>
      </c>
      <c r="K217" t="s">
        <v>77</v>
      </c>
      <c r="L217" t="s">
        <v>143</v>
      </c>
      <c r="M217" s="10">
        <v>17</v>
      </c>
      <c r="N217" t="s">
        <v>143</v>
      </c>
    </row>
    <row r="218" spans="1:14" x14ac:dyDescent="0.2">
      <c r="A218" t="s">
        <v>358</v>
      </c>
      <c r="B218" s="10">
        <v>44.505301464667674</v>
      </c>
      <c r="C218" s="10">
        <v>45.999999999999993</v>
      </c>
      <c r="D218" s="10">
        <v>67.900000000000006</v>
      </c>
      <c r="E218" s="10">
        <v>4.5</v>
      </c>
      <c r="F218" s="10">
        <v>9.5</v>
      </c>
      <c r="G218" s="10">
        <v>10.6</v>
      </c>
      <c r="H218" s="10">
        <v>7.5</v>
      </c>
      <c r="I218" s="10">
        <v>46.6</v>
      </c>
      <c r="J218" s="10">
        <v>52.379333333333335</v>
      </c>
      <c r="K218" t="s">
        <v>77</v>
      </c>
      <c r="L218" t="s">
        <v>143</v>
      </c>
      <c r="M218" s="10">
        <v>34.739999999999995</v>
      </c>
      <c r="N218" t="s">
        <v>143</v>
      </c>
    </row>
    <row r="219" spans="1:14" x14ac:dyDescent="0.2">
      <c r="A219" t="s">
        <v>359</v>
      </c>
      <c r="B219" s="10">
        <v>60.120347248569722</v>
      </c>
      <c r="C219" s="10">
        <v>61.6</v>
      </c>
      <c r="D219" s="10">
        <v>65.400000000000006</v>
      </c>
      <c r="E219" s="10">
        <v>5.5</v>
      </c>
      <c r="F219" s="10">
        <v>15.2</v>
      </c>
      <c r="G219" s="10">
        <v>5</v>
      </c>
      <c r="H219" s="10">
        <v>8.8999999999999915</v>
      </c>
      <c r="I219" s="10">
        <v>49.7</v>
      </c>
      <c r="J219" s="10">
        <v>50.790666666666667</v>
      </c>
      <c r="K219" t="s">
        <v>77</v>
      </c>
      <c r="L219" t="s">
        <v>143</v>
      </c>
      <c r="M219" s="10">
        <v>50.34</v>
      </c>
      <c r="N219" t="s">
        <v>143</v>
      </c>
    </row>
    <row r="220" spans="1:14" x14ac:dyDescent="0.2">
      <c r="A220" t="s">
        <v>360</v>
      </c>
      <c r="B220" s="10">
        <v>-17.551375244728714</v>
      </c>
      <c r="C220" s="10">
        <v>-13.799999999999995</v>
      </c>
      <c r="D220" s="10">
        <v>86.8</v>
      </c>
      <c r="E220" s="10">
        <v>2.2000000000000002</v>
      </c>
      <c r="F220" s="10">
        <v>3.6</v>
      </c>
      <c r="G220" s="10">
        <v>2.8</v>
      </c>
      <c r="H220" s="10">
        <v>4.6000000000000085</v>
      </c>
      <c r="I220" s="10">
        <v>34.5</v>
      </c>
      <c r="J220" s="10">
        <v>56.976666666666667</v>
      </c>
      <c r="K220" t="s">
        <v>81</v>
      </c>
      <c r="L220" t="s">
        <v>143</v>
      </c>
      <c r="M220" s="10">
        <v>-25.059999999999995</v>
      </c>
      <c r="N220" t="s">
        <v>143</v>
      </c>
    </row>
    <row r="221" spans="1:14" x14ac:dyDescent="0.2">
      <c r="A221" t="s">
        <v>361</v>
      </c>
      <c r="B221" s="10">
        <v>-31.690023945201247</v>
      </c>
      <c r="C221" s="10">
        <v>-29.780000000000005</v>
      </c>
      <c r="D221" s="10">
        <v>90.6</v>
      </c>
      <c r="E221" s="10">
        <v>2.9</v>
      </c>
      <c r="F221" s="10">
        <v>1.3</v>
      </c>
      <c r="G221" s="10">
        <v>0.9</v>
      </c>
      <c r="H221" s="10">
        <v>4.3000000000000114</v>
      </c>
      <c r="I221" s="10">
        <v>23.7</v>
      </c>
      <c r="J221" s="10">
        <v>48.557333333333332</v>
      </c>
      <c r="K221" t="s">
        <v>81</v>
      </c>
      <c r="L221" t="s">
        <v>143</v>
      </c>
      <c r="M221" s="10">
        <v>-41.040000000000006</v>
      </c>
      <c r="N221" t="s">
        <v>143</v>
      </c>
    </row>
    <row r="222" spans="1:14" x14ac:dyDescent="0.2">
      <c r="A222" t="s">
        <v>362</v>
      </c>
      <c r="B222" s="10">
        <v>-6.8124823300985575</v>
      </c>
      <c r="C222" s="10">
        <v>-4.8200000000000127</v>
      </c>
      <c r="D222" s="10">
        <v>89.3</v>
      </c>
      <c r="E222" s="10">
        <v>1.5</v>
      </c>
      <c r="F222" s="10">
        <v>1.3</v>
      </c>
      <c r="G222" s="10">
        <v>1</v>
      </c>
      <c r="H222" s="10">
        <v>6.9000000000000057</v>
      </c>
      <c r="I222" s="10">
        <v>26.8</v>
      </c>
      <c r="J222" s="10">
        <v>48.289333333333332</v>
      </c>
      <c r="K222" t="s">
        <v>81</v>
      </c>
      <c r="L222" t="s">
        <v>143</v>
      </c>
      <c r="M222" s="10">
        <v>-16.080000000000013</v>
      </c>
      <c r="N222" t="s">
        <v>143</v>
      </c>
    </row>
    <row r="223" spans="1:14" x14ac:dyDescent="0.2">
      <c r="A223" t="s">
        <v>363</v>
      </c>
      <c r="B223" s="10">
        <v>73.258037112057565</v>
      </c>
      <c r="C223" s="10">
        <v>72.299999999999983</v>
      </c>
      <c r="D223" s="10">
        <v>44.3</v>
      </c>
      <c r="E223" s="10">
        <v>2.5</v>
      </c>
      <c r="F223" s="10">
        <v>46.1</v>
      </c>
      <c r="G223" s="10">
        <v>2.5</v>
      </c>
      <c r="H223" s="10">
        <v>4.5999999999999943</v>
      </c>
      <c r="I223" s="10">
        <v>36.200000000000003</v>
      </c>
      <c r="J223" s="10">
        <v>44.253999999999998</v>
      </c>
      <c r="K223" t="s">
        <v>77</v>
      </c>
      <c r="L223" t="s">
        <v>143</v>
      </c>
      <c r="M223" s="10">
        <v>61.039999999999992</v>
      </c>
      <c r="N223" t="s">
        <v>143</v>
      </c>
    </row>
    <row r="224" spans="1:14" x14ac:dyDescent="0.2">
      <c r="A224" t="s">
        <v>364</v>
      </c>
      <c r="B224" s="10">
        <v>-5.0854661293588759</v>
      </c>
      <c r="C224" s="10">
        <v>-1.0999999999999999</v>
      </c>
      <c r="D224" s="10">
        <v>86</v>
      </c>
      <c r="E224" s="10">
        <v>2</v>
      </c>
      <c r="F224" s="10">
        <v>3.3</v>
      </c>
      <c r="G224" s="10">
        <v>3.4</v>
      </c>
      <c r="H224" s="10">
        <v>5.2999999999999972</v>
      </c>
      <c r="I224" s="10">
        <v>48.7</v>
      </c>
      <c r="J224" s="10">
        <v>57.305</v>
      </c>
      <c r="K224" t="s">
        <v>81</v>
      </c>
      <c r="L224" t="s">
        <v>143</v>
      </c>
      <c r="M224" s="10">
        <v>-12.36</v>
      </c>
      <c r="N224" t="s">
        <v>143</v>
      </c>
    </row>
    <row r="225" spans="1:14" x14ac:dyDescent="0.2">
      <c r="A225" t="s">
        <v>365</v>
      </c>
      <c r="B225" s="10">
        <v>-17.906443876284932</v>
      </c>
      <c r="C225" s="10">
        <v>-15.660000000000007</v>
      </c>
      <c r="D225" s="10">
        <v>86.2</v>
      </c>
      <c r="E225" s="10">
        <v>2.1</v>
      </c>
      <c r="F225" s="10">
        <v>5.4</v>
      </c>
      <c r="G225" s="10">
        <v>1.7</v>
      </c>
      <c r="H225" s="10">
        <v>4.5999999999999943</v>
      </c>
      <c r="I225" s="10">
        <v>34.5</v>
      </c>
      <c r="J225" s="10">
        <v>50.159333333333336</v>
      </c>
      <c r="K225" t="s">
        <v>81</v>
      </c>
      <c r="L225" t="s">
        <v>143</v>
      </c>
      <c r="M225" s="10">
        <v>-26.920000000000009</v>
      </c>
      <c r="N225" t="s">
        <v>143</v>
      </c>
    </row>
    <row r="226" spans="1:14" x14ac:dyDescent="0.2">
      <c r="A226" t="s">
        <v>366</v>
      </c>
      <c r="B226" s="10">
        <v>-35.62729390539927</v>
      </c>
      <c r="C226" s="10">
        <v>-34.56</v>
      </c>
      <c r="D226" s="10">
        <v>85.2</v>
      </c>
      <c r="E226" s="10">
        <v>3.5</v>
      </c>
      <c r="F226" s="10">
        <v>4.4000000000000004</v>
      </c>
      <c r="G226" s="10">
        <v>1</v>
      </c>
      <c r="H226" s="10">
        <v>5.8999999999999915</v>
      </c>
      <c r="I226" s="10">
        <v>24.1</v>
      </c>
      <c r="J226" s="10">
        <v>45.737666666666669</v>
      </c>
      <c r="K226" t="s">
        <v>81</v>
      </c>
      <c r="L226" t="s">
        <v>143</v>
      </c>
      <c r="M226" s="10">
        <v>-45.82</v>
      </c>
      <c r="N226" t="s">
        <v>143</v>
      </c>
    </row>
    <row r="227" spans="1:14" x14ac:dyDescent="0.2">
      <c r="A227" t="s">
        <v>367</v>
      </c>
      <c r="B227" s="10">
        <v>35.883590127380316</v>
      </c>
      <c r="C227" s="10">
        <v>35.859999999999992</v>
      </c>
      <c r="D227" s="10">
        <v>61.9</v>
      </c>
      <c r="E227" s="10">
        <v>6.1</v>
      </c>
      <c r="F227" s="10">
        <v>22.8</v>
      </c>
      <c r="G227" s="10">
        <v>2</v>
      </c>
      <c r="H227" s="10">
        <v>7.2000000000000028</v>
      </c>
      <c r="I227" s="10">
        <v>33.200000000000003</v>
      </c>
      <c r="J227" s="10">
        <v>45.394666666666666</v>
      </c>
      <c r="K227" t="s">
        <v>77</v>
      </c>
      <c r="L227" t="s">
        <v>143</v>
      </c>
      <c r="M227" s="10">
        <v>24.599999999999994</v>
      </c>
      <c r="N227" t="s">
        <v>143</v>
      </c>
    </row>
    <row r="228" spans="1:14" x14ac:dyDescent="0.2">
      <c r="A228" t="s">
        <v>368</v>
      </c>
      <c r="B228" s="10">
        <v>-29.041368750688278</v>
      </c>
      <c r="C228" s="10">
        <v>-28</v>
      </c>
      <c r="D228" s="10">
        <v>87.8</v>
      </c>
      <c r="E228" s="10">
        <v>2.9</v>
      </c>
      <c r="F228" s="10">
        <v>4</v>
      </c>
      <c r="G228" s="10">
        <v>1.2</v>
      </c>
      <c r="H228" s="10">
        <v>4.1000000000000085</v>
      </c>
      <c r="I228" s="10">
        <v>25.8</v>
      </c>
      <c r="J228" s="10">
        <v>47.058666666666667</v>
      </c>
      <c r="K228" t="s">
        <v>81</v>
      </c>
      <c r="L228" t="s">
        <v>145</v>
      </c>
      <c r="M228" s="10">
        <v>-38.85</v>
      </c>
      <c r="N228" t="s">
        <v>145</v>
      </c>
    </row>
    <row r="229" spans="1:14" x14ac:dyDescent="0.2">
      <c r="A229" t="s">
        <v>369</v>
      </c>
      <c r="B229" s="10">
        <v>-35.725297382035478</v>
      </c>
      <c r="C229" s="10">
        <v>-35.020000000000003</v>
      </c>
      <c r="D229" s="10">
        <v>85</v>
      </c>
      <c r="E229" s="10">
        <v>3.4</v>
      </c>
      <c r="F229" s="10">
        <v>2.2999999999999998</v>
      </c>
      <c r="G229" s="10">
        <v>1.4</v>
      </c>
      <c r="H229" s="10">
        <v>7.9000000000000057</v>
      </c>
      <c r="I229" s="10">
        <v>26.5</v>
      </c>
      <c r="J229" s="10">
        <v>43.806333333333335</v>
      </c>
      <c r="K229" t="s">
        <v>81</v>
      </c>
      <c r="L229" t="s">
        <v>143</v>
      </c>
      <c r="M229" s="10">
        <v>-46.28</v>
      </c>
      <c r="N229" t="s">
        <v>143</v>
      </c>
    </row>
    <row r="230" spans="1:14" x14ac:dyDescent="0.2">
      <c r="A230" t="s">
        <v>370</v>
      </c>
      <c r="B230" s="10">
        <v>-44.763763513529625</v>
      </c>
      <c r="C230" s="10">
        <v>-44.22</v>
      </c>
      <c r="D230" s="10">
        <v>88.3</v>
      </c>
      <c r="E230" s="10">
        <v>1.7</v>
      </c>
      <c r="F230" s="10">
        <v>4.3</v>
      </c>
      <c r="G230" s="10">
        <v>0.8</v>
      </c>
      <c r="H230" s="10">
        <v>4.9000000000000057</v>
      </c>
      <c r="I230" s="10">
        <v>19.8</v>
      </c>
      <c r="J230" s="10">
        <v>42.967666666666666</v>
      </c>
      <c r="K230" t="s">
        <v>81</v>
      </c>
      <c r="L230" t="s">
        <v>143</v>
      </c>
      <c r="M230" s="10">
        <v>-55.48</v>
      </c>
      <c r="N230" t="s">
        <v>143</v>
      </c>
    </row>
    <row r="231" spans="1:14" x14ac:dyDescent="0.2">
      <c r="A231" t="s">
        <v>371</v>
      </c>
      <c r="B231" s="10">
        <v>-28.180734484225461</v>
      </c>
      <c r="C231" s="10">
        <v>-28.360000000000003</v>
      </c>
      <c r="D231" s="10">
        <v>66.900000000000006</v>
      </c>
      <c r="E231" s="10">
        <v>1.9</v>
      </c>
      <c r="F231" s="10">
        <v>27.9</v>
      </c>
      <c r="G231" s="10">
        <v>0.8</v>
      </c>
      <c r="H231" s="10">
        <v>2.5</v>
      </c>
      <c r="I231" s="10">
        <v>23</v>
      </c>
      <c r="J231" s="10">
        <v>43.957000000000001</v>
      </c>
      <c r="K231" t="s">
        <v>81</v>
      </c>
      <c r="L231" t="s">
        <v>143</v>
      </c>
      <c r="M231" s="10">
        <v>-39.620000000000005</v>
      </c>
      <c r="N231" t="s">
        <v>143</v>
      </c>
    </row>
    <row r="232" spans="1:14" x14ac:dyDescent="0.2">
      <c r="A232" t="s">
        <v>372</v>
      </c>
      <c r="B232" s="10">
        <v>37.166141258295099</v>
      </c>
      <c r="C232" s="10">
        <v>35.29999999999999</v>
      </c>
      <c r="D232" s="10">
        <v>34.299999999999997</v>
      </c>
      <c r="E232" s="10">
        <v>1.3</v>
      </c>
      <c r="F232" s="10">
        <v>63.7</v>
      </c>
      <c r="G232" s="10">
        <v>0.4</v>
      </c>
      <c r="H232" s="10">
        <v>0.29999999999999716</v>
      </c>
      <c r="I232" s="10">
        <v>21.1</v>
      </c>
      <c r="J232" s="10">
        <v>38.510666666666665</v>
      </c>
      <c r="K232" t="s">
        <v>77</v>
      </c>
      <c r="L232" t="s">
        <v>143</v>
      </c>
      <c r="M232" s="10">
        <v>24.039999999999992</v>
      </c>
      <c r="N232" t="s">
        <v>143</v>
      </c>
    </row>
    <row r="233" spans="1:14" x14ac:dyDescent="0.2">
      <c r="A233" t="s">
        <v>373</v>
      </c>
      <c r="B233" s="10">
        <v>-17.680391568759873</v>
      </c>
      <c r="C233" s="10">
        <v>-18.039999999999988</v>
      </c>
      <c r="D233" s="10">
        <v>61.6</v>
      </c>
      <c r="E233" s="10">
        <v>1.3</v>
      </c>
      <c r="F233" s="10">
        <v>34.1</v>
      </c>
      <c r="G233" s="10">
        <v>0.8</v>
      </c>
      <c r="H233" s="10">
        <v>2.2000000000000028</v>
      </c>
      <c r="I233" s="10">
        <v>27.9</v>
      </c>
      <c r="J233" s="10">
        <v>43.736333333333334</v>
      </c>
      <c r="K233" t="s">
        <v>81</v>
      </c>
      <c r="L233" t="s">
        <v>143</v>
      </c>
      <c r="M233" s="10">
        <v>-29.29999999999999</v>
      </c>
      <c r="N233" t="s">
        <v>143</v>
      </c>
    </row>
    <row r="234" spans="1:14" x14ac:dyDescent="0.2">
      <c r="A234" t="s">
        <v>374</v>
      </c>
      <c r="B234" s="10">
        <v>-36.516598902028505</v>
      </c>
      <c r="C234" s="10">
        <v>-36.640000000000008</v>
      </c>
      <c r="D234" s="10">
        <v>68.2</v>
      </c>
      <c r="E234" s="10">
        <v>3.2</v>
      </c>
      <c r="F234" s="10">
        <v>22.6</v>
      </c>
      <c r="G234" s="10">
        <v>1.6</v>
      </c>
      <c r="H234" s="10">
        <v>4.3999999999999915</v>
      </c>
      <c r="I234" s="10">
        <v>23.5</v>
      </c>
      <c r="J234" s="10">
        <v>44.153333333333336</v>
      </c>
      <c r="K234" t="s">
        <v>81</v>
      </c>
      <c r="L234" t="s">
        <v>143</v>
      </c>
      <c r="M234" s="10">
        <v>-47.900000000000006</v>
      </c>
      <c r="N234" t="s">
        <v>143</v>
      </c>
    </row>
    <row r="235" spans="1:14" x14ac:dyDescent="0.2">
      <c r="A235" t="s">
        <v>375</v>
      </c>
      <c r="B235" s="10">
        <v>-2.037181062828997</v>
      </c>
      <c r="C235" s="10">
        <v>-0.70000000000000107</v>
      </c>
      <c r="D235" s="10">
        <v>86.7</v>
      </c>
      <c r="E235" s="10">
        <v>3.1</v>
      </c>
      <c r="F235" s="10">
        <v>0.5</v>
      </c>
      <c r="G235" s="10">
        <v>1.1000000000000001</v>
      </c>
      <c r="H235" s="10">
        <v>8.5999999999999943</v>
      </c>
      <c r="I235" s="10">
        <v>37.200000000000003</v>
      </c>
      <c r="J235" s="10">
        <v>46.997999999999998</v>
      </c>
      <c r="K235" t="s">
        <v>81</v>
      </c>
      <c r="L235" t="s">
        <v>145</v>
      </c>
      <c r="M235" s="10">
        <v>-11.55</v>
      </c>
      <c r="N235" t="s">
        <v>145</v>
      </c>
    </row>
    <row r="236" spans="1:14" x14ac:dyDescent="0.2">
      <c r="A236" t="s">
        <v>376</v>
      </c>
      <c r="B236" s="10">
        <v>-22.638742101996257</v>
      </c>
      <c r="C236" s="10">
        <v>-20.72000000000001</v>
      </c>
      <c r="D236" s="10">
        <v>84.4</v>
      </c>
      <c r="E236" s="10">
        <v>3.5</v>
      </c>
      <c r="F236" s="10">
        <v>0.8</v>
      </c>
      <c r="G236" s="10">
        <v>0.8</v>
      </c>
      <c r="H236" s="10">
        <v>10.5</v>
      </c>
      <c r="I236" s="10">
        <v>30.7</v>
      </c>
      <c r="J236" s="10">
        <v>48.294666666666664</v>
      </c>
      <c r="K236" t="s">
        <v>81</v>
      </c>
      <c r="L236" t="s">
        <v>143</v>
      </c>
      <c r="M236" s="10">
        <v>-31.980000000000011</v>
      </c>
      <c r="N236" t="s">
        <v>143</v>
      </c>
    </row>
    <row r="237" spans="1:14" x14ac:dyDescent="0.2">
      <c r="A237" t="s">
        <v>377</v>
      </c>
      <c r="B237" s="10">
        <v>0.7149078024334572</v>
      </c>
      <c r="C237" s="10">
        <v>-0.45717171717171662</v>
      </c>
      <c r="D237" s="10">
        <v>50.1</v>
      </c>
      <c r="E237" s="10">
        <v>3.2</v>
      </c>
      <c r="F237" s="10">
        <v>42.4</v>
      </c>
      <c r="G237" s="10">
        <v>0.9</v>
      </c>
      <c r="H237" s="10">
        <v>3.4000000000000057</v>
      </c>
      <c r="I237" s="10">
        <v>22</v>
      </c>
      <c r="J237" s="10">
        <v>42.951333333333331</v>
      </c>
      <c r="K237" t="s">
        <v>77</v>
      </c>
      <c r="L237" t="s">
        <v>143</v>
      </c>
      <c r="M237" s="10">
        <v>-11.717171717171716</v>
      </c>
      <c r="N237" t="s">
        <v>143</v>
      </c>
    </row>
    <row r="238" spans="1:14" x14ac:dyDescent="0.2">
      <c r="A238" t="s">
        <v>378</v>
      </c>
      <c r="B238" s="10">
        <v>43.854895281074555</v>
      </c>
      <c r="C238" s="10">
        <v>46.50004085801838</v>
      </c>
      <c r="D238" s="10">
        <v>60.1</v>
      </c>
      <c r="E238" s="10">
        <v>5.9</v>
      </c>
      <c r="F238" s="10">
        <v>19.2</v>
      </c>
      <c r="G238" s="10">
        <v>6.9</v>
      </c>
      <c r="H238" s="10">
        <v>7.9000000000000057</v>
      </c>
      <c r="I238" s="10">
        <v>59.1</v>
      </c>
      <c r="J238" s="10">
        <v>57.045999999999999</v>
      </c>
      <c r="K238" t="s">
        <v>77</v>
      </c>
      <c r="L238" t="s">
        <v>143</v>
      </c>
      <c r="M238" s="10">
        <v>35.240040858018382</v>
      </c>
      <c r="N238" t="s">
        <v>143</v>
      </c>
    </row>
    <row r="239" spans="1:14" x14ac:dyDescent="0.2">
      <c r="A239" t="s">
        <v>379</v>
      </c>
      <c r="B239" s="10">
        <v>-2.5185978712976334</v>
      </c>
      <c r="C239" s="10">
        <v>-2.4773737373737301</v>
      </c>
      <c r="D239" s="10">
        <v>67.400000000000006</v>
      </c>
      <c r="E239" s="10">
        <v>6.7</v>
      </c>
      <c r="F239" s="10">
        <v>19.5</v>
      </c>
      <c r="G239" s="10">
        <v>1.6</v>
      </c>
      <c r="H239" s="10">
        <v>4.7999999999999972</v>
      </c>
      <c r="I239" s="10">
        <v>24.1</v>
      </c>
      <c r="J239" s="10">
        <v>45.515333333333331</v>
      </c>
      <c r="K239" t="s">
        <v>81</v>
      </c>
      <c r="L239" t="s">
        <v>143</v>
      </c>
      <c r="M239" s="10">
        <v>-13.73737373737373</v>
      </c>
      <c r="N239" t="s">
        <v>143</v>
      </c>
    </row>
    <row r="240" spans="1:14" x14ac:dyDescent="0.2">
      <c r="A240" t="s">
        <v>380</v>
      </c>
      <c r="B240" s="10">
        <v>57.012169356905126</v>
      </c>
      <c r="C240" s="10">
        <v>57.79061224489795</v>
      </c>
      <c r="D240" s="10">
        <v>55.6</v>
      </c>
      <c r="E240" s="10">
        <v>5</v>
      </c>
      <c r="F240" s="10">
        <v>28.3</v>
      </c>
      <c r="G240" s="10">
        <v>3.6</v>
      </c>
      <c r="H240" s="10">
        <v>7.5</v>
      </c>
      <c r="I240" s="10">
        <v>43.7</v>
      </c>
      <c r="J240" s="10">
        <v>49.673000000000002</v>
      </c>
      <c r="K240" t="s">
        <v>77</v>
      </c>
      <c r="L240" t="s">
        <v>143</v>
      </c>
      <c r="M240" s="10">
        <v>46.530612244897952</v>
      </c>
      <c r="N240" t="s">
        <v>143</v>
      </c>
    </row>
    <row r="241" spans="1:14" x14ac:dyDescent="0.2">
      <c r="A241" t="s">
        <v>381</v>
      </c>
      <c r="B241" s="10">
        <v>-7.8565031460688664</v>
      </c>
      <c r="C241" s="10">
        <v>-7.74</v>
      </c>
      <c r="D241" s="10">
        <v>75.7</v>
      </c>
      <c r="E241" s="10">
        <v>4.0999999999999996</v>
      </c>
      <c r="F241" s="10">
        <v>12.5</v>
      </c>
      <c r="G241" s="10">
        <v>1</v>
      </c>
      <c r="H241" s="10">
        <v>6.7000000000000028</v>
      </c>
      <c r="I241" s="10">
        <v>27.2</v>
      </c>
      <c r="J241" s="10">
        <v>43.167666666666669</v>
      </c>
      <c r="K241" t="s">
        <v>81</v>
      </c>
      <c r="L241" t="s">
        <v>143</v>
      </c>
      <c r="M241" s="10">
        <v>-19</v>
      </c>
      <c r="N241" t="s">
        <v>143</v>
      </c>
    </row>
    <row r="242" spans="1:14" x14ac:dyDescent="0.2">
      <c r="A242" t="s">
        <v>382</v>
      </c>
      <c r="B242" s="10">
        <v>-5.720917738222532</v>
      </c>
      <c r="C242" s="10">
        <v>-6.100406091370564</v>
      </c>
      <c r="D242" s="10">
        <v>54.7</v>
      </c>
      <c r="E242" s="10">
        <v>4.5</v>
      </c>
      <c r="F242" s="10">
        <v>32.9</v>
      </c>
      <c r="G242" s="10">
        <v>2.9</v>
      </c>
      <c r="H242" s="10">
        <v>5</v>
      </c>
      <c r="I242" s="10">
        <v>32.9</v>
      </c>
      <c r="J242" s="10">
        <v>45.476333333333336</v>
      </c>
      <c r="K242" t="s">
        <v>81</v>
      </c>
      <c r="L242" t="s">
        <v>143</v>
      </c>
      <c r="M242" s="10">
        <v>-17.360406091370564</v>
      </c>
      <c r="N242" t="s">
        <v>143</v>
      </c>
    </row>
    <row r="243" spans="1:14" x14ac:dyDescent="0.2">
      <c r="A243" t="s">
        <v>383</v>
      </c>
      <c r="B243" s="10">
        <v>-6.3845884776429509</v>
      </c>
      <c r="C243" s="10">
        <v>-5.9399999999999959</v>
      </c>
      <c r="D243" s="10">
        <v>64.900000000000006</v>
      </c>
      <c r="E243" s="10">
        <v>3.8</v>
      </c>
      <c r="F243" s="10">
        <v>19.2</v>
      </c>
      <c r="G243" s="10">
        <v>1.1000000000000001</v>
      </c>
      <c r="H243" s="10">
        <v>11</v>
      </c>
      <c r="I243" s="10">
        <v>29.8</v>
      </c>
      <c r="J243" s="10">
        <v>45.920999999999999</v>
      </c>
      <c r="K243" t="s">
        <v>81</v>
      </c>
      <c r="L243" t="s">
        <v>143</v>
      </c>
      <c r="M243" s="10">
        <v>-17.199999999999996</v>
      </c>
      <c r="N243" t="s">
        <v>143</v>
      </c>
    </row>
    <row r="244" spans="1:14" x14ac:dyDescent="0.2">
      <c r="A244" t="s">
        <v>384</v>
      </c>
      <c r="B244" s="10">
        <v>-8.951318271682128</v>
      </c>
      <c r="C244" s="10">
        <v>-7.9399999999999888</v>
      </c>
      <c r="D244" s="10">
        <v>72.7</v>
      </c>
      <c r="E244" s="10">
        <v>4.2</v>
      </c>
      <c r="F244" s="10">
        <v>15.3</v>
      </c>
      <c r="G244" s="10">
        <v>1.9</v>
      </c>
      <c r="H244" s="10">
        <v>5.8999999999999915</v>
      </c>
      <c r="I244" s="10">
        <v>25.9</v>
      </c>
      <c r="J244" s="10">
        <v>48.155333333333331</v>
      </c>
      <c r="K244" t="s">
        <v>81</v>
      </c>
      <c r="L244" t="s">
        <v>143</v>
      </c>
      <c r="M244" s="10">
        <v>-19.199999999999989</v>
      </c>
      <c r="N244" t="s">
        <v>143</v>
      </c>
    </row>
    <row r="245" spans="1:14" x14ac:dyDescent="0.2">
      <c r="A245" t="s">
        <v>385</v>
      </c>
      <c r="B245" s="10">
        <v>-8.2091900321144973</v>
      </c>
      <c r="C245" s="10">
        <v>-8.3999362380446225</v>
      </c>
      <c r="D245" s="10">
        <v>59</v>
      </c>
      <c r="E245" s="10">
        <v>7.4</v>
      </c>
      <c r="F245" s="10">
        <v>24.9</v>
      </c>
      <c r="G245" s="10">
        <v>2</v>
      </c>
      <c r="H245" s="10">
        <v>6.7000000000000028</v>
      </c>
      <c r="I245" s="10">
        <v>27.7</v>
      </c>
      <c r="J245" s="10">
        <v>45.887</v>
      </c>
      <c r="K245" t="s">
        <v>81</v>
      </c>
      <c r="L245" t="s">
        <v>143</v>
      </c>
      <c r="M245" s="10">
        <v>-19.659936238044622</v>
      </c>
      <c r="N245" t="s">
        <v>143</v>
      </c>
    </row>
    <row r="246" spans="1:14" x14ac:dyDescent="0.2">
      <c r="A246" t="s">
        <v>386</v>
      </c>
      <c r="B246" s="10">
        <v>-9.7704877317443692</v>
      </c>
      <c r="C246" s="10">
        <v>-8.9071891327063693</v>
      </c>
      <c r="D246" s="10">
        <v>78.5</v>
      </c>
      <c r="E246" s="10">
        <v>3.8</v>
      </c>
      <c r="F246" s="10">
        <v>10.6</v>
      </c>
      <c r="G246" s="10">
        <v>1.9</v>
      </c>
      <c r="H246" s="10">
        <v>5.2000000000000028</v>
      </c>
      <c r="I246" s="10">
        <v>24.2</v>
      </c>
      <c r="J246" s="10">
        <v>46.555999999999997</v>
      </c>
      <c r="K246" t="s">
        <v>81</v>
      </c>
      <c r="L246" t="s">
        <v>143</v>
      </c>
      <c r="M246" s="10">
        <v>-20.167189132706369</v>
      </c>
      <c r="N246" t="s">
        <v>143</v>
      </c>
    </row>
    <row r="247" spans="1:14" x14ac:dyDescent="0.2">
      <c r="A247" t="s">
        <v>387</v>
      </c>
      <c r="B247" s="10">
        <v>0.49197969913612893</v>
      </c>
      <c r="C247" s="10">
        <v>1.3499999999999996</v>
      </c>
      <c r="D247" s="10">
        <v>84.7</v>
      </c>
      <c r="E247" s="10">
        <v>3.1</v>
      </c>
      <c r="F247" s="10">
        <v>4.0999999999999996</v>
      </c>
      <c r="G247" s="10">
        <v>1</v>
      </c>
      <c r="H247" s="10">
        <v>7.0999999999999943</v>
      </c>
      <c r="I247" s="10">
        <v>33.9</v>
      </c>
      <c r="J247" s="10">
        <v>45.753666666666668</v>
      </c>
      <c r="K247" t="s">
        <v>81</v>
      </c>
      <c r="L247" t="s">
        <v>145</v>
      </c>
      <c r="M247" s="10">
        <v>-9.5</v>
      </c>
      <c r="N247" t="s">
        <v>145</v>
      </c>
    </row>
    <row r="248" spans="1:14" x14ac:dyDescent="0.2">
      <c r="A248" t="s">
        <v>388</v>
      </c>
      <c r="B248" s="10">
        <v>59.172212569995779</v>
      </c>
      <c r="C248" s="10">
        <v>59.26</v>
      </c>
      <c r="D248" s="10">
        <v>43.7</v>
      </c>
      <c r="E248" s="10">
        <v>6.8</v>
      </c>
      <c r="F248" s="10">
        <v>38.799999999999997</v>
      </c>
      <c r="G248" s="10">
        <v>3.6</v>
      </c>
      <c r="H248" s="10">
        <v>7.0999999999999943</v>
      </c>
      <c r="I248" s="10">
        <v>39.299999999999997</v>
      </c>
      <c r="J248" s="10">
        <v>49.613666666666667</v>
      </c>
      <c r="K248" t="s">
        <v>77</v>
      </c>
      <c r="L248" t="s">
        <v>143</v>
      </c>
      <c r="M248" s="10">
        <v>48</v>
      </c>
      <c r="N248" t="s">
        <v>143</v>
      </c>
    </row>
    <row r="249" spans="1:14" x14ac:dyDescent="0.2">
      <c r="A249" t="s">
        <v>389</v>
      </c>
      <c r="B249" s="10">
        <v>-7.5503958302257779</v>
      </c>
      <c r="C249" s="10">
        <v>-5.9399999999999959</v>
      </c>
      <c r="D249" s="10">
        <v>61.8</v>
      </c>
      <c r="E249" s="10">
        <v>5.9</v>
      </c>
      <c r="F249" s="10">
        <v>23.8</v>
      </c>
      <c r="G249" s="10">
        <v>2.1</v>
      </c>
      <c r="H249" s="10">
        <v>6.4000000000000057</v>
      </c>
      <c r="I249" s="10">
        <v>36.5</v>
      </c>
      <c r="J249" s="10">
        <v>52.400333333333336</v>
      </c>
      <c r="K249" t="s">
        <v>81</v>
      </c>
      <c r="L249" t="s">
        <v>143</v>
      </c>
      <c r="M249" s="10">
        <v>-17.199999999999996</v>
      </c>
      <c r="N249" t="s">
        <v>143</v>
      </c>
    </row>
    <row r="250" spans="1:14" x14ac:dyDescent="0.2">
      <c r="A250" t="s">
        <v>390</v>
      </c>
      <c r="B250" s="10">
        <v>-6.4741537405779139</v>
      </c>
      <c r="C250" s="10">
        <v>-4.9399999999999959</v>
      </c>
      <c r="D250" s="10">
        <v>60.4</v>
      </c>
      <c r="E250" s="10">
        <v>6.4</v>
      </c>
      <c r="F250" s="10">
        <v>23.1</v>
      </c>
      <c r="G250" s="10">
        <v>4</v>
      </c>
      <c r="H250" s="10">
        <v>6.0999999999999943</v>
      </c>
      <c r="I250" s="10">
        <v>48.1</v>
      </c>
      <c r="J250" s="10">
        <v>52.238999999999997</v>
      </c>
      <c r="K250" t="s">
        <v>81</v>
      </c>
      <c r="L250" t="s">
        <v>143</v>
      </c>
      <c r="M250" s="10">
        <v>-16.199999999999996</v>
      </c>
      <c r="N250" t="s">
        <v>143</v>
      </c>
    </row>
    <row r="251" spans="1:14" x14ac:dyDescent="0.2">
      <c r="A251" t="s">
        <v>391</v>
      </c>
      <c r="B251" s="10">
        <v>-29.809687381472468</v>
      </c>
      <c r="C251" s="10">
        <v>-27.780000000000005</v>
      </c>
      <c r="D251" s="10">
        <v>84.4</v>
      </c>
      <c r="E251" s="10">
        <v>3.2</v>
      </c>
      <c r="F251" s="10">
        <v>2.2999999999999998</v>
      </c>
      <c r="G251" s="10">
        <v>1</v>
      </c>
      <c r="H251" s="10">
        <v>9.0999999999999943</v>
      </c>
      <c r="I251" s="10">
        <v>31.4</v>
      </c>
      <c r="J251" s="10">
        <v>48.99</v>
      </c>
      <c r="K251" t="s">
        <v>81</v>
      </c>
      <c r="L251" t="s">
        <v>143</v>
      </c>
      <c r="M251" s="10">
        <v>-39.040000000000006</v>
      </c>
      <c r="N251" t="s">
        <v>143</v>
      </c>
    </row>
    <row r="252" spans="1:14" x14ac:dyDescent="0.2">
      <c r="A252" t="s">
        <v>392</v>
      </c>
      <c r="B252" s="10">
        <v>-10.711220778882129</v>
      </c>
      <c r="C252" s="10">
        <v>-8.9399999999999888</v>
      </c>
      <c r="D252" s="10">
        <v>81.099999999999994</v>
      </c>
      <c r="E252" s="10">
        <v>6.5</v>
      </c>
      <c r="F252" s="10">
        <v>3.3</v>
      </c>
      <c r="G252" s="10">
        <v>2.6</v>
      </c>
      <c r="H252" s="10">
        <v>6.5</v>
      </c>
      <c r="I252" s="10">
        <v>35.299999999999997</v>
      </c>
      <c r="J252" s="10">
        <v>49.731000000000002</v>
      </c>
      <c r="K252" t="s">
        <v>81</v>
      </c>
      <c r="L252" t="s">
        <v>143</v>
      </c>
      <c r="M252" s="10">
        <v>-20.199999999999989</v>
      </c>
      <c r="N252" t="s">
        <v>143</v>
      </c>
    </row>
    <row r="253" spans="1:14" x14ac:dyDescent="0.2">
      <c r="A253" t="s">
        <v>393</v>
      </c>
      <c r="B253" s="10">
        <v>14.104054033622569</v>
      </c>
      <c r="C253" s="10">
        <v>15.469999999999999</v>
      </c>
      <c r="D253" s="10">
        <v>71.900000000000006</v>
      </c>
      <c r="E253" s="10">
        <v>6.9</v>
      </c>
      <c r="F253" s="10">
        <v>9.8000000000000007</v>
      </c>
      <c r="G253" s="10">
        <v>2.6</v>
      </c>
      <c r="H253" s="10">
        <v>8.7999999999999972</v>
      </c>
      <c r="I253" s="10">
        <v>41.6</v>
      </c>
      <c r="J253" s="10">
        <v>50.844999999999999</v>
      </c>
      <c r="K253" t="s">
        <v>81</v>
      </c>
      <c r="L253" t="s">
        <v>145</v>
      </c>
      <c r="M253" s="10">
        <v>4.62</v>
      </c>
      <c r="N253" t="s">
        <v>145</v>
      </c>
    </row>
    <row r="254" spans="1:14" x14ac:dyDescent="0.2">
      <c r="A254" t="s">
        <v>394</v>
      </c>
      <c r="B254" s="10">
        <v>-50.434335542791501</v>
      </c>
      <c r="C254" s="10">
        <v>-49.580000000000005</v>
      </c>
      <c r="D254" s="10">
        <v>84.5</v>
      </c>
      <c r="E254" s="10">
        <v>7.4</v>
      </c>
      <c r="F254" s="10">
        <v>1.3</v>
      </c>
      <c r="G254" s="10">
        <v>0.8</v>
      </c>
      <c r="H254" s="10">
        <v>6</v>
      </c>
      <c r="I254" s="10">
        <v>23.8</v>
      </c>
      <c r="J254" s="10">
        <v>45.542333333333332</v>
      </c>
      <c r="K254" t="s">
        <v>81</v>
      </c>
      <c r="L254" t="s">
        <v>143</v>
      </c>
      <c r="M254" s="10">
        <v>-60.84</v>
      </c>
      <c r="N254" t="s">
        <v>143</v>
      </c>
    </row>
    <row r="255" spans="1:14" x14ac:dyDescent="0.2">
      <c r="A255" t="s">
        <v>395</v>
      </c>
      <c r="B255" s="10">
        <v>9.7075337577107632</v>
      </c>
      <c r="C255" s="10">
        <v>12.85</v>
      </c>
      <c r="D255" s="10">
        <v>89</v>
      </c>
      <c r="E255" s="10">
        <v>2.9</v>
      </c>
      <c r="F255" s="10">
        <v>1.7</v>
      </c>
      <c r="G255" s="10">
        <v>2.5</v>
      </c>
      <c r="H255" s="10">
        <v>3.9000000000000057</v>
      </c>
      <c r="I255" s="10">
        <v>39.6</v>
      </c>
      <c r="J255" s="10">
        <v>55.470666666666666</v>
      </c>
      <c r="K255" t="s">
        <v>77</v>
      </c>
      <c r="L255" t="s">
        <v>145</v>
      </c>
      <c r="M255" s="10">
        <v>2</v>
      </c>
      <c r="N255" t="s">
        <v>145</v>
      </c>
    </row>
    <row r="256" spans="1:14" x14ac:dyDescent="0.2">
      <c r="A256" t="s">
        <v>396</v>
      </c>
      <c r="B256" s="10">
        <v>13.896010955854219</v>
      </c>
      <c r="C256" s="10">
        <v>17.220000000000002</v>
      </c>
      <c r="D256" s="10">
        <v>88.7</v>
      </c>
      <c r="E256" s="10">
        <v>3.2</v>
      </c>
      <c r="F256" s="10">
        <v>1.3</v>
      </c>
      <c r="G256" s="10">
        <v>2.2999999999999998</v>
      </c>
      <c r="H256" s="10">
        <v>4.5</v>
      </c>
      <c r="I256" s="10">
        <v>38.5</v>
      </c>
      <c r="J256" s="10">
        <v>54.497999999999998</v>
      </c>
      <c r="K256" t="s">
        <v>77</v>
      </c>
      <c r="L256" t="s">
        <v>143</v>
      </c>
      <c r="M256" s="10">
        <v>5.9600000000000009</v>
      </c>
      <c r="N256" t="s">
        <v>143</v>
      </c>
    </row>
    <row r="257" spans="1:14" x14ac:dyDescent="0.2">
      <c r="A257" t="s">
        <v>397</v>
      </c>
      <c r="B257" s="10">
        <v>28.216129991908236</v>
      </c>
      <c r="C257" s="10">
        <v>29.499999999999996</v>
      </c>
      <c r="D257" s="10">
        <v>63.1</v>
      </c>
      <c r="E257" s="10">
        <v>10.6</v>
      </c>
      <c r="F257" s="10">
        <v>16.899999999999999</v>
      </c>
      <c r="G257" s="10">
        <v>4.4000000000000004</v>
      </c>
      <c r="H257" s="10">
        <v>5</v>
      </c>
      <c r="I257" s="10">
        <v>34.1</v>
      </c>
      <c r="J257" s="10">
        <v>52.556666666666665</v>
      </c>
      <c r="K257" t="s">
        <v>77</v>
      </c>
      <c r="L257" t="s">
        <v>143</v>
      </c>
      <c r="M257" s="10">
        <v>18.239999999999995</v>
      </c>
      <c r="N257" t="s">
        <v>143</v>
      </c>
    </row>
    <row r="258" spans="1:14" x14ac:dyDescent="0.2">
      <c r="A258" t="s">
        <v>398</v>
      </c>
      <c r="B258" s="10">
        <v>-7.0729198228847077</v>
      </c>
      <c r="C258" s="10">
        <v>-5.7599999999999962</v>
      </c>
      <c r="D258" s="10">
        <v>67.400000000000006</v>
      </c>
      <c r="E258" s="10">
        <v>11.3</v>
      </c>
      <c r="F258" s="10">
        <v>11.9</v>
      </c>
      <c r="G258" s="10">
        <v>3.5</v>
      </c>
      <c r="H258" s="10">
        <v>5.8999999999999915</v>
      </c>
      <c r="I258" s="10">
        <v>29.3</v>
      </c>
      <c r="J258" s="10">
        <v>51.95</v>
      </c>
      <c r="K258" t="s">
        <v>81</v>
      </c>
      <c r="L258" t="s">
        <v>143</v>
      </c>
      <c r="M258" s="10">
        <v>-17.019999999999996</v>
      </c>
      <c r="N258" t="s">
        <v>143</v>
      </c>
    </row>
    <row r="259" spans="1:14" x14ac:dyDescent="0.2">
      <c r="A259" t="s">
        <v>399</v>
      </c>
      <c r="B259" s="10">
        <v>17.474429317322286</v>
      </c>
      <c r="C259" s="10">
        <v>20.04000000000001</v>
      </c>
      <c r="D259" s="10">
        <v>65.900000000000006</v>
      </c>
      <c r="E259" s="10">
        <v>8.3000000000000007</v>
      </c>
      <c r="F259" s="10">
        <v>13.4</v>
      </c>
      <c r="G259" s="10">
        <v>6.9</v>
      </c>
      <c r="H259" s="10">
        <v>5.5</v>
      </c>
      <c r="I259" s="10">
        <v>45.2</v>
      </c>
      <c r="J259" s="10">
        <v>60.417666666666669</v>
      </c>
      <c r="K259" t="s">
        <v>77</v>
      </c>
      <c r="L259" t="s">
        <v>143</v>
      </c>
      <c r="M259" s="10">
        <v>8.7800000000000082</v>
      </c>
      <c r="N259" t="s">
        <v>143</v>
      </c>
    </row>
    <row r="260" spans="1:14" x14ac:dyDescent="0.2">
      <c r="A260" t="s">
        <v>400</v>
      </c>
      <c r="B260" s="10">
        <v>-27.818451520336069</v>
      </c>
      <c r="C260" s="10">
        <v>-24.820000000000004</v>
      </c>
      <c r="D260" s="10">
        <v>82</v>
      </c>
      <c r="E260" s="10">
        <v>7.1</v>
      </c>
      <c r="F260" s="10">
        <v>3.7</v>
      </c>
      <c r="G260" s="10">
        <v>2.6</v>
      </c>
      <c r="H260" s="10">
        <v>4.5999999999999943</v>
      </c>
      <c r="I260" s="10">
        <v>39</v>
      </c>
      <c r="J260" s="10">
        <v>55.03</v>
      </c>
      <c r="K260" t="s">
        <v>81</v>
      </c>
      <c r="L260" t="s">
        <v>143</v>
      </c>
      <c r="M260" s="10">
        <v>-36.080000000000005</v>
      </c>
      <c r="N260" t="s">
        <v>143</v>
      </c>
    </row>
    <row r="261" spans="1:14" x14ac:dyDescent="0.2">
      <c r="A261" t="s">
        <v>401</v>
      </c>
      <c r="B261" s="10">
        <v>20.940555115634996</v>
      </c>
      <c r="C261" s="10">
        <v>22.779999999999998</v>
      </c>
      <c r="D261" s="10">
        <v>61.2</v>
      </c>
      <c r="E261" s="10">
        <v>13.4</v>
      </c>
      <c r="F261" s="10">
        <v>6.3</v>
      </c>
      <c r="G261" s="10">
        <v>13.3</v>
      </c>
      <c r="H261" s="10">
        <v>5.7999999999999972</v>
      </c>
      <c r="I261" s="10">
        <v>53.5</v>
      </c>
      <c r="J261" s="10">
        <v>66.587000000000003</v>
      </c>
      <c r="K261" t="s">
        <v>77</v>
      </c>
      <c r="L261" t="s">
        <v>143</v>
      </c>
      <c r="M261" s="10">
        <v>11.519999999999996</v>
      </c>
      <c r="N261" t="s">
        <v>143</v>
      </c>
    </row>
    <row r="262" spans="1:14" x14ac:dyDescent="0.2">
      <c r="A262" t="s">
        <v>402</v>
      </c>
      <c r="B262" s="10">
        <v>26.817520092556013</v>
      </c>
      <c r="C262" s="10">
        <v>27.580000000000009</v>
      </c>
      <c r="D262" s="10">
        <v>45.2</v>
      </c>
      <c r="E262" s="10">
        <v>18.5</v>
      </c>
      <c r="F262" s="10">
        <v>13.4</v>
      </c>
      <c r="G262" s="10">
        <v>13.3</v>
      </c>
      <c r="H262" s="10">
        <v>9.5999999999999943</v>
      </c>
      <c r="I262" s="10">
        <v>41.5</v>
      </c>
      <c r="J262" s="10">
        <v>58.480000000000004</v>
      </c>
      <c r="K262" t="s">
        <v>77</v>
      </c>
      <c r="L262" t="s">
        <v>143</v>
      </c>
      <c r="M262" s="10">
        <v>16.320000000000007</v>
      </c>
      <c r="N262" t="s">
        <v>143</v>
      </c>
    </row>
    <row r="263" spans="1:14" x14ac:dyDescent="0.2">
      <c r="A263" t="s">
        <v>403</v>
      </c>
      <c r="B263" s="10">
        <v>2.7256676947473242</v>
      </c>
      <c r="C263" s="10">
        <v>5.76</v>
      </c>
      <c r="D263" s="10">
        <v>73.5</v>
      </c>
      <c r="E263" s="10">
        <v>8.8000000000000007</v>
      </c>
      <c r="F263" s="10">
        <v>5.6</v>
      </c>
      <c r="G263" s="10">
        <v>6.6</v>
      </c>
      <c r="H263" s="10">
        <v>5.5</v>
      </c>
      <c r="I263" s="10">
        <v>53.6</v>
      </c>
      <c r="J263" s="10">
        <v>68.806333333333328</v>
      </c>
      <c r="K263" t="s">
        <v>81</v>
      </c>
      <c r="L263" t="s">
        <v>143</v>
      </c>
      <c r="M263" s="10">
        <v>-5.5</v>
      </c>
      <c r="N263" t="s">
        <v>143</v>
      </c>
    </row>
    <row r="264" spans="1:14" x14ac:dyDescent="0.2">
      <c r="A264" t="s">
        <v>404</v>
      </c>
      <c r="B264" s="10">
        <v>39.65886499742966</v>
      </c>
      <c r="C264" s="10">
        <v>37.420000000000009</v>
      </c>
      <c r="D264" s="10">
        <v>26.8</v>
      </c>
      <c r="E264" s="10">
        <v>46.6</v>
      </c>
      <c r="F264" s="10">
        <v>10.5</v>
      </c>
      <c r="G264" s="10">
        <v>8.1999999999999993</v>
      </c>
      <c r="H264" s="10">
        <v>7.9000000000000057</v>
      </c>
      <c r="I264" s="10">
        <v>39</v>
      </c>
      <c r="J264" s="10">
        <v>51.076333333333331</v>
      </c>
      <c r="K264" t="s">
        <v>77</v>
      </c>
      <c r="L264" t="s">
        <v>143</v>
      </c>
      <c r="M264" s="10">
        <v>26.160000000000011</v>
      </c>
      <c r="N264" t="s">
        <v>143</v>
      </c>
    </row>
    <row r="265" spans="1:14" x14ac:dyDescent="0.2">
      <c r="A265" t="s">
        <v>405</v>
      </c>
      <c r="B265" s="10">
        <v>17.613289487538143</v>
      </c>
      <c r="C265" s="10">
        <v>16.32</v>
      </c>
      <c r="D265" s="10">
        <v>40.9</v>
      </c>
      <c r="E265" s="10">
        <v>34.9</v>
      </c>
      <c r="F265" s="10">
        <v>9.6999999999999993</v>
      </c>
      <c r="G265" s="10">
        <v>8.1</v>
      </c>
      <c r="H265" s="10">
        <v>6.4000000000000057</v>
      </c>
      <c r="I265" s="10">
        <v>32.9</v>
      </c>
      <c r="J265" s="10">
        <v>50.823</v>
      </c>
      <c r="K265" t="s">
        <v>77</v>
      </c>
      <c r="L265" t="s">
        <v>143</v>
      </c>
      <c r="M265" s="10">
        <v>5.0600000000000023</v>
      </c>
      <c r="N265" t="s">
        <v>143</v>
      </c>
    </row>
    <row r="266" spans="1:14" x14ac:dyDescent="0.2">
      <c r="A266" t="s">
        <v>406</v>
      </c>
      <c r="B266" s="10">
        <v>67.331080126958028</v>
      </c>
      <c r="C266" s="10">
        <v>65.239999999999995</v>
      </c>
      <c r="D266" s="10">
        <v>20.3</v>
      </c>
      <c r="E266" s="10">
        <v>16.899999999999999</v>
      </c>
      <c r="F266" s="10">
        <v>52.5</v>
      </c>
      <c r="G266" s="10">
        <v>6</v>
      </c>
      <c r="H266" s="10">
        <v>4.2999999999999972</v>
      </c>
      <c r="I266" s="10">
        <v>31.5</v>
      </c>
      <c r="J266" s="10">
        <v>47.646333333333331</v>
      </c>
      <c r="K266" t="s">
        <v>77</v>
      </c>
      <c r="L266" t="s">
        <v>143</v>
      </c>
      <c r="M266" s="10">
        <v>53.980000000000004</v>
      </c>
      <c r="N266" t="s">
        <v>143</v>
      </c>
    </row>
    <row r="267" spans="1:14" x14ac:dyDescent="0.2">
      <c r="A267" t="s">
        <v>407</v>
      </c>
      <c r="B267" s="10">
        <v>23.886133254232689</v>
      </c>
      <c r="C267" s="10">
        <v>26.24</v>
      </c>
      <c r="D267" s="10">
        <v>64</v>
      </c>
      <c r="E267" s="10">
        <v>12.7</v>
      </c>
      <c r="F267" s="10">
        <v>6.6</v>
      </c>
      <c r="G267" s="10">
        <v>9.6</v>
      </c>
      <c r="H267" s="10">
        <v>7.0999999999999943</v>
      </c>
      <c r="I267" s="10">
        <v>58.1</v>
      </c>
      <c r="J267" s="10">
        <v>67.74433333333333</v>
      </c>
      <c r="K267" t="s">
        <v>77</v>
      </c>
      <c r="L267" t="s">
        <v>143</v>
      </c>
      <c r="M267" s="10">
        <v>14.979999999999997</v>
      </c>
      <c r="N267" t="s">
        <v>143</v>
      </c>
    </row>
    <row r="268" spans="1:14" x14ac:dyDescent="0.2">
      <c r="A268" t="s">
        <v>408</v>
      </c>
      <c r="B268" s="10">
        <v>34.288362570432113</v>
      </c>
      <c r="C268" s="10">
        <v>34.72</v>
      </c>
      <c r="D268" s="10">
        <v>43.5</v>
      </c>
      <c r="E268" s="10">
        <v>13.1</v>
      </c>
      <c r="F268" s="10">
        <v>18.2</v>
      </c>
      <c r="G268" s="10">
        <v>15.6</v>
      </c>
      <c r="H268" s="10">
        <v>9.5999999999999943</v>
      </c>
      <c r="I268" s="10">
        <v>48.5</v>
      </c>
      <c r="J268" s="10">
        <v>61.381999999999998</v>
      </c>
      <c r="K268" t="s">
        <v>77</v>
      </c>
      <c r="L268" t="s">
        <v>145</v>
      </c>
      <c r="M268" s="10">
        <v>23.87</v>
      </c>
      <c r="N268" t="s">
        <v>145</v>
      </c>
    </row>
    <row r="269" spans="1:14" x14ac:dyDescent="0.2">
      <c r="A269" t="s">
        <v>409</v>
      </c>
      <c r="B269" s="10">
        <v>25.39859378395477</v>
      </c>
      <c r="C269" s="10">
        <v>23.999999999999996</v>
      </c>
      <c r="D269" s="10">
        <v>49.4</v>
      </c>
      <c r="E269" s="10">
        <v>38.5</v>
      </c>
      <c r="F269" s="10">
        <v>2.9</v>
      </c>
      <c r="G269" s="10">
        <v>2.5</v>
      </c>
      <c r="H269" s="10">
        <v>6.7000000000000028</v>
      </c>
      <c r="I269" s="10">
        <v>38</v>
      </c>
      <c r="J269" s="10">
        <v>47.192999999999998</v>
      </c>
      <c r="K269" t="s">
        <v>77</v>
      </c>
      <c r="L269" t="s">
        <v>143</v>
      </c>
      <c r="M269" s="10">
        <v>12.739999999999995</v>
      </c>
      <c r="N269" t="s">
        <v>143</v>
      </c>
    </row>
    <row r="270" spans="1:14" x14ac:dyDescent="0.2">
      <c r="A270" t="s">
        <v>410</v>
      </c>
      <c r="B270" s="10">
        <v>19.324837978197515</v>
      </c>
      <c r="C270" s="10">
        <v>15.420000000000003</v>
      </c>
      <c r="D270" s="10">
        <v>33.299999999999997</v>
      </c>
      <c r="E270" s="10">
        <v>55.3</v>
      </c>
      <c r="F270" s="10">
        <v>2.4</v>
      </c>
      <c r="G270" s="10">
        <v>1</v>
      </c>
      <c r="H270" s="10">
        <v>8</v>
      </c>
      <c r="I270" s="10">
        <v>22.8</v>
      </c>
      <c r="J270" s="10">
        <v>42.85</v>
      </c>
      <c r="K270" t="s">
        <v>77</v>
      </c>
      <c r="L270" t="s">
        <v>143</v>
      </c>
      <c r="M270" s="10">
        <v>4.1600000000000037</v>
      </c>
      <c r="N270" t="s">
        <v>143</v>
      </c>
    </row>
    <row r="271" spans="1:14" x14ac:dyDescent="0.2">
      <c r="A271" t="s">
        <v>411</v>
      </c>
      <c r="B271" s="10">
        <v>26.39827144160801</v>
      </c>
      <c r="C271" s="10">
        <v>23.839999999999993</v>
      </c>
      <c r="D271" s="10">
        <v>38.4</v>
      </c>
      <c r="E271" s="10">
        <v>38.9</v>
      </c>
      <c r="F271" s="10">
        <v>1.6</v>
      </c>
      <c r="G271" s="10">
        <v>0.9</v>
      </c>
      <c r="H271" s="10">
        <v>20.200000000000003</v>
      </c>
      <c r="I271" s="10">
        <v>25.6</v>
      </c>
      <c r="J271" s="10">
        <v>44.596666666666664</v>
      </c>
      <c r="K271" t="s">
        <v>77</v>
      </c>
      <c r="L271" t="s">
        <v>143</v>
      </c>
      <c r="M271" s="10">
        <v>12.579999999999991</v>
      </c>
      <c r="N271" t="s">
        <v>143</v>
      </c>
    </row>
    <row r="272" spans="1:14" x14ac:dyDescent="0.2">
      <c r="A272" t="s">
        <v>412</v>
      </c>
      <c r="B272" s="10">
        <v>21.091367748456694</v>
      </c>
      <c r="C272" s="10">
        <v>19.04000000000001</v>
      </c>
      <c r="D272" s="10">
        <v>43.9</v>
      </c>
      <c r="E272" s="10">
        <v>25.7</v>
      </c>
      <c r="F272" s="10">
        <v>10.7</v>
      </c>
      <c r="G272" s="10">
        <v>9.1</v>
      </c>
      <c r="H272" s="10">
        <v>10.600000000000009</v>
      </c>
      <c r="I272" s="10">
        <v>24.1</v>
      </c>
      <c r="J272" s="10">
        <v>46.260333333333335</v>
      </c>
      <c r="K272" t="s">
        <v>77</v>
      </c>
      <c r="L272" t="s">
        <v>143</v>
      </c>
      <c r="M272" s="10">
        <v>7.7800000000000082</v>
      </c>
      <c r="N272" t="s">
        <v>143</v>
      </c>
    </row>
    <row r="273" spans="1:14" x14ac:dyDescent="0.2">
      <c r="A273" t="s">
        <v>413</v>
      </c>
      <c r="B273" s="10">
        <v>-3.724916995303587</v>
      </c>
      <c r="C273" s="10">
        <v>-3.09</v>
      </c>
      <c r="D273" s="10">
        <v>66.8</v>
      </c>
      <c r="E273" s="10">
        <v>16.2</v>
      </c>
      <c r="F273" s="10">
        <v>2.6</v>
      </c>
      <c r="G273" s="10">
        <v>4.0999999999999996</v>
      </c>
      <c r="H273" s="10">
        <v>10.299999999999997</v>
      </c>
      <c r="I273" s="10">
        <v>28.2</v>
      </c>
      <c r="J273" s="10">
        <v>51.562333333333335</v>
      </c>
      <c r="K273" t="s">
        <v>81</v>
      </c>
      <c r="L273" t="s">
        <v>145</v>
      </c>
      <c r="M273" s="10">
        <v>-13.94</v>
      </c>
      <c r="N273" t="s">
        <v>145</v>
      </c>
    </row>
    <row r="274" spans="1:14" x14ac:dyDescent="0.2">
      <c r="A274" t="s">
        <v>414</v>
      </c>
      <c r="B274" s="10">
        <v>15.13335039491154</v>
      </c>
      <c r="C274" s="10">
        <v>14.000000000000002</v>
      </c>
      <c r="D274" s="10">
        <v>47.1</v>
      </c>
      <c r="E274" s="10">
        <v>17.7</v>
      </c>
      <c r="F274" s="10">
        <v>11.2</v>
      </c>
      <c r="G274" s="10">
        <v>16.899999999999999</v>
      </c>
      <c r="H274" s="10">
        <v>7.0999999999999943</v>
      </c>
      <c r="I274" s="10">
        <v>33.299999999999997</v>
      </c>
      <c r="J274" s="10">
        <v>50.18333333333333</v>
      </c>
      <c r="K274" t="s">
        <v>77</v>
      </c>
      <c r="L274" t="s">
        <v>143</v>
      </c>
      <c r="M274" s="10">
        <v>2.740000000000002</v>
      </c>
      <c r="N274" t="s">
        <v>143</v>
      </c>
    </row>
    <row r="275" spans="1:14" x14ac:dyDescent="0.2">
      <c r="A275" t="s">
        <v>415</v>
      </c>
      <c r="B275" s="10">
        <v>21.076795395820174</v>
      </c>
      <c r="C275" s="10">
        <v>19.580000000000002</v>
      </c>
      <c r="D275" s="10">
        <v>41.6</v>
      </c>
      <c r="E275" s="10">
        <v>25.4</v>
      </c>
      <c r="F275" s="10">
        <v>18</v>
      </c>
      <c r="G275" s="10">
        <v>6.2</v>
      </c>
      <c r="H275" s="10">
        <v>8.7999999999999972</v>
      </c>
      <c r="I275" s="10">
        <v>20</v>
      </c>
      <c r="J275" s="10">
        <v>48.445999999999998</v>
      </c>
      <c r="K275" t="s">
        <v>77</v>
      </c>
      <c r="L275" t="s">
        <v>143</v>
      </c>
      <c r="M275" s="10">
        <v>8.32</v>
      </c>
      <c r="N275" t="s">
        <v>143</v>
      </c>
    </row>
    <row r="276" spans="1:14" x14ac:dyDescent="0.2">
      <c r="A276" t="s">
        <v>416</v>
      </c>
      <c r="B276" s="10">
        <v>-2.2892378980664336</v>
      </c>
      <c r="C276" s="10">
        <v>0.82000000000000184</v>
      </c>
      <c r="D276" s="10">
        <v>74.3</v>
      </c>
      <c r="E276" s="10">
        <v>9.6999999999999993</v>
      </c>
      <c r="F276" s="10">
        <v>4.8</v>
      </c>
      <c r="G276" s="10">
        <v>4.5</v>
      </c>
      <c r="H276" s="10">
        <v>6.7000000000000028</v>
      </c>
      <c r="I276" s="10">
        <v>46.8</v>
      </c>
      <c r="J276" s="10">
        <v>67.057000000000002</v>
      </c>
      <c r="K276" t="s">
        <v>81</v>
      </c>
      <c r="L276" t="s">
        <v>143</v>
      </c>
      <c r="M276" s="10">
        <v>-10.439999999999998</v>
      </c>
      <c r="N276" t="s">
        <v>143</v>
      </c>
    </row>
    <row r="277" spans="1:14" x14ac:dyDescent="0.2">
      <c r="A277" t="s">
        <v>417</v>
      </c>
      <c r="B277" s="10">
        <v>-10.252617152799502</v>
      </c>
      <c r="C277" s="10">
        <v>-8.2800000000000065</v>
      </c>
      <c r="D277" s="10">
        <v>59.5</v>
      </c>
      <c r="E277" s="10">
        <v>19.100000000000001</v>
      </c>
      <c r="F277" s="10">
        <v>10.7</v>
      </c>
      <c r="G277" s="10">
        <v>3</v>
      </c>
      <c r="H277" s="10">
        <v>7.7000000000000028</v>
      </c>
      <c r="I277" s="10">
        <v>31.6</v>
      </c>
      <c r="J277" s="10">
        <v>62.997999999999998</v>
      </c>
      <c r="K277" t="s">
        <v>81</v>
      </c>
      <c r="L277" t="s">
        <v>143</v>
      </c>
      <c r="M277" s="10">
        <v>-19.540000000000006</v>
      </c>
      <c r="N277" t="s">
        <v>143</v>
      </c>
    </row>
    <row r="278" spans="1:14" x14ac:dyDescent="0.2">
      <c r="A278" t="s">
        <v>418</v>
      </c>
      <c r="B278" s="10">
        <v>13.469718006520253</v>
      </c>
      <c r="C278" s="10">
        <v>14.840000000000012</v>
      </c>
      <c r="D278" s="10">
        <v>58.3</v>
      </c>
      <c r="E278" s="10">
        <v>10.6</v>
      </c>
      <c r="F278" s="10">
        <v>3.9</v>
      </c>
      <c r="G278" s="10">
        <v>19.3</v>
      </c>
      <c r="H278" s="10">
        <v>7.9000000000000057</v>
      </c>
      <c r="I278" s="10">
        <v>51.5</v>
      </c>
      <c r="J278" s="10">
        <v>68.243333333333339</v>
      </c>
      <c r="K278" t="s">
        <v>77</v>
      </c>
      <c r="L278" t="s">
        <v>143</v>
      </c>
      <c r="M278" s="10">
        <v>3.5800000000000125</v>
      </c>
      <c r="N278" t="s">
        <v>143</v>
      </c>
    </row>
    <row r="279" spans="1:14" x14ac:dyDescent="0.2">
      <c r="A279" t="s">
        <v>419</v>
      </c>
      <c r="B279" s="10">
        <v>11.879885780953352</v>
      </c>
      <c r="C279" s="10">
        <v>13.559999999999997</v>
      </c>
      <c r="D279" s="10">
        <v>52.9</v>
      </c>
      <c r="E279" s="10">
        <v>15.9</v>
      </c>
      <c r="F279" s="10">
        <v>19.3</v>
      </c>
      <c r="G279" s="10">
        <v>6.8</v>
      </c>
      <c r="H279" s="10">
        <v>5.0999999999999943</v>
      </c>
      <c r="I279" s="10">
        <v>43.4</v>
      </c>
      <c r="J279" s="10">
        <v>68.763666666666666</v>
      </c>
      <c r="K279" t="s">
        <v>77</v>
      </c>
      <c r="L279" t="s">
        <v>143</v>
      </c>
      <c r="M279" s="10">
        <v>2.2999999999999972</v>
      </c>
      <c r="N279" t="s">
        <v>143</v>
      </c>
    </row>
    <row r="280" spans="1:14" x14ac:dyDescent="0.2">
      <c r="A280" t="s">
        <v>420</v>
      </c>
      <c r="B280" s="10">
        <v>59.261038680858178</v>
      </c>
      <c r="C280" s="10">
        <v>57.11999999999999</v>
      </c>
      <c r="D280" s="10">
        <v>13.2</v>
      </c>
      <c r="E280" s="10">
        <v>17.2</v>
      </c>
      <c r="F280" s="10">
        <v>48.3</v>
      </c>
      <c r="G280" s="10">
        <v>15.8</v>
      </c>
      <c r="H280" s="10">
        <v>5.5</v>
      </c>
      <c r="I280" s="10">
        <v>27.6</v>
      </c>
      <c r="J280" s="10">
        <v>52.207000000000001</v>
      </c>
      <c r="K280" t="s">
        <v>77</v>
      </c>
      <c r="L280" t="s">
        <v>143</v>
      </c>
      <c r="M280" s="10">
        <v>45.859999999999992</v>
      </c>
      <c r="N280" t="s">
        <v>143</v>
      </c>
    </row>
    <row r="281" spans="1:14" x14ac:dyDescent="0.2">
      <c r="A281" t="s">
        <v>421</v>
      </c>
      <c r="B281" s="10">
        <v>38.581485132543236</v>
      </c>
      <c r="C281" s="10">
        <v>34.700000000000003</v>
      </c>
      <c r="D281" s="10">
        <v>25</v>
      </c>
      <c r="E281" s="10">
        <v>21.8</v>
      </c>
      <c r="F281" s="10">
        <v>5.6</v>
      </c>
      <c r="G281" s="10">
        <v>36.9</v>
      </c>
      <c r="H281" s="10">
        <v>10.700000000000003</v>
      </c>
      <c r="I281" s="10">
        <v>38.9</v>
      </c>
      <c r="J281" s="10">
        <v>49.620333333333335</v>
      </c>
      <c r="K281" t="s">
        <v>77</v>
      </c>
      <c r="L281" t="s">
        <v>143</v>
      </c>
      <c r="M281" s="10">
        <v>23.440000000000005</v>
      </c>
      <c r="N281" t="s">
        <v>143</v>
      </c>
    </row>
    <row r="282" spans="1:14" x14ac:dyDescent="0.2">
      <c r="A282" t="s">
        <v>422</v>
      </c>
      <c r="B282" s="10">
        <v>57.781983163844501</v>
      </c>
      <c r="C282" s="10">
        <v>56.74</v>
      </c>
      <c r="D282" s="10">
        <v>37</v>
      </c>
      <c r="E282" s="10">
        <v>32.4</v>
      </c>
      <c r="F282" s="10">
        <v>14.2</v>
      </c>
      <c r="G282" s="10">
        <v>11.5</v>
      </c>
      <c r="H282" s="10">
        <v>4.9000000000000057</v>
      </c>
      <c r="I282" s="10">
        <v>42.9</v>
      </c>
      <c r="J282" s="10">
        <v>54.380333333333333</v>
      </c>
      <c r="K282" t="s">
        <v>77</v>
      </c>
      <c r="L282" t="s">
        <v>145</v>
      </c>
      <c r="M282" s="10">
        <v>45.89</v>
      </c>
      <c r="N282" t="s">
        <v>145</v>
      </c>
    </row>
    <row r="283" spans="1:14" x14ac:dyDescent="0.2">
      <c r="A283" t="s">
        <v>423</v>
      </c>
      <c r="B283" s="10">
        <v>64.472919953430065</v>
      </c>
      <c r="C283" s="10">
        <v>62.04</v>
      </c>
      <c r="D283" s="10">
        <v>28.8</v>
      </c>
      <c r="E283" s="10">
        <v>14.6</v>
      </c>
      <c r="F283" s="10">
        <v>47.2</v>
      </c>
      <c r="G283" s="10">
        <v>7.6</v>
      </c>
      <c r="H283" s="10">
        <v>1.7999999999999972</v>
      </c>
      <c r="I283" s="10">
        <v>33.6</v>
      </c>
      <c r="J283" s="10">
        <v>44.543666666666667</v>
      </c>
      <c r="K283" t="s">
        <v>77</v>
      </c>
      <c r="L283" t="s">
        <v>143</v>
      </c>
      <c r="M283" s="10">
        <v>50.78</v>
      </c>
      <c r="N283" t="s">
        <v>143</v>
      </c>
    </row>
    <row r="284" spans="1:14" x14ac:dyDescent="0.2">
      <c r="A284" t="s">
        <v>424</v>
      </c>
      <c r="B284" s="10">
        <v>60.865864605875821</v>
      </c>
      <c r="C284" s="10">
        <v>59.76</v>
      </c>
      <c r="D284" s="10">
        <v>30.7</v>
      </c>
      <c r="E284" s="10">
        <v>10</v>
      </c>
      <c r="F284" s="10">
        <v>48.3</v>
      </c>
      <c r="G284" s="10">
        <v>7.4</v>
      </c>
      <c r="H284" s="10">
        <v>3.6000000000000085</v>
      </c>
      <c r="I284" s="10">
        <v>36.700000000000003</v>
      </c>
      <c r="J284" s="10">
        <v>48.93333333333333</v>
      </c>
      <c r="K284" t="s">
        <v>77</v>
      </c>
      <c r="L284" t="s">
        <v>143</v>
      </c>
      <c r="M284" s="10">
        <v>48.5</v>
      </c>
      <c r="N284" t="s">
        <v>143</v>
      </c>
    </row>
    <row r="285" spans="1:14" x14ac:dyDescent="0.2">
      <c r="A285" t="s">
        <v>425</v>
      </c>
      <c r="B285" s="10">
        <v>70.731579650364509</v>
      </c>
      <c r="C285" s="10">
        <v>71.289999999999992</v>
      </c>
      <c r="D285" s="10">
        <v>49.7</v>
      </c>
      <c r="E285" s="10">
        <v>17.399999999999999</v>
      </c>
      <c r="F285" s="10">
        <v>7.7</v>
      </c>
      <c r="G285" s="10">
        <v>17.899999999999999</v>
      </c>
      <c r="H285" s="10">
        <v>7.2999999999999972</v>
      </c>
      <c r="I285" s="10">
        <v>60.7</v>
      </c>
      <c r="J285" s="10">
        <v>59.662666666666667</v>
      </c>
      <c r="K285" t="s">
        <v>77</v>
      </c>
      <c r="L285" t="s">
        <v>145</v>
      </c>
      <c r="M285" s="10">
        <v>60.44</v>
      </c>
      <c r="N285" t="s">
        <v>145</v>
      </c>
    </row>
    <row r="286" spans="1:14" x14ac:dyDescent="0.2">
      <c r="A286" t="s">
        <v>426</v>
      </c>
      <c r="B286" s="10">
        <v>-16.809280910163125</v>
      </c>
      <c r="C286" s="10">
        <v>-16.939999999999994</v>
      </c>
      <c r="D286" s="10">
        <v>54.1</v>
      </c>
      <c r="E286" s="10">
        <v>15</v>
      </c>
      <c r="F286" s="10">
        <v>7.4</v>
      </c>
      <c r="G286" s="10">
        <v>16.8</v>
      </c>
      <c r="H286" s="10">
        <v>6.7000000000000028</v>
      </c>
      <c r="I286" s="10">
        <v>36.4</v>
      </c>
      <c r="J286" s="10">
        <v>52.50566666666667</v>
      </c>
      <c r="K286" t="s">
        <v>81</v>
      </c>
      <c r="L286" t="s">
        <v>143</v>
      </c>
      <c r="M286" s="10">
        <v>-28.199999999999996</v>
      </c>
      <c r="N286" t="s">
        <v>143</v>
      </c>
    </row>
    <row r="287" spans="1:14" x14ac:dyDescent="0.2">
      <c r="A287" t="s">
        <v>427</v>
      </c>
      <c r="B287" s="10">
        <v>72.130283180319623</v>
      </c>
      <c r="C287" s="10">
        <v>74.45</v>
      </c>
      <c r="D287" s="10">
        <v>66.099999999999994</v>
      </c>
      <c r="E287" s="10">
        <v>11.5</v>
      </c>
      <c r="F287" s="10">
        <v>5.5</v>
      </c>
      <c r="G287" s="10">
        <v>10.8</v>
      </c>
      <c r="H287" s="10">
        <v>6.1000000000000085</v>
      </c>
      <c r="I287" s="10">
        <v>79.3</v>
      </c>
      <c r="J287" s="10">
        <v>72.367999999999995</v>
      </c>
      <c r="K287" t="s">
        <v>77</v>
      </c>
      <c r="L287" t="s">
        <v>145</v>
      </c>
      <c r="M287" s="10">
        <v>63.6</v>
      </c>
      <c r="N287" t="s">
        <v>145</v>
      </c>
    </row>
    <row r="288" spans="1:14" x14ac:dyDescent="0.2">
      <c r="A288" t="s">
        <v>428</v>
      </c>
      <c r="B288" s="10">
        <v>74.930579673561496</v>
      </c>
      <c r="C288" s="10">
        <v>70.13</v>
      </c>
      <c r="D288" s="10">
        <v>16.899999999999999</v>
      </c>
      <c r="E288" s="10">
        <v>47.4</v>
      </c>
      <c r="F288" s="10">
        <v>28</v>
      </c>
      <c r="G288" s="10">
        <v>4.8</v>
      </c>
      <c r="H288" s="10">
        <v>2.9000000000000057</v>
      </c>
      <c r="I288" s="10">
        <v>34.4</v>
      </c>
      <c r="J288" s="10">
        <v>40.951666666666668</v>
      </c>
      <c r="K288" t="s">
        <v>77</v>
      </c>
      <c r="L288" t="s">
        <v>145</v>
      </c>
      <c r="M288" s="10">
        <v>59.28</v>
      </c>
      <c r="N288" t="s">
        <v>145</v>
      </c>
    </row>
    <row r="289" spans="1:14" x14ac:dyDescent="0.2">
      <c r="A289" t="s">
        <v>429</v>
      </c>
      <c r="B289" s="10">
        <v>53.774087751520817</v>
      </c>
      <c r="C289" s="10">
        <v>49.659999999999989</v>
      </c>
      <c r="D289" s="10">
        <v>19.600000000000001</v>
      </c>
      <c r="E289" s="10">
        <v>45.9</v>
      </c>
      <c r="F289" s="10">
        <v>20.5</v>
      </c>
      <c r="G289" s="10">
        <v>10.199999999999999</v>
      </c>
      <c r="H289" s="10">
        <v>3.7999999999999972</v>
      </c>
      <c r="I289" s="10">
        <v>27</v>
      </c>
      <c r="J289" s="10">
        <v>45.350666666666669</v>
      </c>
      <c r="K289" t="s">
        <v>77</v>
      </c>
      <c r="L289" t="s">
        <v>143</v>
      </c>
      <c r="M289" s="10">
        <v>38.399999999999991</v>
      </c>
      <c r="N289" t="s">
        <v>143</v>
      </c>
    </row>
    <row r="290" spans="1:14" x14ac:dyDescent="0.2">
      <c r="A290" t="s">
        <v>430</v>
      </c>
      <c r="B290" s="10">
        <v>72.857222592082394</v>
      </c>
      <c r="C290" s="10">
        <v>67.97999999999999</v>
      </c>
      <c r="D290" s="10">
        <v>10.3</v>
      </c>
      <c r="E290" s="10">
        <v>51.5</v>
      </c>
      <c r="F290" s="10">
        <v>33.5</v>
      </c>
      <c r="G290" s="10">
        <v>2.8</v>
      </c>
      <c r="H290" s="10">
        <v>1.9000000000000057</v>
      </c>
      <c r="I290" s="10">
        <v>21.3</v>
      </c>
      <c r="J290" s="10">
        <v>39.03</v>
      </c>
      <c r="K290" t="s">
        <v>77</v>
      </c>
      <c r="L290" t="s">
        <v>143</v>
      </c>
      <c r="M290" s="10">
        <v>56.72</v>
      </c>
      <c r="N290" t="s">
        <v>143</v>
      </c>
    </row>
    <row r="291" spans="1:14" x14ac:dyDescent="0.2">
      <c r="A291" t="s">
        <v>431</v>
      </c>
      <c r="B291" s="10">
        <v>53.397359326397812</v>
      </c>
      <c r="C291" s="10">
        <v>54.419999999999995</v>
      </c>
      <c r="D291" s="10">
        <v>41.7</v>
      </c>
      <c r="E291" s="10">
        <v>22.6</v>
      </c>
      <c r="F291" s="10">
        <v>22.8</v>
      </c>
      <c r="G291" s="10">
        <v>6</v>
      </c>
      <c r="H291" s="10">
        <v>6.8999999999999915</v>
      </c>
      <c r="I291" s="10">
        <v>47</v>
      </c>
      <c r="J291" s="10">
        <v>57.017000000000003</v>
      </c>
      <c r="K291" t="s">
        <v>77</v>
      </c>
      <c r="L291" t="s">
        <v>143</v>
      </c>
      <c r="M291" s="10">
        <v>43.16</v>
      </c>
      <c r="N291" t="s">
        <v>143</v>
      </c>
    </row>
    <row r="292" spans="1:14" x14ac:dyDescent="0.2">
      <c r="A292" t="s">
        <v>432</v>
      </c>
      <c r="B292" s="10">
        <v>2.2732032451990176</v>
      </c>
      <c r="C292" s="10">
        <v>4.8200000000000021</v>
      </c>
      <c r="D292" s="10">
        <v>65.8</v>
      </c>
      <c r="E292" s="10">
        <v>13.9</v>
      </c>
      <c r="F292" s="10">
        <v>8.4</v>
      </c>
      <c r="G292" s="10">
        <v>5.2</v>
      </c>
      <c r="H292" s="10">
        <v>6.7000000000000028</v>
      </c>
      <c r="I292" s="10">
        <v>48.5</v>
      </c>
      <c r="J292" s="10">
        <v>63.553666666666665</v>
      </c>
      <c r="K292" t="s">
        <v>81</v>
      </c>
      <c r="L292" t="s">
        <v>143</v>
      </c>
      <c r="M292" s="10">
        <v>-6.4399999999999977</v>
      </c>
      <c r="N292" t="s">
        <v>143</v>
      </c>
    </row>
    <row r="293" spans="1:14" x14ac:dyDescent="0.2">
      <c r="A293" t="s">
        <v>433</v>
      </c>
      <c r="B293" s="10">
        <v>23.810337238730803</v>
      </c>
      <c r="C293" s="10">
        <v>25.600000000000005</v>
      </c>
      <c r="D293" s="10">
        <v>66.099999999999994</v>
      </c>
      <c r="E293" s="10">
        <v>13.8</v>
      </c>
      <c r="F293" s="10">
        <v>11.1</v>
      </c>
      <c r="G293" s="10">
        <v>2.7</v>
      </c>
      <c r="H293" s="10">
        <v>6.3000000000000114</v>
      </c>
      <c r="I293" s="10">
        <v>34.5</v>
      </c>
      <c r="J293" s="10">
        <v>54.041333333333334</v>
      </c>
      <c r="K293" t="s">
        <v>77</v>
      </c>
      <c r="L293" t="s">
        <v>143</v>
      </c>
      <c r="M293" s="10">
        <v>14.340000000000003</v>
      </c>
      <c r="N293" t="s">
        <v>143</v>
      </c>
    </row>
    <row r="294" spans="1:14" x14ac:dyDescent="0.2">
      <c r="A294" t="s">
        <v>434</v>
      </c>
      <c r="B294" s="10">
        <v>12.165979608374508</v>
      </c>
      <c r="C294" s="10">
        <v>13.479999999999999</v>
      </c>
      <c r="D294" s="10">
        <v>82</v>
      </c>
      <c r="E294" s="10">
        <v>4.8</v>
      </c>
      <c r="F294" s="10">
        <v>4.4000000000000004</v>
      </c>
      <c r="G294" s="10">
        <v>2.7</v>
      </c>
      <c r="H294" s="10">
        <v>6.0999999999999943</v>
      </c>
      <c r="I294" s="10">
        <v>32.700000000000003</v>
      </c>
      <c r="J294" s="10">
        <v>47.548333333333332</v>
      </c>
      <c r="K294" t="s">
        <v>77</v>
      </c>
      <c r="L294" t="s">
        <v>143</v>
      </c>
      <c r="M294" s="10">
        <v>2.2199999999999989</v>
      </c>
      <c r="N294" t="s">
        <v>143</v>
      </c>
    </row>
    <row r="295" spans="1:14" x14ac:dyDescent="0.2">
      <c r="A295" t="s">
        <v>435</v>
      </c>
      <c r="B295" s="10">
        <v>31.482449562684927</v>
      </c>
      <c r="C295" s="10">
        <v>33.519999999999996</v>
      </c>
      <c r="D295" s="10">
        <v>75.5</v>
      </c>
      <c r="E295" s="10">
        <v>4.9000000000000004</v>
      </c>
      <c r="F295" s="10">
        <v>9</v>
      </c>
      <c r="G295" s="10">
        <v>3.7</v>
      </c>
      <c r="H295" s="10">
        <v>6.9000000000000057</v>
      </c>
      <c r="I295" s="10">
        <v>41.1</v>
      </c>
      <c r="J295" s="10">
        <v>51.585999999999999</v>
      </c>
      <c r="K295" t="s">
        <v>77</v>
      </c>
      <c r="L295" t="s">
        <v>143</v>
      </c>
      <c r="M295" s="10">
        <v>22.259999999999998</v>
      </c>
      <c r="N295" t="s">
        <v>143</v>
      </c>
    </row>
    <row r="296" spans="1:14" x14ac:dyDescent="0.2">
      <c r="A296" t="s">
        <v>436</v>
      </c>
      <c r="B296" s="10">
        <v>-10.925168095681041</v>
      </c>
      <c r="C296" s="10">
        <v>-9.7999999999999989</v>
      </c>
      <c r="D296" s="10">
        <v>88.1</v>
      </c>
      <c r="E296" s="10">
        <v>3.3</v>
      </c>
      <c r="F296" s="10">
        <v>2.8</v>
      </c>
      <c r="G296" s="10">
        <v>0.9</v>
      </c>
      <c r="H296" s="10">
        <v>4.9000000000000057</v>
      </c>
      <c r="I296" s="10">
        <v>26.1</v>
      </c>
      <c r="J296" s="10">
        <v>47.188333333333333</v>
      </c>
      <c r="K296" t="s">
        <v>81</v>
      </c>
      <c r="L296" t="s">
        <v>145</v>
      </c>
      <c r="M296" s="10">
        <v>-20.65</v>
      </c>
      <c r="N296" t="s">
        <v>145</v>
      </c>
    </row>
    <row r="297" spans="1:14" x14ac:dyDescent="0.2">
      <c r="A297" t="s">
        <v>437</v>
      </c>
      <c r="B297" s="10">
        <v>19.061503040166457</v>
      </c>
      <c r="C297" s="10">
        <v>20.379999999999992</v>
      </c>
      <c r="D297" s="10">
        <v>79.099999999999994</v>
      </c>
      <c r="E297" s="10">
        <v>4.0999999999999996</v>
      </c>
      <c r="F297" s="10">
        <v>8.4</v>
      </c>
      <c r="G297" s="10">
        <v>2.6</v>
      </c>
      <c r="H297" s="10">
        <v>5.8000000000000114</v>
      </c>
      <c r="I297" s="10">
        <v>33.200000000000003</v>
      </c>
      <c r="J297" s="10">
        <v>47.980333333333334</v>
      </c>
      <c r="K297" t="s">
        <v>77</v>
      </c>
      <c r="L297" t="s">
        <v>143</v>
      </c>
      <c r="M297" s="10">
        <v>9.1199999999999903</v>
      </c>
      <c r="N297" t="s">
        <v>143</v>
      </c>
    </row>
    <row r="298" spans="1:14" x14ac:dyDescent="0.2">
      <c r="A298" t="s">
        <v>438</v>
      </c>
      <c r="B298" s="10">
        <v>-22.0015078264096</v>
      </c>
      <c r="C298" s="10">
        <v>-20.360000000000003</v>
      </c>
      <c r="D298" s="10">
        <v>89.7</v>
      </c>
      <c r="E298" s="10">
        <v>2.6</v>
      </c>
      <c r="F298" s="10">
        <v>2.7</v>
      </c>
      <c r="G298" s="10">
        <v>0.9</v>
      </c>
      <c r="H298" s="10">
        <v>4.0999999999999943</v>
      </c>
      <c r="I298" s="10">
        <v>29.5</v>
      </c>
      <c r="J298" s="10">
        <v>47.129333333333335</v>
      </c>
      <c r="K298" t="s">
        <v>81</v>
      </c>
      <c r="L298" t="s">
        <v>143</v>
      </c>
      <c r="M298" s="10">
        <v>-31.620000000000005</v>
      </c>
      <c r="N298" t="s">
        <v>143</v>
      </c>
    </row>
    <row r="299" spans="1:14" x14ac:dyDescent="0.2">
      <c r="A299" t="s">
        <v>439</v>
      </c>
      <c r="B299" s="10">
        <v>-21.584160449355544</v>
      </c>
      <c r="C299" s="10">
        <v>-20.080000000000002</v>
      </c>
      <c r="D299" s="10">
        <v>88.7</v>
      </c>
      <c r="E299" s="10">
        <v>2.9</v>
      </c>
      <c r="F299" s="10">
        <v>3.4</v>
      </c>
      <c r="G299" s="10">
        <v>0.9</v>
      </c>
      <c r="H299" s="10">
        <v>4.0999999999999943</v>
      </c>
      <c r="I299" s="10">
        <v>25.7</v>
      </c>
      <c r="J299" s="10">
        <v>47.034333333333336</v>
      </c>
      <c r="K299" t="s">
        <v>81</v>
      </c>
      <c r="L299" t="s">
        <v>143</v>
      </c>
      <c r="M299" s="10">
        <v>-31.340000000000003</v>
      </c>
      <c r="N299" t="s">
        <v>143</v>
      </c>
    </row>
    <row r="300" spans="1:14" x14ac:dyDescent="0.2">
      <c r="A300" t="s">
        <v>440</v>
      </c>
      <c r="B300" s="10">
        <v>32.089282502093091</v>
      </c>
      <c r="C300" s="10">
        <v>32.899999999999991</v>
      </c>
      <c r="D300" s="10">
        <v>70.7</v>
      </c>
      <c r="E300" s="10">
        <v>7.6</v>
      </c>
      <c r="F300" s="10">
        <v>13.9</v>
      </c>
      <c r="G300" s="10">
        <v>2.7</v>
      </c>
      <c r="H300" s="10">
        <v>5.0999999999999943</v>
      </c>
      <c r="I300" s="10">
        <v>40</v>
      </c>
      <c r="J300" s="10">
        <v>47.591666666666669</v>
      </c>
      <c r="K300" t="s">
        <v>77</v>
      </c>
      <c r="L300" t="s">
        <v>143</v>
      </c>
      <c r="M300" s="10">
        <v>21.639999999999993</v>
      </c>
      <c r="N300" t="s">
        <v>143</v>
      </c>
    </row>
    <row r="301" spans="1:14" x14ac:dyDescent="0.2">
      <c r="A301" t="s">
        <v>441</v>
      </c>
      <c r="B301" s="10">
        <v>41.16007004489655</v>
      </c>
      <c r="C301" s="10">
        <v>41.599999999999987</v>
      </c>
      <c r="D301" s="10">
        <v>68.8</v>
      </c>
      <c r="E301" s="10">
        <v>5.6</v>
      </c>
      <c r="F301" s="10">
        <v>16.2</v>
      </c>
      <c r="G301" s="10">
        <v>3</v>
      </c>
      <c r="H301" s="10">
        <v>6.4000000000000057</v>
      </c>
      <c r="I301" s="10">
        <v>34.4</v>
      </c>
      <c r="J301" s="10">
        <v>46.331666666666663</v>
      </c>
      <c r="K301" t="s">
        <v>77</v>
      </c>
      <c r="L301" t="s">
        <v>143</v>
      </c>
      <c r="M301" s="10">
        <v>30.339999999999989</v>
      </c>
      <c r="N301" t="s">
        <v>143</v>
      </c>
    </row>
    <row r="302" spans="1:14" x14ac:dyDescent="0.2">
      <c r="A302" t="s">
        <v>442</v>
      </c>
      <c r="B302" s="10">
        <v>9.2558033222446898</v>
      </c>
      <c r="C302" s="10">
        <v>10.859999999999994</v>
      </c>
      <c r="D302" s="10">
        <v>70.2</v>
      </c>
      <c r="E302" s="10">
        <v>2.5</v>
      </c>
      <c r="F302" s="10">
        <v>19.399999999999999</v>
      </c>
      <c r="G302" s="10">
        <v>2.7</v>
      </c>
      <c r="H302" s="10">
        <v>5.2000000000000028</v>
      </c>
      <c r="I302" s="10">
        <v>45.1</v>
      </c>
      <c r="J302" s="10">
        <v>49.924333333333337</v>
      </c>
      <c r="K302" t="s">
        <v>77</v>
      </c>
      <c r="L302" t="s">
        <v>143</v>
      </c>
      <c r="M302" s="10">
        <v>-0.40000000000000568</v>
      </c>
      <c r="N302" t="s">
        <v>143</v>
      </c>
    </row>
    <row r="303" spans="1:14" x14ac:dyDescent="0.2">
      <c r="A303" t="s">
        <v>443</v>
      </c>
      <c r="B303" s="10">
        <v>-31.435737325698373</v>
      </c>
      <c r="C303" s="10">
        <v>-30.140000000000004</v>
      </c>
      <c r="D303" s="10">
        <v>92.4</v>
      </c>
      <c r="E303" s="10">
        <v>1.1000000000000001</v>
      </c>
      <c r="F303" s="10">
        <v>2.7</v>
      </c>
      <c r="G303" s="10">
        <v>0.5</v>
      </c>
      <c r="H303" s="10">
        <v>3.2999999999999972</v>
      </c>
      <c r="I303" s="10">
        <v>20.3</v>
      </c>
      <c r="J303" s="10">
        <v>45.529666666666664</v>
      </c>
      <c r="K303" t="s">
        <v>81</v>
      </c>
      <c r="L303" t="s">
        <v>143</v>
      </c>
      <c r="M303" s="10">
        <v>-41.400000000000006</v>
      </c>
      <c r="N303" t="s">
        <v>143</v>
      </c>
    </row>
    <row r="304" spans="1:14" x14ac:dyDescent="0.2">
      <c r="A304" t="s">
        <v>444</v>
      </c>
      <c r="B304" s="10">
        <v>52.185604532718202</v>
      </c>
      <c r="C304" s="10">
        <v>52.660000000000004</v>
      </c>
      <c r="D304" s="10">
        <v>59.5</v>
      </c>
      <c r="E304" s="10">
        <v>3.1</v>
      </c>
      <c r="F304" s="10">
        <v>27.6</v>
      </c>
      <c r="G304" s="10">
        <v>4.0999999999999996</v>
      </c>
      <c r="H304" s="10">
        <v>5.7000000000000028</v>
      </c>
      <c r="I304" s="10">
        <v>44.2</v>
      </c>
      <c r="J304" s="10">
        <v>47.573333333333331</v>
      </c>
      <c r="K304" t="s">
        <v>77</v>
      </c>
      <c r="L304" t="s">
        <v>143</v>
      </c>
      <c r="M304" s="10">
        <v>41.400000000000006</v>
      </c>
      <c r="N304" t="s">
        <v>143</v>
      </c>
    </row>
    <row r="305" spans="1:14" x14ac:dyDescent="0.2">
      <c r="A305" t="s">
        <v>445</v>
      </c>
      <c r="B305" s="10">
        <v>-34.29229471265343</v>
      </c>
      <c r="C305" s="10">
        <v>-32.370892678034103</v>
      </c>
      <c r="D305" s="10">
        <v>86.9</v>
      </c>
      <c r="E305" s="10">
        <v>1.9</v>
      </c>
      <c r="F305" s="10">
        <v>5.6</v>
      </c>
      <c r="G305" s="10">
        <v>1.8</v>
      </c>
      <c r="H305" s="10">
        <v>3.7999999999999972</v>
      </c>
      <c r="I305" s="10">
        <v>28.2</v>
      </c>
      <c r="J305" s="10">
        <v>49.179000000000002</v>
      </c>
      <c r="K305" t="s">
        <v>81</v>
      </c>
      <c r="L305" t="s">
        <v>143</v>
      </c>
      <c r="M305" s="10">
        <v>-43.630892678034101</v>
      </c>
      <c r="N305" t="s">
        <v>143</v>
      </c>
    </row>
    <row r="306" spans="1:14" x14ac:dyDescent="0.2">
      <c r="A306" t="s">
        <v>446</v>
      </c>
      <c r="B306" s="10">
        <v>-16.845172753607461</v>
      </c>
      <c r="C306" s="10">
        <v>-15.775175879396986</v>
      </c>
      <c r="D306" s="10">
        <v>86</v>
      </c>
      <c r="E306" s="10">
        <v>5.9</v>
      </c>
      <c r="F306" s="10">
        <v>4.5999999999999996</v>
      </c>
      <c r="G306" s="10">
        <v>0.8</v>
      </c>
      <c r="H306" s="10">
        <v>2.7000000000000028</v>
      </c>
      <c r="I306" s="10">
        <v>24</v>
      </c>
      <c r="J306" s="10">
        <v>46.444333333333333</v>
      </c>
      <c r="K306" t="s">
        <v>81</v>
      </c>
      <c r="L306" t="s">
        <v>143</v>
      </c>
      <c r="M306" s="10">
        <v>-27.035175879396988</v>
      </c>
      <c r="N306" t="s">
        <v>143</v>
      </c>
    </row>
    <row r="307" spans="1:14" x14ac:dyDescent="0.2">
      <c r="A307" t="s">
        <v>447</v>
      </c>
      <c r="B307" s="10">
        <v>-23.882368058270078</v>
      </c>
      <c r="C307" s="10">
        <v>-23.143209628886662</v>
      </c>
      <c r="D307" s="10">
        <v>87.4</v>
      </c>
      <c r="E307" s="10">
        <v>2.4</v>
      </c>
      <c r="F307" s="10">
        <v>6.5</v>
      </c>
      <c r="G307" s="10">
        <v>0.5</v>
      </c>
      <c r="H307" s="10">
        <v>3.1999999999999886</v>
      </c>
      <c r="I307" s="10">
        <v>20.100000000000001</v>
      </c>
      <c r="J307" s="10">
        <v>44.272333333333336</v>
      </c>
      <c r="K307" t="s">
        <v>81</v>
      </c>
      <c r="L307" t="s">
        <v>143</v>
      </c>
      <c r="M307" s="10">
        <v>-34.403209628886664</v>
      </c>
      <c r="N307" t="s">
        <v>143</v>
      </c>
    </row>
    <row r="308" spans="1:14" x14ac:dyDescent="0.2">
      <c r="A308" t="s">
        <v>448</v>
      </c>
      <c r="B308" s="10">
        <v>-2.4606430008721816</v>
      </c>
      <c r="C308" s="10">
        <v>0.1712903225806402</v>
      </c>
      <c r="D308" s="10">
        <v>88.1</v>
      </c>
      <c r="E308" s="10">
        <v>3</v>
      </c>
      <c r="F308" s="10">
        <v>3.7</v>
      </c>
      <c r="G308" s="10">
        <v>2.6</v>
      </c>
      <c r="H308" s="10">
        <v>2.6000000000000085</v>
      </c>
      <c r="I308" s="10">
        <v>37</v>
      </c>
      <c r="J308" s="10">
        <v>52.053333333333335</v>
      </c>
      <c r="K308" t="s">
        <v>81</v>
      </c>
      <c r="L308" t="s">
        <v>143</v>
      </c>
      <c r="M308" s="10">
        <v>-11.088709677419359</v>
      </c>
      <c r="N308" t="s">
        <v>143</v>
      </c>
    </row>
    <row r="309" spans="1:14" x14ac:dyDescent="0.2">
      <c r="A309" t="s">
        <v>449</v>
      </c>
      <c r="B309" s="10">
        <v>-7.3286712637351412</v>
      </c>
      <c r="C309" s="10">
        <v>-5.74</v>
      </c>
      <c r="D309" s="10">
        <v>77.400000000000006</v>
      </c>
      <c r="E309" s="10">
        <v>1.8</v>
      </c>
      <c r="F309" s="10">
        <v>13.3</v>
      </c>
      <c r="G309" s="10">
        <v>2.1</v>
      </c>
      <c r="H309" s="10">
        <v>5.3999999999999915</v>
      </c>
      <c r="I309" s="10">
        <v>29.6</v>
      </c>
      <c r="J309" s="10">
        <v>49.249333333333333</v>
      </c>
      <c r="K309" t="s">
        <v>81</v>
      </c>
      <c r="L309" t="s">
        <v>143</v>
      </c>
      <c r="M309" s="10">
        <v>-17</v>
      </c>
      <c r="N309" t="s">
        <v>143</v>
      </c>
    </row>
    <row r="310" spans="1:14" x14ac:dyDescent="0.2">
      <c r="A310" t="s">
        <v>450</v>
      </c>
      <c r="B310" s="10">
        <v>5.285949217254486</v>
      </c>
      <c r="C310" s="10">
        <v>5.865809128630703</v>
      </c>
      <c r="D310" s="10">
        <v>77.7</v>
      </c>
      <c r="E310" s="10">
        <v>5.8</v>
      </c>
      <c r="F310" s="10">
        <v>12.1</v>
      </c>
      <c r="G310" s="10">
        <v>1.2</v>
      </c>
      <c r="H310" s="10">
        <v>3.2000000000000028</v>
      </c>
      <c r="I310" s="10">
        <v>26.6</v>
      </c>
      <c r="J310" s="10">
        <v>45.69233333333333</v>
      </c>
      <c r="K310" t="s">
        <v>77</v>
      </c>
      <c r="L310" t="s">
        <v>143</v>
      </c>
      <c r="M310" s="10">
        <v>-5.3941908713692968</v>
      </c>
      <c r="N310" t="s">
        <v>143</v>
      </c>
    </row>
    <row r="311" spans="1:14" x14ac:dyDescent="0.2">
      <c r="A311" t="s">
        <v>451</v>
      </c>
      <c r="B311" s="10">
        <v>-9.878489137620317</v>
      </c>
      <c r="C311" s="10">
        <v>-9.1103703703703669</v>
      </c>
      <c r="D311" s="10">
        <v>73.5</v>
      </c>
      <c r="E311" s="10">
        <v>2.2999999999999998</v>
      </c>
      <c r="F311" s="10">
        <v>17.399999999999999</v>
      </c>
      <c r="G311" s="10">
        <v>1.9</v>
      </c>
      <c r="H311" s="10">
        <v>4.9000000000000057</v>
      </c>
      <c r="I311" s="10">
        <v>31.1</v>
      </c>
      <c r="J311" s="10">
        <v>46.390999999999998</v>
      </c>
      <c r="K311" t="s">
        <v>81</v>
      </c>
      <c r="L311" t="s">
        <v>143</v>
      </c>
      <c r="M311" s="10">
        <v>-20.370370370370367</v>
      </c>
      <c r="N311" t="s">
        <v>143</v>
      </c>
    </row>
    <row r="312" spans="1:14" x14ac:dyDescent="0.2">
      <c r="A312" t="s">
        <v>452</v>
      </c>
      <c r="B312" s="10">
        <v>72.737892171441871</v>
      </c>
      <c r="C312" s="10">
        <v>71.219141981613873</v>
      </c>
      <c r="D312" s="10">
        <v>44.5</v>
      </c>
      <c r="E312" s="10">
        <v>6.2</v>
      </c>
      <c r="F312" s="10">
        <v>44.1</v>
      </c>
      <c r="G312" s="10">
        <v>2</v>
      </c>
      <c r="H312" s="10">
        <v>3.2000000000000028</v>
      </c>
      <c r="I312" s="10">
        <v>31.7</v>
      </c>
      <c r="J312" s="10">
        <v>41.742666666666665</v>
      </c>
      <c r="K312" t="s">
        <v>77</v>
      </c>
      <c r="L312" t="s">
        <v>143</v>
      </c>
      <c r="M312" s="10">
        <v>59.959141981613882</v>
      </c>
      <c r="N312" t="s">
        <v>143</v>
      </c>
    </row>
    <row r="313" spans="1:14" x14ac:dyDescent="0.2">
      <c r="A313" t="s">
        <v>453</v>
      </c>
      <c r="B313" s="10">
        <v>-24.975128445211983</v>
      </c>
      <c r="C313" s="10">
        <v>-23.139999999999997</v>
      </c>
      <c r="D313" s="10">
        <v>89.5</v>
      </c>
      <c r="E313" s="10">
        <v>1.4</v>
      </c>
      <c r="F313" s="10">
        <v>4.2</v>
      </c>
      <c r="G313" s="10">
        <v>1.4</v>
      </c>
      <c r="H313" s="10">
        <v>3.5</v>
      </c>
      <c r="I313" s="10">
        <v>26.6</v>
      </c>
      <c r="J313" s="10">
        <v>48.273000000000003</v>
      </c>
      <c r="K313" t="s">
        <v>81</v>
      </c>
      <c r="L313" t="s">
        <v>143</v>
      </c>
      <c r="M313" s="10">
        <v>-34.4</v>
      </c>
      <c r="N313" t="s">
        <v>143</v>
      </c>
    </row>
    <row r="314" spans="1:14" x14ac:dyDescent="0.2">
      <c r="A314" t="s">
        <v>454</v>
      </c>
      <c r="B314" s="10">
        <v>15.192549421309032</v>
      </c>
      <c r="C314" s="10">
        <v>16.259999999999998</v>
      </c>
      <c r="D314" s="10">
        <v>78.7</v>
      </c>
      <c r="E314" s="10">
        <v>1.7</v>
      </c>
      <c r="F314" s="10">
        <v>13.2</v>
      </c>
      <c r="G314" s="10">
        <v>2.1</v>
      </c>
      <c r="H314" s="10">
        <v>4.2999999999999972</v>
      </c>
      <c r="I314" s="10">
        <v>32.5</v>
      </c>
      <c r="J314" s="10">
        <v>46.667000000000002</v>
      </c>
      <c r="K314" t="s">
        <v>77</v>
      </c>
      <c r="L314" t="s">
        <v>143</v>
      </c>
      <c r="M314" s="10">
        <v>5</v>
      </c>
      <c r="N314" t="s">
        <v>143</v>
      </c>
    </row>
    <row r="315" spans="1:14" x14ac:dyDescent="0.2">
      <c r="A315" t="s">
        <v>455</v>
      </c>
      <c r="B315" s="10">
        <v>-19.366873199010342</v>
      </c>
      <c r="C315" s="10">
        <v>-17.940000000000008</v>
      </c>
      <c r="D315" s="10">
        <v>87.8</v>
      </c>
      <c r="E315" s="10">
        <v>2.1</v>
      </c>
      <c r="F315" s="10">
        <v>5.4</v>
      </c>
      <c r="G315" s="10">
        <v>1</v>
      </c>
      <c r="H315" s="10">
        <v>3.7000000000000028</v>
      </c>
      <c r="I315" s="10">
        <v>27</v>
      </c>
      <c r="J315" s="10">
        <v>46.738</v>
      </c>
      <c r="K315" t="s">
        <v>81</v>
      </c>
      <c r="L315" t="s">
        <v>143</v>
      </c>
      <c r="M315" s="10">
        <v>-29.20000000000001</v>
      </c>
      <c r="N315" t="s">
        <v>143</v>
      </c>
    </row>
    <row r="316" spans="1:14" x14ac:dyDescent="0.2">
      <c r="A316" t="s">
        <v>456</v>
      </c>
      <c r="B316" s="10">
        <v>-3.4705724435613909</v>
      </c>
      <c r="C316" s="10">
        <v>-2.0533133133133088</v>
      </c>
      <c r="D316" s="10">
        <v>76.599999999999994</v>
      </c>
      <c r="E316" s="10">
        <v>2.6</v>
      </c>
      <c r="F316" s="10">
        <v>11</v>
      </c>
      <c r="G316" s="10">
        <v>3.2</v>
      </c>
      <c r="H316" s="10">
        <v>6.6000000000000085</v>
      </c>
      <c r="I316" s="10">
        <v>32.5</v>
      </c>
      <c r="J316" s="10">
        <v>48.76166666666667</v>
      </c>
      <c r="K316" t="s">
        <v>81</v>
      </c>
      <c r="L316" t="s">
        <v>143</v>
      </c>
      <c r="M316" s="10">
        <v>-13.313313313313309</v>
      </c>
      <c r="N316" t="s">
        <v>143</v>
      </c>
    </row>
    <row r="317" spans="1:14" x14ac:dyDescent="0.2">
      <c r="A317" t="s">
        <v>457</v>
      </c>
      <c r="B317" s="10">
        <v>-10.743349092495873</v>
      </c>
      <c r="C317" s="10">
        <v>-10.680000000000001</v>
      </c>
      <c r="D317" s="10">
        <v>62.2</v>
      </c>
      <c r="E317" s="10">
        <v>6.6</v>
      </c>
      <c r="F317" s="10">
        <v>9.9</v>
      </c>
      <c r="G317" s="10">
        <v>2.7</v>
      </c>
      <c r="H317" s="10">
        <v>18.599999999999994</v>
      </c>
      <c r="I317" s="10">
        <v>32.1</v>
      </c>
      <c r="J317" s="10">
        <v>46.48833333333333</v>
      </c>
      <c r="K317" t="s">
        <v>81</v>
      </c>
      <c r="L317" t="s">
        <v>145</v>
      </c>
      <c r="M317" s="10">
        <v>-21.53</v>
      </c>
      <c r="N317" t="s">
        <v>145</v>
      </c>
    </row>
    <row r="318" spans="1:14" x14ac:dyDescent="0.2">
      <c r="A318" t="s">
        <v>458</v>
      </c>
      <c r="B318" s="10">
        <v>-44.039797604000896</v>
      </c>
      <c r="C318" s="10">
        <v>-43.879999999999995</v>
      </c>
      <c r="D318" s="10">
        <v>65.400000000000006</v>
      </c>
      <c r="E318" s="10">
        <v>3.5</v>
      </c>
      <c r="F318" s="10">
        <v>4.0999999999999996</v>
      </c>
      <c r="G318" s="10">
        <v>0.8</v>
      </c>
      <c r="H318" s="10">
        <v>26.199999999999989</v>
      </c>
      <c r="I318" s="10">
        <v>19.100000000000001</v>
      </c>
      <c r="J318" s="10">
        <v>41.925333333333334</v>
      </c>
      <c r="K318" t="s">
        <v>81</v>
      </c>
      <c r="L318" t="s">
        <v>143</v>
      </c>
      <c r="M318" s="10">
        <v>-55.139999999999993</v>
      </c>
      <c r="N318" t="s">
        <v>143</v>
      </c>
    </row>
    <row r="319" spans="1:14" x14ac:dyDescent="0.2">
      <c r="A319" t="s">
        <v>459</v>
      </c>
      <c r="B319" s="10">
        <v>-35.186045548623071</v>
      </c>
      <c r="C319" s="10">
        <v>-35.68</v>
      </c>
      <c r="D319" s="10">
        <v>64.7</v>
      </c>
      <c r="E319" s="10">
        <v>10.9</v>
      </c>
      <c r="F319" s="10">
        <v>6.1</v>
      </c>
      <c r="G319" s="10">
        <v>1.5</v>
      </c>
      <c r="H319" s="10">
        <v>16.799999999999997</v>
      </c>
      <c r="I319" s="10">
        <v>21.2</v>
      </c>
      <c r="J319" s="10">
        <v>43.132333333333335</v>
      </c>
      <c r="K319" t="s">
        <v>81</v>
      </c>
      <c r="L319" t="s">
        <v>143</v>
      </c>
      <c r="M319" s="10">
        <v>-46.94</v>
      </c>
      <c r="N319" t="s">
        <v>143</v>
      </c>
    </row>
    <row r="320" spans="1:14" x14ac:dyDescent="0.2">
      <c r="A320" t="s">
        <v>460</v>
      </c>
      <c r="B320" s="10">
        <v>-28.606076671750419</v>
      </c>
      <c r="C320" s="10">
        <v>-28.27999999999999</v>
      </c>
      <c r="D320" s="10">
        <v>67.900000000000006</v>
      </c>
      <c r="E320" s="10">
        <v>7.2</v>
      </c>
      <c r="F320" s="10">
        <v>8.5</v>
      </c>
      <c r="G320" s="10">
        <v>2.5</v>
      </c>
      <c r="H320" s="10">
        <v>13.899999999999991</v>
      </c>
      <c r="I320" s="10">
        <v>26.9</v>
      </c>
      <c r="J320" s="10">
        <v>45.689</v>
      </c>
      <c r="K320" t="s">
        <v>81</v>
      </c>
      <c r="L320" t="s">
        <v>143</v>
      </c>
      <c r="M320" s="10">
        <v>-39.539999999999992</v>
      </c>
      <c r="N320" t="s">
        <v>143</v>
      </c>
    </row>
    <row r="321" spans="1:14" x14ac:dyDescent="0.2">
      <c r="A321" t="s">
        <v>461</v>
      </c>
      <c r="B321" s="10">
        <v>-10.989335297229381</v>
      </c>
      <c r="C321" s="10">
        <v>-10.119999999999996</v>
      </c>
      <c r="D321" s="10">
        <v>65.8</v>
      </c>
      <c r="E321" s="10">
        <v>5.7</v>
      </c>
      <c r="F321" s="10">
        <v>12.5</v>
      </c>
      <c r="G321" s="10">
        <v>2.9</v>
      </c>
      <c r="H321" s="10">
        <v>13.100000000000009</v>
      </c>
      <c r="I321" s="10">
        <v>37</v>
      </c>
      <c r="J321" s="10">
        <v>47.75633333333333</v>
      </c>
      <c r="K321" t="s">
        <v>81</v>
      </c>
      <c r="L321" t="s">
        <v>143</v>
      </c>
      <c r="M321" s="10">
        <v>-21.379999999999995</v>
      </c>
      <c r="N321" t="s">
        <v>143</v>
      </c>
    </row>
    <row r="322" spans="1:14" x14ac:dyDescent="0.2">
      <c r="A322" t="s">
        <v>462</v>
      </c>
      <c r="B322" s="10">
        <v>51.063346618389183</v>
      </c>
      <c r="C322" s="10">
        <v>53.160000000000004</v>
      </c>
      <c r="D322" s="10">
        <v>69</v>
      </c>
      <c r="E322" s="10">
        <v>9.6999999999999993</v>
      </c>
      <c r="F322" s="10">
        <v>2.7</v>
      </c>
      <c r="G322" s="10">
        <v>8.4</v>
      </c>
      <c r="H322" s="10">
        <v>10.200000000000003</v>
      </c>
      <c r="I322" s="10">
        <v>46.3</v>
      </c>
      <c r="J322" s="10">
        <v>54.727333333333334</v>
      </c>
      <c r="K322" t="s">
        <v>77</v>
      </c>
      <c r="L322" t="s">
        <v>143</v>
      </c>
      <c r="M322" s="10">
        <v>41.900000000000006</v>
      </c>
      <c r="N322" t="s">
        <v>143</v>
      </c>
    </row>
    <row r="323" spans="1:14" x14ac:dyDescent="0.2">
      <c r="A323" t="s">
        <v>463</v>
      </c>
      <c r="B323" s="10">
        <v>-21.520419598231772</v>
      </c>
      <c r="C323" s="10">
        <v>-20.879999999999992</v>
      </c>
      <c r="D323" s="10">
        <v>78.8</v>
      </c>
      <c r="E323" s="10">
        <v>9.4</v>
      </c>
      <c r="F323" s="10">
        <v>0.9</v>
      </c>
      <c r="G323" s="10">
        <v>1.3</v>
      </c>
      <c r="H323" s="10">
        <v>9.6000000000000085</v>
      </c>
      <c r="I323" s="10">
        <v>23.1</v>
      </c>
      <c r="J323" s="10">
        <v>45.723666666666666</v>
      </c>
      <c r="K323" t="s">
        <v>81</v>
      </c>
      <c r="L323" t="s">
        <v>143</v>
      </c>
      <c r="M323" s="10">
        <v>-32.139999999999993</v>
      </c>
      <c r="N323" t="s">
        <v>143</v>
      </c>
    </row>
    <row r="324" spans="1:14" x14ac:dyDescent="0.2">
      <c r="A324" t="s">
        <v>464</v>
      </c>
      <c r="B324" s="10">
        <v>55.565298996288156</v>
      </c>
      <c r="C324" s="10">
        <v>56.98</v>
      </c>
      <c r="D324" s="10">
        <v>67.900000000000006</v>
      </c>
      <c r="E324" s="10">
        <v>8.5</v>
      </c>
      <c r="F324" s="10">
        <v>6</v>
      </c>
      <c r="G324" s="10">
        <v>7.7</v>
      </c>
      <c r="H324" s="10">
        <v>9.8999999999999915</v>
      </c>
      <c r="I324" s="10">
        <v>40.299999999999997</v>
      </c>
      <c r="J324" s="10">
        <v>51.979666666666667</v>
      </c>
      <c r="K324" t="s">
        <v>77</v>
      </c>
      <c r="L324" t="s">
        <v>143</v>
      </c>
      <c r="M324" s="10">
        <v>45.72</v>
      </c>
      <c r="N324" t="s">
        <v>143</v>
      </c>
    </row>
    <row r="325" spans="1:14" x14ac:dyDescent="0.2">
      <c r="A325" t="s">
        <v>465</v>
      </c>
      <c r="B325" s="10">
        <v>18.530722074223277</v>
      </c>
      <c r="C325" s="10">
        <v>19.38</v>
      </c>
      <c r="D325" s="10">
        <v>81.400000000000006</v>
      </c>
      <c r="E325" s="10">
        <v>6</v>
      </c>
      <c r="F325" s="10">
        <v>1.3</v>
      </c>
      <c r="G325" s="10">
        <v>2.9</v>
      </c>
      <c r="H325" s="10">
        <v>8.3999999999999915</v>
      </c>
      <c r="I325" s="10">
        <v>31.9</v>
      </c>
      <c r="J325" s="10">
        <v>45.615000000000002</v>
      </c>
      <c r="K325" t="s">
        <v>77</v>
      </c>
      <c r="L325" t="s">
        <v>143</v>
      </c>
      <c r="M325" s="10">
        <v>8.1199999999999974</v>
      </c>
      <c r="N325" t="s">
        <v>143</v>
      </c>
    </row>
    <row r="326" spans="1:14" x14ac:dyDescent="0.2">
      <c r="A326" t="s">
        <v>466</v>
      </c>
      <c r="B326" s="10">
        <v>11.439199055473178</v>
      </c>
      <c r="C326" s="10">
        <v>14.200000000000005</v>
      </c>
      <c r="D326" s="10">
        <v>81.5</v>
      </c>
      <c r="E326" s="10">
        <v>6.2</v>
      </c>
      <c r="F326" s="10">
        <v>1.3</v>
      </c>
      <c r="G326" s="10">
        <v>3.3</v>
      </c>
      <c r="H326" s="10">
        <v>7.7000000000000028</v>
      </c>
      <c r="I326" s="10">
        <v>36.9</v>
      </c>
      <c r="J326" s="10">
        <v>53.857666666666667</v>
      </c>
      <c r="K326" t="s">
        <v>77</v>
      </c>
      <c r="L326" t="s">
        <v>143</v>
      </c>
      <c r="M326" s="10">
        <v>2.9400000000000048</v>
      </c>
      <c r="N326" t="s">
        <v>143</v>
      </c>
    </row>
    <row r="327" spans="1:14" x14ac:dyDescent="0.2">
      <c r="A327" t="s">
        <v>467</v>
      </c>
      <c r="B327" s="10">
        <v>16.743550324222795</v>
      </c>
      <c r="C327" s="10">
        <v>18.12</v>
      </c>
      <c r="D327" s="10">
        <v>70.900000000000006</v>
      </c>
      <c r="E327" s="10">
        <v>13</v>
      </c>
      <c r="F327" s="10">
        <v>1.7</v>
      </c>
      <c r="G327" s="10">
        <v>4</v>
      </c>
      <c r="H327" s="10">
        <v>10.399999999999991</v>
      </c>
      <c r="I327" s="10">
        <v>34.299999999999997</v>
      </c>
      <c r="J327" s="10">
        <v>51.147333333333336</v>
      </c>
      <c r="K327" t="s">
        <v>77</v>
      </c>
      <c r="L327" t="s">
        <v>143</v>
      </c>
      <c r="M327" s="10">
        <v>6.8599999999999994</v>
      </c>
      <c r="N327" t="s">
        <v>143</v>
      </c>
    </row>
    <row r="328" spans="1:14" x14ac:dyDescent="0.2">
      <c r="A328" t="s">
        <v>468</v>
      </c>
      <c r="B328" s="10">
        <v>-5.0164351067820361</v>
      </c>
      <c r="C328" s="10">
        <v>-1.5399999999999905</v>
      </c>
      <c r="D328" s="10">
        <v>82.3</v>
      </c>
      <c r="E328" s="10">
        <v>4.2</v>
      </c>
      <c r="F328" s="10">
        <v>4.0999999999999996</v>
      </c>
      <c r="G328" s="10">
        <v>5.3</v>
      </c>
      <c r="H328" s="10">
        <v>4.1000000000000085</v>
      </c>
      <c r="I328" s="10">
        <v>43.2</v>
      </c>
      <c r="J328" s="10">
        <v>59.960333333333331</v>
      </c>
      <c r="K328" t="s">
        <v>81</v>
      </c>
      <c r="L328" t="s">
        <v>143</v>
      </c>
      <c r="M328" s="10">
        <v>-12.79999999999999</v>
      </c>
      <c r="N328" t="s">
        <v>143</v>
      </c>
    </row>
    <row r="329" spans="1:14" x14ac:dyDescent="0.2">
      <c r="A329" t="s">
        <v>469</v>
      </c>
      <c r="B329" s="10">
        <v>56.849231356908078</v>
      </c>
      <c r="C329" s="10">
        <v>54.180000000000007</v>
      </c>
      <c r="D329" s="10">
        <v>41.3</v>
      </c>
      <c r="E329" s="10">
        <v>21.5</v>
      </c>
      <c r="F329" s="10">
        <v>25.5</v>
      </c>
      <c r="G329" s="10">
        <v>7.8</v>
      </c>
      <c r="H329" s="10">
        <v>3.9000000000000057</v>
      </c>
      <c r="I329" s="10">
        <v>26.8</v>
      </c>
      <c r="J329" s="10">
        <v>42.845333333333336</v>
      </c>
      <c r="K329" t="s">
        <v>77</v>
      </c>
      <c r="L329" t="s">
        <v>143</v>
      </c>
      <c r="M329" s="10">
        <v>42.920000000000009</v>
      </c>
      <c r="N329" t="s">
        <v>143</v>
      </c>
    </row>
    <row r="330" spans="1:14" x14ac:dyDescent="0.2">
      <c r="A330" t="s">
        <v>470</v>
      </c>
      <c r="B330" s="10">
        <v>89.916108504934314</v>
      </c>
      <c r="C330" s="10">
        <v>88.169999999999987</v>
      </c>
      <c r="D330" s="10">
        <v>35.299999999999997</v>
      </c>
      <c r="E330" s="10">
        <v>4.4000000000000004</v>
      </c>
      <c r="F330" s="10">
        <v>54</v>
      </c>
      <c r="G330" s="10">
        <v>4.9000000000000004</v>
      </c>
      <c r="H330" s="10">
        <v>1.4000000000000057</v>
      </c>
      <c r="I330" s="10">
        <v>41.5</v>
      </c>
      <c r="J330" s="10">
        <v>45.133333333333333</v>
      </c>
      <c r="K330" t="s">
        <v>77</v>
      </c>
      <c r="L330" t="s">
        <v>145</v>
      </c>
      <c r="M330" s="10">
        <v>77.319999999999993</v>
      </c>
      <c r="N330" t="s">
        <v>145</v>
      </c>
    </row>
    <row r="331" spans="1:14" x14ac:dyDescent="0.2">
      <c r="A331" t="s">
        <v>471</v>
      </c>
      <c r="B331" s="10">
        <v>25.924327333361681</v>
      </c>
      <c r="C331" s="10">
        <v>29.400000000000002</v>
      </c>
      <c r="D331" s="10">
        <v>78.599999999999994</v>
      </c>
      <c r="E331" s="10">
        <v>4</v>
      </c>
      <c r="F331" s="10">
        <v>8.4</v>
      </c>
      <c r="G331" s="10">
        <v>4.4000000000000004</v>
      </c>
      <c r="H331" s="10">
        <v>4.6000000000000085</v>
      </c>
      <c r="I331" s="10">
        <v>47.6</v>
      </c>
      <c r="J331" s="10">
        <v>59.640666666666668</v>
      </c>
      <c r="K331" t="s">
        <v>77</v>
      </c>
      <c r="L331" t="s">
        <v>143</v>
      </c>
      <c r="M331" s="10">
        <v>18.14</v>
      </c>
      <c r="N331" t="s">
        <v>143</v>
      </c>
    </row>
    <row r="332" spans="1:14" x14ac:dyDescent="0.2">
      <c r="A332" t="s">
        <v>472</v>
      </c>
      <c r="B332" s="10">
        <v>40.544011738143688</v>
      </c>
      <c r="C332" s="10">
        <v>41.84</v>
      </c>
      <c r="D332" s="10">
        <v>61.6</v>
      </c>
      <c r="E332" s="10">
        <v>3.7</v>
      </c>
      <c r="F332" s="10">
        <v>23.9</v>
      </c>
      <c r="G332" s="10">
        <v>5.3</v>
      </c>
      <c r="H332" s="10">
        <v>5.5</v>
      </c>
      <c r="I332" s="10">
        <v>41.2</v>
      </c>
      <c r="J332" s="10">
        <v>51.472000000000001</v>
      </c>
      <c r="K332" t="s">
        <v>77</v>
      </c>
      <c r="L332" t="s">
        <v>143</v>
      </c>
      <c r="M332" s="10">
        <v>30.580000000000005</v>
      </c>
      <c r="N332" t="s">
        <v>143</v>
      </c>
    </row>
    <row r="333" spans="1:14" x14ac:dyDescent="0.2">
      <c r="A333" t="s">
        <v>473</v>
      </c>
      <c r="B333" s="10">
        <v>20.57280276561508</v>
      </c>
      <c r="C333" s="10">
        <v>23.660000000000007</v>
      </c>
      <c r="D333" s="10">
        <v>72.7</v>
      </c>
      <c r="E333" s="10">
        <v>11.2</v>
      </c>
      <c r="F333" s="10">
        <v>6.3</v>
      </c>
      <c r="G333" s="10">
        <v>3.2</v>
      </c>
      <c r="H333" s="10">
        <v>6.5999999999999943</v>
      </c>
      <c r="I333" s="10">
        <v>47.7</v>
      </c>
      <c r="J333" s="10">
        <v>57.917000000000002</v>
      </c>
      <c r="K333" t="s">
        <v>77</v>
      </c>
      <c r="L333" t="s">
        <v>143</v>
      </c>
      <c r="M333" s="10">
        <v>12.400000000000006</v>
      </c>
      <c r="N333" t="s">
        <v>143</v>
      </c>
    </row>
    <row r="334" spans="1:14" x14ac:dyDescent="0.2">
      <c r="A334" t="s">
        <v>474</v>
      </c>
      <c r="B334" s="10">
        <v>9.4264391604219622</v>
      </c>
      <c r="C334" s="10">
        <v>10.26</v>
      </c>
      <c r="D334" s="10">
        <v>72.7</v>
      </c>
      <c r="E334" s="10">
        <v>15.1</v>
      </c>
      <c r="F334" s="10">
        <v>5.4</v>
      </c>
      <c r="G334" s="10">
        <v>2.5</v>
      </c>
      <c r="H334" s="10">
        <v>4.2999999999999972</v>
      </c>
      <c r="I334" s="10">
        <v>31.1</v>
      </c>
      <c r="J334" s="10">
        <v>49.22</v>
      </c>
      <c r="K334" t="s">
        <v>81</v>
      </c>
      <c r="L334" t="s">
        <v>143</v>
      </c>
      <c r="M334" s="10">
        <v>-1</v>
      </c>
      <c r="N334" t="s">
        <v>143</v>
      </c>
    </row>
    <row r="335" spans="1:14" x14ac:dyDescent="0.2">
      <c r="A335" t="s">
        <v>475</v>
      </c>
      <c r="B335" s="10">
        <v>9.1005568120270617</v>
      </c>
      <c r="C335" s="10">
        <v>9.6399999999999952</v>
      </c>
      <c r="D335" s="10">
        <v>78.2</v>
      </c>
      <c r="E335" s="10">
        <v>9.4</v>
      </c>
      <c r="F335" s="10">
        <v>6.2</v>
      </c>
      <c r="G335" s="10">
        <v>1.8</v>
      </c>
      <c r="H335" s="10">
        <v>4.3999999999999915</v>
      </c>
      <c r="I335" s="10">
        <v>26.4</v>
      </c>
      <c r="J335" s="10">
        <v>46.057333333333332</v>
      </c>
      <c r="K335" t="s">
        <v>81</v>
      </c>
      <c r="L335" t="s">
        <v>143</v>
      </c>
      <c r="M335" s="10">
        <v>-1.6200000000000045</v>
      </c>
      <c r="N335" t="s">
        <v>143</v>
      </c>
    </row>
    <row r="336" spans="1:14" x14ac:dyDescent="0.2">
      <c r="A336" t="s">
        <v>476</v>
      </c>
      <c r="B336" s="10">
        <v>-31.113919188797428</v>
      </c>
      <c r="C336" s="10">
        <v>-29.759999999999994</v>
      </c>
      <c r="D336" s="10">
        <v>89.5</v>
      </c>
      <c r="E336" s="10">
        <v>4.3</v>
      </c>
      <c r="F336" s="10">
        <v>2.7</v>
      </c>
      <c r="G336" s="10">
        <v>0.8</v>
      </c>
      <c r="H336" s="10">
        <v>2.7000000000000028</v>
      </c>
      <c r="I336" s="10">
        <v>22.2</v>
      </c>
      <c r="J336" s="10">
        <v>46.903333333333336</v>
      </c>
      <c r="K336" t="s">
        <v>81</v>
      </c>
      <c r="L336" t="s">
        <v>143</v>
      </c>
      <c r="M336" s="10">
        <v>-41.019999999999996</v>
      </c>
      <c r="N336" t="s">
        <v>143</v>
      </c>
    </row>
    <row r="337" spans="1:14" x14ac:dyDescent="0.2">
      <c r="A337" t="s">
        <v>477</v>
      </c>
      <c r="B337" s="10">
        <v>8.5590189675028689</v>
      </c>
      <c r="C337" s="10">
        <v>10.000000000000009</v>
      </c>
      <c r="D337" s="10">
        <v>74.7</v>
      </c>
      <c r="E337" s="10">
        <v>6.6</v>
      </c>
      <c r="F337" s="10">
        <v>10.4</v>
      </c>
      <c r="G337" s="10">
        <v>3.1</v>
      </c>
      <c r="H337" s="10">
        <v>5.2000000000000028</v>
      </c>
      <c r="I337" s="10">
        <v>33.200000000000003</v>
      </c>
      <c r="J337" s="10">
        <v>50.010666666666665</v>
      </c>
      <c r="K337" t="s">
        <v>81</v>
      </c>
      <c r="L337" t="s">
        <v>143</v>
      </c>
      <c r="M337" s="10">
        <v>-1.2599999999999909</v>
      </c>
      <c r="N337" t="s">
        <v>143</v>
      </c>
    </row>
    <row r="338" spans="1:14" x14ac:dyDescent="0.2">
      <c r="A338" t="s">
        <v>478</v>
      </c>
      <c r="B338" s="10">
        <v>-16.892023991182477</v>
      </c>
      <c r="C338" s="10">
        <v>-14.539999999999997</v>
      </c>
      <c r="D338" s="10">
        <v>84.2</v>
      </c>
      <c r="E338" s="10">
        <v>7.2</v>
      </c>
      <c r="F338" s="10">
        <v>3.6</v>
      </c>
      <c r="G338" s="10">
        <v>1.8</v>
      </c>
      <c r="H338" s="10">
        <v>3.2000000000000028</v>
      </c>
      <c r="I338" s="10">
        <v>29.4</v>
      </c>
      <c r="J338" s="10">
        <v>52.440333333333335</v>
      </c>
      <c r="K338" t="s">
        <v>81</v>
      </c>
      <c r="L338" t="s">
        <v>143</v>
      </c>
      <c r="M338" s="10">
        <v>-25.799999999999997</v>
      </c>
      <c r="N338" t="s">
        <v>143</v>
      </c>
    </row>
    <row r="339" spans="1:14" x14ac:dyDescent="0.2">
      <c r="A339" t="s">
        <v>479</v>
      </c>
      <c r="B339" s="10">
        <v>22.830936270834574</v>
      </c>
      <c r="C339" s="10">
        <v>24.080000000000002</v>
      </c>
      <c r="D339" s="10">
        <v>75.8</v>
      </c>
      <c r="E339" s="10">
        <v>2</v>
      </c>
      <c r="F339" s="10">
        <v>14.9</v>
      </c>
      <c r="G339" s="10">
        <v>2.7</v>
      </c>
      <c r="H339" s="10">
        <v>4.6000000000000085</v>
      </c>
      <c r="I339" s="10">
        <v>39.700000000000003</v>
      </c>
      <c r="J339" s="10">
        <v>47.692666666666668</v>
      </c>
      <c r="K339" t="s">
        <v>77</v>
      </c>
      <c r="L339" t="s">
        <v>143</v>
      </c>
      <c r="M339" s="10">
        <v>12.82</v>
      </c>
      <c r="N339" t="s">
        <v>143</v>
      </c>
    </row>
    <row r="340" spans="1:14" x14ac:dyDescent="0.2">
      <c r="A340" t="s">
        <v>480</v>
      </c>
      <c r="B340" s="10">
        <v>-38.547891314606893</v>
      </c>
      <c r="C340" s="10">
        <v>-37.140000000000008</v>
      </c>
      <c r="D340" s="10">
        <v>91.3</v>
      </c>
      <c r="E340" s="10">
        <v>2.2999999999999998</v>
      </c>
      <c r="F340" s="10">
        <v>2.7</v>
      </c>
      <c r="G340" s="10">
        <v>0.7</v>
      </c>
      <c r="H340" s="10">
        <v>3</v>
      </c>
      <c r="I340" s="10">
        <v>21.1</v>
      </c>
      <c r="J340" s="10">
        <v>46.476666666666667</v>
      </c>
      <c r="K340" t="s">
        <v>81</v>
      </c>
      <c r="L340" t="s">
        <v>143</v>
      </c>
      <c r="M340" s="10">
        <v>-48.400000000000006</v>
      </c>
      <c r="N340" t="s">
        <v>143</v>
      </c>
    </row>
    <row r="341" spans="1:14" x14ac:dyDescent="0.2">
      <c r="A341" t="s">
        <v>481</v>
      </c>
      <c r="B341" s="10">
        <v>-23.296094147909301</v>
      </c>
      <c r="C341" s="10">
        <v>-21.879999999999992</v>
      </c>
      <c r="D341" s="10">
        <v>91.6</v>
      </c>
      <c r="E341" s="10">
        <v>1.1000000000000001</v>
      </c>
      <c r="F341" s="10">
        <v>3.4</v>
      </c>
      <c r="G341" s="10">
        <v>0.7</v>
      </c>
      <c r="H341" s="10">
        <v>3.2000000000000028</v>
      </c>
      <c r="I341" s="10">
        <v>26.1</v>
      </c>
      <c r="J341" s="10">
        <v>45.874000000000002</v>
      </c>
      <c r="K341" t="s">
        <v>81</v>
      </c>
      <c r="L341" t="s">
        <v>143</v>
      </c>
      <c r="M341" s="10">
        <v>-33.139999999999993</v>
      </c>
      <c r="N341" t="s">
        <v>143</v>
      </c>
    </row>
    <row r="342" spans="1:14" x14ac:dyDescent="0.2">
      <c r="A342" t="s">
        <v>482</v>
      </c>
      <c r="B342" s="10">
        <v>-32.81574085734286</v>
      </c>
      <c r="C342" s="10">
        <v>-31.679999999999996</v>
      </c>
      <c r="D342" s="10">
        <v>90.8</v>
      </c>
      <c r="E342" s="10">
        <v>1.8</v>
      </c>
      <c r="F342" s="10">
        <v>2.4</v>
      </c>
      <c r="G342" s="10">
        <v>1.1000000000000001</v>
      </c>
      <c r="H342" s="10">
        <v>3.9000000000000057</v>
      </c>
      <c r="I342" s="10">
        <v>24.5</v>
      </c>
      <c r="J342" s="10">
        <v>45.031333333333336</v>
      </c>
      <c r="K342" t="s">
        <v>81</v>
      </c>
      <c r="L342" t="s">
        <v>143</v>
      </c>
      <c r="M342" s="10">
        <v>-42.94</v>
      </c>
      <c r="N342" t="s">
        <v>143</v>
      </c>
    </row>
    <row r="343" spans="1:14" x14ac:dyDescent="0.2">
      <c r="A343" t="s">
        <v>483</v>
      </c>
      <c r="B343" s="10">
        <v>-17.28368803797953</v>
      </c>
      <c r="C343" s="10">
        <v>-16.039999999999996</v>
      </c>
      <c r="D343" s="10">
        <v>89.1</v>
      </c>
      <c r="E343" s="10">
        <v>2</v>
      </c>
      <c r="F343" s="10">
        <v>4.4000000000000004</v>
      </c>
      <c r="G343" s="10">
        <v>1</v>
      </c>
      <c r="H343" s="10">
        <v>3.5</v>
      </c>
      <c r="I343" s="10">
        <v>29</v>
      </c>
      <c r="J343" s="10">
        <v>45.571666666666665</v>
      </c>
      <c r="K343" t="s">
        <v>81</v>
      </c>
      <c r="L343" t="s">
        <v>143</v>
      </c>
      <c r="M343" s="10">
        <v>-27.299999999999997</v>
      </c>
      <c r="N343" t="s">
        <v>143</v>
      </c>
    </row>
    <row r="344" spans="1:14" x14ac:dyDescent="0.2">
      <c r="A344" t="s">
        <v>484</v>
      </c>
      <c r="B344" s="10">
        <v>16.58118636340955</v>
      </c>
      <c r="C344" s="10">
        <v>19.02</v>
      </c>
      <c r="D344" s="10">
        <v>84.2</v>
      </c>
      <c r="E344" s="10">
        <v>1.5</v>
      </c>
      <c r="F344" s="10">
        <v>7.8</v>
      </c>
      <c r="G344" s="10">
        <v>1.8</v>
      </c>
      <c r="H344" s="10">
        <v>4.7000000000000028</v>
      </c>
      <c r="I344" s="10">
        <v>43.3</v>
      </c>
      <c r="J344" s="10">
        <v>50.671333333333337</v>
      </c>
      <c r="K344" t="s">
        <v>77</v>
      </c>
      <c r="L344" t="s">
        <v>143</v>
      </c>
      <c r="M344" s="10">
        <v>7.759999999999998</v>
      </c>
      <c r="N344" t="s">
        <v>143</v>
      </c>
    </row>
    <row r="345" spans="1:14" x14ac:dyDescent="0.2">
      <c r="A345" t="s">
        <v>485</v>
      </c>
      <c r="B345" s="10">
        <v>42.605570156103411</v>
      </c>
      <c r="C345" s="10">
        <v>43.919999999999995</v>
      </c>
      <c r="D345" s="10">
        <v>67.900000000000006</v>
      </c>
      <c r="E345" s="10">
        <v>13.2</v>
      </c>
      <c r="F345" s="10">
        <v>8.1</v>
      </c>
      <c r="G345" s="10">
        <v>3</v>
      </c>
      <c r="H345" s="10">
        <v>7.7999999999999972</v>
      </c>
      <c r="I345" s="10">
        <v>36.4</v>
      </c>
      <c r="J345" s="10">
        <v>51.322000000000003</v>
      </c>
      <c r="K345" t="s">
        <v>77</v>
      </c>
      <c r="L345" t="s">
        <v>143</v>
      </c>
      <c r="M345" s="10">
        <v>32.659999999999997</v>
      </c>
      <c r="N345" t="s">
        <v>143</v>
      </c>
    </row>
    <row r="346" spans="1:14" x14ac:dyDescent="0.2">
      <c r="A346" t="s">
        <v>486</v>
      </c>
      <c r="B346" s="10">
        <v>25.763590750826943</v>
      </c>
      <c r="C346" s="10">
        <v>28.019999999999992</v>
      </c>
      <c r="D346" s="10">
        <v>76.8</v>
      </c>
      <c r="E346" s="10">
        <v>9.8000000000000007</v>
      </c>
      <c r="F346" s="10">
        <v>4.5</v>
      </c>
      <c r="G346" s="10">
        <v>2.7</v>
      </c>
      <c r="H346" s="10">
        <v>6.2000000000000028</v>
      </c>
      <c r="I346" s="10">
        <v>36.1</v>
      </c>
      <c r="J346" s="10">
        <v>53.25033333333333</v>
      </c>
      <c r="K346" t="s">
        <v>77</v>
      </c>
      <c r="L346" t="s">
        <v>143</v>
      </c>
      <c r="M346" s="10">
        <v>16.759999999999991</v>
      </c>
      <c r="N346" t="s">
        <v>143</v>
      </c>
    </row>
    <row r="347" spans="1:14" x14ac:dyDescent="0.2">
      <c r="A347" t="s">
        <v>487</v>
      </c>
      <c r="B347" s="10">
        <v>-4.0839917837293189</v>
      </c>
      <c r="C347" s="10">
        <v>-2.16</v>
      </c>
      <c r="D347" s="10">
        <v>71.099999999999994</v>
      </c>
      <c r="E347" s="10">
        <v>4.4000000000000004</v>
      </c>
      <c r="F347" s="10">
        <v>18.5</v>
      </c>
      <c r="G347" s="10">
        <v>1.9</v>
      </c>
      <c r="H347" s="10">
        <v>4.1000000000000085</v>
      </c>
      <c r="I347" s="10">
        <v>41.1</v>
      </c>
      <c r="J347" s="10">
        <v>53.427333333333337</v>
      </c>
      <c r="K347" t="s">
        <v>81</v>
      </c>
      <c r="L347" t="s">
        <v>145</v>
      </c>
      <c r="M347" s="10">
        <v>-13.01</v>
      </c>
      <c r="N347" t="s">
        <v>145</v>
      </c>
    </row>
    <row r="348" spans="1:14" x14ac:dyDescent="0.2">
      <c r="A348" t="s">
        <v>488</v>
      </c>
      <c r="B348" s="10">
        <v>-15.394276694088383</v>
      </c>
      <c r="C348" s="10">
        <v>-14.500000000000005</v>
      </c>
      <c r="D348" s="10">
        <v>64.099999999999994</v>
      </c>
      <c r="E348" s="10">
        <v>3.9</v>
      </c>
      <c r="F348" s="10">
        <v>26.8</v>
      </c>
      <c r="G348" s="10">
        <v>1.8</v>
      </c>
      <c r="H348" s="10">
        <v>3.4000000000000057</v>
      </c>
      <c r="I348" s="10">
        <v>34.9</v>
      </c>
      <c r="J348" s="10">
        <v>48.853999999999999</v>
      </c>
      <c r="K348" t="s">
        <v>81</v>
      </c>
      <c r="L348" t="s">
        <v>143</v>
      </c>
      <c r="M348" s="10">
        <v>-25.760000000000005</v>
      </c>
      <c r="N348" t="s">
        <v>143</v>
      </c>
    </row>
    <row r="349" spans="1:14" x14ac:dyDescent="0.2">
      <c r="A349" t="s">
        <v>489</v>
      </c>
      <c r="B349" s="10">
        <v>-29.700056962887263</v>
      </c>
      <c r="C349" s="10">
        <v>-29.539999999999996</v>
      </c>
      <c r="D349" s="10">
        <v>74</v>
      </c>
      <c r="E349" s="10">
        <v>2.6</v>
      </c>
      <c r="F349" s="10">
        <v>18.399999999999999</v>
      </c>
      <c r="G349" s="10">
        <v>0.9</v>
      </c>
      <c r="H349" s="10">
        <v>4.0999999999999943</v>
      </c>
      <c r="I349" s="10">
        <v>25.3</v>
      </c>
      <c r="J349" s="10">
        <v>43.897666666666666</v>
      </c>
      <c r="K349" t="s">
        <v>81</v>
      </c>
      <c r="L349" t="s">
        <v>143</v>
      </c>
      <c r="M349" s="10">
        <v>-40.799999999999997</v>
      </c>
      <c r="N349" t="s">
        <v>143</v>
      </c>
    </row>
    <row r="350" spans="1:14" x14ac:dyDescent="0.2">
      <c r="A350" t="s">
        <v>490</v>
      </c>
      <c r="B350" s="10">
        <v>-18.563245053986041</v>
      </c>
      <c r="C350" s="10">
        <v>-18.059999999999999</v>
      </c>
      <c r="D350" s="10">
        <v>67</v>
      </c>
      <c r="E350" s="10">
        <v>4.7</v>
      </c>
      <c r="F350" s="10">
        <v>20.3</v>
      </c>
      <c r="G350" s="10">
        <v>2.2999999999999998</v>
      </c>
      <c r="H350" s="10">
        <v>5.7000000000000028</v>
      </c>
      <c r="I350" s="10">
        <v>34.9</v>
      </c>
      <c r="J350" s="10">
        <v>46.626333333333335</v>
      </c>
      <c r="K350" t="s">
        <v>81</v>
      </c>
      <c r="L350" t="s">
        <v>143</v>
      </c>
      <c r="M350" s="10">
        <v>-29.32</v>
      </c>
      <c r="N350" t="s">
        <v>143</v>
      </c>
    </row>
    <row r="351" spans="1:14" x14ac:dyDescent="0.2">
      <c r="A351" t="s">
        <v>491</v>
      </c>
      <c r="B351" s="10">
        <v>-12.074836082952322</v>
      </c>
      <c r="C351" s="10">
        <v>-11.92</v>
      </c>
      <c r="D351" s="10">
        <v>66.5</v>
      </c>
      <c r="E351" s="10">
        <v>3.1</v>
      </c>
      <c r="F351" s="10">
        <v>25</v>
      </c>
      <c r="G351" s="10">
        <v>1.4</v>
      </c>
      <c r="H351" s="10">
        <v>4</v>
      </c>
      <c r="I351" s="10">
        <v>27.7</v>
      </c>
      <c r="J351" s="10">
        <v>47.150333333333336</v>
      </c>
      <c r="K351" t="s">
        <v>81</v>
      </c>
      <c r="L351" t="s">
        <v>145</v>
      </c>
      <c r="M351" s="10">
        <v>-22.77</v>
      </c>
      <c r="N351" t="s">
        <v>145</v>
      </c>
    </row>
    <row r="352" spans="1:14" x14ac:dyDescent="0.2">
      <c r="A352" t="s">
        <v>492</v>
      </c>
      <c r="B352" s="10">
        <v>32.342630842083963</v>
      </c>
      <c r="C352" s="10">
        <v>30.94</v>
      </c>
      <c r="D352" s="10">
        <v>44.6</v>
      </c>
      <c r="E352" s="10">
        <v>2.4</v>
      </c>
      <c r="F352" s="10">
        <v>49.5</v>
      </c>
      <c r="G352" s="10">
        <v>1.3</v>
      </c>
      <c r="H352" s="10">
        <v>2.2000000000000028</v>
      </c>
      <c r="I352" s="10">
        <v>27.8</v>
      </c>
      <c r="J352" s="10">
        <v>42.121333333333332</v>
      </c>
      <c r="K352" t="s">
        <v>77</v>
      </c>
      <c r="L352" t="s">
        <v>143</v>
      </c>
      <c r="M352" s="10">
        <v>19.68</v>
      </c>
      <c r="N352" t="s">
        <v>143</v>
      </c>
    </row>
    <row r="353" spans="1:14" x14ac:dyDescent="0.2">
      <c r="A353" t="s">
        <v>493</v>
      </c>
      <c r="B353" s="10">
        <v>-20.269056775424808</v>
      </c>
      <c r="C353" s="10">
        <v>-20.72000000000001</v>
      </c>
      <c r="D353" s="10">
        <v>67.099999999999994</v>
      </c>
      <c r="E353" s="10">
        <v>2.2999999999999998</v>
      </c>
      <c r="F353" s="10">
        <v>26.3</v>
      </c>
      <c r="G353" s="10">
        <v>1</v>
      </c>
      <c r="H353" s="10">
        <v>3.3000000000000114</v>
      </c>
      <c r="I353" s="10">
        <v>22.9</v>
      </c>
      <c r="J353" s="10">
        <v>42.771000000000001</v>
      </c>
      <c r="K353" t="s">
        <v>81</v>
      </c>
      <c r="L353" t="s">
        <v>143</v>
      </c>
      <c r="M353" s="10">
        <v>-31.980000000000011</v>
      </c>
      <c r="N353" t="s">
        <v>143</v>
      </c>
    </row>
    <row r="354" spans="1:14" x14ac:dyDescent="0.2">
      <c r="A354" t="s">
        <v>494</v>
      </c>
      <c r="B354" s="10">
        <v>-19.818701708844166</v>
      </c>
      <c r="C354" s="10">
        <v>-18.340000000000003</v>
      </c>
      <c r="D354" s="10">
        <v>83.1</v>
      </c>
      <c r="E354" s="10">
        <v>2.7</v>
      </c>
      <c r="F354" s="10">
        <v>1.7</v>
      </c>
      <c r="G354" s="10">
        <v>1.1000000000000001</v>
      </c>
      <c r="H354" s="10">
        <v>11.400000000000006</v>
      </c>
      <c r="I354" s="10">
        <v>30.4</v>
      </c>
      <c r="J354" s="10">
        <v>48.242666666666665</v>
      </c>
      <c r="K354" t="s">
        <v>81</v>
      </c>
      <c r="L354" t="s">
        <v>145</v>
      </c>
      <c r="M354" s="10">
        <v>-29.19</v>
      </c>
      <c r="N354" t="s">
        <v>145</v>
      </c>
    </row>
    <row r="355" spans="1:14" x14ac:dyDescent="0.2">
      <c r="A355" t="s">
        <v>495</v>
      </c>
      <c r="B355" s="10">
        <v>-49.650407727428629</v>
      </c>
      <c r="C355" s="10">
        <v>-48.945128205128206</v>
      </c>
      <c r="D355" s="10">
        <v>89.6</v>
      </c>
      <c r="E355" s="10">
        <v>2</v>
      </c>
      <c r="F355" s="10">
        <v>2.7</v>
      </c>
      <c r="G355" s="10">
        <v>0.7</v>
      </c>
      <c r="H355" s="10">
        <v>5</v>
      </c>
      <c r="I355" s="10">
        <v>22.5</v>
      </c>
      <c r="J355" s="10">
        <v>43.238666666666667</v>
      </c>
      <c r="K355" t="s">
        <v>81</v>
      </c>
      <c r="L355" t="s">
        <v>143</v>
      </c>
      <c r="M355" s="10">
        <v>-60.205128205128204</v>
      </c>
      <c r="N355" t="s">
        <v>143</v>
      </c>
    </row>
    <row r="356" spans="1:14" x14ac:dyDescent="0.2">
      <c r="A356" t="s">
        <v>496</v>
      </c>
      <c r="B356" s="10">
        <v>-28.875485750660211</v>
      </c>
      <c r="C356" s="10">
        <v>-27.339999999999993</v>
      </c>
      <c r="D356" s="10">
        <v>84.3</v>
      </c>
      <c r="E356" s="10">
        <v>2.1</v>
      </c>
      <c r="F356" s="10">
        <v>6.2</v>
      </c>
      <c r="G356" s="10">
        <v>1.5</v>
      </c>
      <c r="H356" s="10">
        <v>5.9000000000000057</v>
      </c>
      <c r="I356" s="10">
        <v>32.700000000000003</v>
      </c>
      <c r="J356" s="10">
        <v>47.269666666666666</v>
      </c>
      <c r="K356" t="s">
        <v>81</v>
      </c>
      <c r="L356" t="s">
        <v>143</v>
      </c>
      <c r="M356" s="10">
        <v>-38.599999999999994</v>
      </c>
      <c r="N356" t="s">
        <v>143</v>
      </c>
    </row>
    <row r="357" spans="1:14" x14ac:dyDescent="0.2">
      <c r="A357" t="s">
        <v>497</v>
      </c>
      <c r="B357" s="10">
        <v>-29.352115832017351</v>
      </c>
      <c r="C357" s="10">
        <v>-27.996198347107441</v>
      </c>
      <c r="D357" s="10">
        <v>80.099999999999994</v>
      </c>
      <c r="E357" s="10">
        <v>2.4</v>
      </c>
      <c r="F357" s="10">
        <v>10.7</v>
      </c>
      <c r="G357" s="10">
        <v>1.3</v>
      </c>
      <c r="H357" s="10">
        <v>5.5</v>
      </c>
      <c r="I357" s="10">
        <v>27.4</v>
      </c>
      <c r="J357" s="10">
        <v>47.709000000000003</v>
      </c>
      <c r="K357" t="s">
        <v>81</v>
      </c>
      <c r="L357" t="s">
        <v>143</v>
      </c>
      <c r="M357" s="10">
        <v>-39.256198347107443</v>
      </c>
      <c r="N357" t="s">
        <v>143</v>
      </c>
    </row>
    <row r="358" spans="1:14" x14ac:dyDescent="0.2">
      <c r="A358" t="s">
        <v>498</v>
      </c>
      <c r="B358" s="10">
        <v>-13.597508186617517</v>
      </c>
      <c r="C358" s="10">
        <v>-12.628314374353677</v>
      </c>
      <c r="D358" s="10">
        <v>78.5</v>
      </c>
      <c r="E358" s="10">
        <v>3.3</v>
      </c>
      <c r="F358" s="10">
        <v>10.199999999999999</v>
      </c>
      <c r="G358" s="10">
        <v>1.8</v>
      </c>
      <c r="H358" s="10">
        <v>6.2000000000000028</v>
      </c>
      <c r="I358" s="10">
        <v>24.4</v>
      </c>
      <c r="J358" s="10">
        <v>46.742333333333335</v>
      </c>
      <c r="K358" t="s">
        <v>81</v>
      </c>
      <c r="L358" t="s">
        <v>143</v>
      </c>
      <c r="M358" s="10">
        <v>-23.888314374353676</v>
      </c>
      <c r="N358" t="s">
        <v>143</v>
      </c>
    </row>
    <row r="359" spans="1:14" x14ac:dyDescent="0.2">
      <c r="A359" t="s">
        <v>499</v>
      </c>
      <c r="B359" s="10">
        <v>-14.402603937818366</v>
      </c>
      <c r="C359" s="10">
        <v>-12.229999999999999</v>
      </c>
      <c r="D359" s="10">
        <v>71.900000000000006</v>
      </c>
      <c r="E359" s="10">
        <v>3.8</v>
      </c>
      <c r="F359" s="10">
        <v>13.7</v>
      </c>
      <c r="G359" s="10">
        <v>2.7</v>
      </c>
      <c r="H359" s="10">
        <v>7.8999999999999915</v>
      </c>
      <c r="I359" s="10">
        <v>46</v>
      </c>
      <c r="J359" s="10">
        <v>53.672333333333334</v>
      </c>
      <c r="K359" t="s">
        <v>81</v>
      </c>
      <c r="L359" t="s">
        <v>145</v>
      </c>
      <c r="M359" s="10">
        <v>-23.08</v>
      </c>
      <c r="N359" t="s">
        <v>145</v>
      </c>
    </row>
    <row r="360" spans="1:14" x14ac:dyDescent="0.2">
      <c r="A360" t="s">
        <v>500</v>
      </c>
      <c r="B360" s="10">
        <v>-16.357740778386262</v>
      </c>
      <c r="C360" s="10">
        <v>-15.67</v>
      </c>
      <c r="D360" s="10">
        <v>80.099999999999994</v>
      </c>
      <c r="E360" s="10">
        <v>2.8</v>
      </c>
      <c r="F360" s="10">
        <v>9.9</v>
      </c>
      <c r="G360" s="10">
        <v>1.2</v>
      </c>
      <c r="H360" s="10">
        <v>6</v>
      </c>
      <c r="I360" s="10">
        <v>27.1</v>
      </c>
      <c r="J360" s="10">
        <v>46.562333333333335</v>
      </c>
      <c r="K360" t="s">
        <v>81</v>
      </c>
      <c r="L360" t="s">
        <v>145</v>
      </c>
      <c r="M360" s="10">
        <v>-26.52</v>
      </c>
      <c r="N360" t="s">
        <v>145</v>
      </c>
    </row>
    <row r="361" spans="1:14" x14ac:dyDescent="0.2">
      <c r="A361" t="s">
        <v>501</v>
      </c>
      <c r="B361" s="10">
        <v>-11.944953820569399</v>
      </c>
      <c r="C361" s="10">
        <v>-10.860285423037721</v>
      </c>
      <c r="D361" s="10">
        <v>71.900000000000006</v>
      </c>
      <c r="E361" s="10">
        <v>4.2</v>
      </c>
      <c r="F361" s="10">
        <v>17.2</v>
      </c>
      <c r="G361" s="10">
        <v>2</v>
      </c>
      <c r="H361" s="10">
        <v>4.6999999999999886</v>
      </c>
      <c r="I361" s="10">
        <v>32.299999999999997</v>
      </c>
      <c r="J361" s="10">
        <v>48.365000000000002</v>
      </c>
      <c r="K361" t="s">
        <v>81</v>
      </c>
      <c r="L361" t="s">
        <v>143</v>
      </c>
      <c r="M361" s="10">
        <v>-22.120285423037721</v>
      </c>
      <c r="N361" t="s">
        <v>143</v>
      </c>
    </row>
    <row r="362" spans="1:14" x14ac:dyDescent="0.2">
      <c r="A362" t="s">
        <v>502</v>
      </c>
      <c r="B362" s="10">
        <v>-13.644539047192092</v>
      </c>
      <c r="C362" s="10">
        <v>-12.870879345603276</v>
      </c>
      <c r="D362" s="10">
        <v>74.900000000000006</v>
      </c>
      <c r="E362" s="10">
        <v>1.8</v>
      </c>
      <c r="F362" s="10">
        <v>18</v>
      </c>
      <c r="G362" s="10">
        <v>1.4</v>
      </c>
      <c r="H362" s="10">
        <v>3.8999999999999915</v>
      </c>
      <c r="I362" s="10">
        <v>28.6</v>
      </c>
      <c r="J362" s="10">
        <v>46.225999999999999</v>
      </c>
      <c r="K362" t="s">
        <v>81</v>
      </c>
      <c r="L362" t="s">
        <v>143</v>
      </c>
      <c r="M362" s="10">
        <v>-24.130879345603276</v>
      </c>
      <c r="N362" t="s">
        <v>143</v>
      </c>
    </row>
    <row r="363" spans="1:14" x14ac:dyDescent="0.2">
      <c r="A363" t="s">
        <v>503</v>
      </c>
      <c r="B363" s="10">
        <v>-7.7794471258087334</v>
      </c>
      <c r="C363" s="10">
        <v>-10.290000000000001</v>
      </c>
      <c r="D363" s="10">
        <v>28.5</v>
      </c>
      <c r="E363" s="10">
        <v>2.7</v>
      </c>
      <c r="F363" s="10">
        <v>65</v>
      </c>
      <c r="G363" s="10">
        <v>1.5</v>
      </c>
      <c r="H363" s="10">
        <v>2.2999999999999972</v>
      </c>
      <c r="I363" s="10">
        <v>26.8</v>
      </c>
      <c r="J363" s="10">
        <v>42.727666666666664</v>
      </c>
      <c r="K363" t="s">
        <v>77</v>
      </c>
      <c r="L363" t="s">
        <v>145</v>
      </c>
      <c r="M363" s="10">
        <v>-21.14</v>
      </c>
      <c r="N363" t="s">
        <v>145</v>
      </c>
    </row>
    <row r="364" spans="1:14" x14ac:dyDescent="0.2">
      <c r="A364" t="s">
        <v>504</v>
      </c>
      <c r="B364" s="10">
        <v>-41.484547012365333</v>
      </c>
      <c r="C364" s="10">
        <v>-41.74</v>
      </c>
      <c r="D364" s="10">
        <v>63.6</v>
      </c>
      <c r="E364" s="10">
        <v>10.1</v>
      </c>
      <c r="F364" s="10">
        <v>19.2</v>
      </c>
      <c r="G364" s="10">
        <v>1</v>
      </c>
      <c r="H364" s="10">
        <v>6.0999999999999943</v>
      </c>
      <c r="I364" s="10">
        <v>21.9</v>
      </c>
      <c r="J364" s="10">
        <v>45.332999999999998</v>
      </c>
      <c r="K364" t="s">
        <v>81</v>
      </c>
      <c r="L364" t="s">
        <v>143</v>
      </c>
      <c r="M364" s="10">
        <v>-53</v>
      </c>
      <c r="N364" t="s">
        <v>143</v>
      </c>
    </row>
    <row r="365" spans="1:14" x14ac:dyDescent="0.2">
      <c r="A365" t="s">
        <v>505</v>
      </c>
      <c r="B365" s="10">
        <v>-12.923175178411032</v>
      </c>
      <c r="C365" s="10">
        <v>-11.99</v>
      </c>
      <c r="D365" s="10">
        <v>53.1</v>
      </c>
      <c r="E365" s="10">
        <v>21.6</v>
      </c>
      <c r="F365" s="10">
        <v>13</v>
      </c>
      <c r="G365" s="10">
        <v>3.6</v>
      </c>
      <c r="H365" s="10">
        <v>8.7000000000000028</v>
      </c>
      <c r="I365" s="10">
        <v>39.299999999999997</v>
      </c>
      <c r="J365" s="10">
        <v>55.713666666666668</v>
      </c>
      <c r="K365" t="s">
        <v>81</v>
      </c>
      <c r="L365" t="s">
        <v>145</v>
      </c>
      <c r="M365" s="10">
        <v>-22.84</v>
      </c>
      <c r="N365" t="s">
        <v>145</v>
      </c>
    </row>
    <row r="366" spans="1:14" x14ac:dyDescent="0.2">
      <c r="A366" t="s">
        <v>506</v>
      </c>
      <c r="B366" s="10">
        <v>-16.524504793299055</v>
      </c>
      <c r="C366" s="10">
        <v>-14.465725725725731</v>
      </c>
      <c r="D366" s="10">
        <v>59.4</v>
      </c>
      <c r="E366" s="10">
        <v>11.8</v>
      </c>
      <c r="F366" s="10">
        <v>10.9</v>
      </c>
      <c r="G366" s="10">
        <v>9.5</v>
      </c>
      <c r="H366" s="10">
        <v>8.4000000000000057</v>
      </c>
      <c r="I366" s="10">
        <v>48.5</v>
      </c>
      <c r="J366" s="10">
        <v>63.192333333333337</v>
      </c>
      <c r="K366" t="s">
        <v>81</v>
      </c>
      <c r="L366" t="s">
        <v>143</v>
      </c>
      <c r="M366" s="10">
        <v>-25.725725725725731</v>
      </c>
      <c r="N366" t="s">
        <v>143</v>
      </c>
    </row>
    <row r="367" spans="1:14" x14ac:dyDescent="0.2">
      <c r="A367" t="s">
        <v>507</v>
      </c>
      <c r="B367" s="10">
        <v>-19.09304199061393</v>
      </c>
      <c r="C367" s="10">
        <v>-16.996513026052096</v>
      </c>
      <c r="D367" s="10">
        <v>63</v>
      </c>
      <c r="E367" s="10">
        <v>10.199999999999999</v>
      </c>
      <c r="F367" s="10">
        <v>9.9</v>
      </c>
      <c r="G367" s="10">
        <v>7.2</v>
      </c>
      <c r="H367" s="10">
        <v>9.7000000000000028</v>
      </c>
      <c r="I367" s="10">
        <v>43</v>
      </c>
      <c r="J367" s="10">
        <v>55.895333333333333</v>
      </c>
      <c r="K367" t="s">
        <v>81</v>
      </c>
      <c r="L367" t="s">
        <v>143</v>
      </c>
      <c r="M367" s="10">
        <v>-28.256513026052097</v>
      </c>
      <c r="N367" t="s">
        <v>143</v>
      </c>
    </row>
    <row r="368" spans="1:14" x14ac:dyDescent="0.2">
      <c r="A368" t="s">
        <v>508</v>
      </c>
      <c r="B368" s="10">
        <v>-11.490696536368583</v>
      </c>
      <c r="C368" s="10">
        <v>-11.786092184368732</v>
      </c>
      <c r="D368" s="10">
        <v>52.4</v>
      </c>
      <c r="E368" s="10">
        <v>19.2</v>
      </c>
      <c r="F368" s="10">
        <v>15.7</v>
      </c>
      <c r="G368" s="10">
        <v>4.3</v>
      </c>
      <c r="H368" s="10">
        <v>8.4000000000000057</v>
      </c>
      <c r="I368" s="10">
        <v>22.6</v>
      </c>
      <c r="J368" s="10">
        <v>49.703666666666663</v>
      </c>
      <c r="K368" t="s">
        <v>81</v>
      </c>
      <c r="L368" t="s">
        <v>143</v>
      </c>
      <c r="M368" s="10">
        <v>-23.046092184368732</v>
      </c>
      <c r="N368" t="s">
        <v>143</v>
      </c>
    </row>
    <row r="369" spans="1:14" x14ac:dyDescent="0.2">
      <c r="A369" t="s">
        <v>509</v>
      </c>
      <c r="B369" s="10">
        <v>-33.739775651231525</v>
      </c>
      <c r="C369" s="10">
        <v>-34.121526104417661</v>
      </c>
      <c r="D369" s="10">
        <v>48.8</v>
      </c>
      <c r="E369" s="10">
        <v>22.4</v>
      </c>
      <c r="F369" s="10">
        <v>15.7</v>
      </c>
      <c r="G369" s="10">
        <v>3.1</v>
      </c>
      <c r="H369" s="10">
        <v>10</v>
      </c>
      <c r="I369" s="10">
        <v>24.2</v>
      </c>
      <c r="J369" s="10">
        <v>50.000999999999998</v>
      </c>
      <c r="K369" t="s">
        <v>81</v>
      </c>
      <c r="L369" t="s">
        <v>143</v>
      </c>
      <c r="M369" s="10">
        <v>-45.381526104417659</v>
      </c>
      <c r="N369" t="s">
        <v>143</v>
      </c>
    </row>
    <row r="370" spans="1:14" x14ac:dyDescent="0.2">
      <c r="A370" t="s">
        <v>510</v>
      </c>
      <c r="B370" s="10">
        <v>38.060908073490609</v>
      </c>
      <c r="C370" s="10">
        <v>35.784524524524514</v>
      </c>
      <c r="D370" s="10">
        <v>30.2</v>
      </c>
      <c r="E370" s="10">
        <v>21.9</v>
      </c>
      <c r="F370" s="10">
        <v>21.9</v>
      </c>
      <c r="G370" s="10">
        <v>18.399999999999999</v>
      </c>
      <c r="H370" s="10">
        <v>7.6000000000000085</v>
      </c>
      <c r="I370" s="10">
        <v>49.1</v>
      </c>
      <c r="J370" s="10">
        <v>48.567999999999998</v>
      </c>
      <c r="K370" t="s">
        <v>77</v>
      </c>
      <c r="L370" t="s">
        <v>143</v>
      </c>
      <c r="M370" s="10">
        <v>24.524524524524516</v>
      </c>
      <c r="N370" t="s">
        <v>143</v>
      </c>
    </row>
    <row r="371" spans="1:14" x14ac:dyDescent="0.2">
      <c r="A371" t="s">
        <v>511</v>
      </c>
      <c r="B371" s="10">
        <v>-16.555609034839925</v>
      </c>
      <c r="C371" s="10">
        <v>-16.79</v>
      </c>
      <c r="D371" s="10">
        <v>48.8</v>
      </c>
      <c r="E371" s="10">
        <v>23.3</v>
      </c>
      <c r="F371" s="10">
        <v>13.8</v>
      </c>
      <c r="G371" s="10">
        <v>5.2</v>
      </c>
      <c r="H371" s="10">
        <v>8.9000000000000057</v>
      </c>
      <c r="I371" s="10">
        <v>31.5</v>
      </c>
      <c r="J371" s="10">
        <v>52.822000000000003</v>
      </c>
      <c r="K371" t="s">
        <v>81</v>
      </c>
      <c r="L371" t="s">
        <v>145</v>
      </c>
      <c r="M371" s="10">
        <v>-27.64</v>
      </c>
      <c r="N371" t="s">
        <v>145</v>
      </c>
    </row>
    <row r="372" spans="1:14" x14ac:dyDescent="0.2">
      <c r="A372" t="s">
        <v>512</v>
      </c>
      <c r="B372" s="10">
        <v>-5.2540095469971391</v>
      </c>
      <c r="C372" s="10">
        <v>-8.94</v>
      </c>
      <c r="D372" s="10">
        <v>13.9</v>
      </c>
      <c r="E372" s="10">
        <v>25.9</v>
      </c>
      <c r="F372" s="10">
        <v>46.2</v>
      </c>
      <c r="G372" s="10">
        <v>9.1</v>
      </c>
      <c r="H372" s="10">
        <v>4.9000000000000057</v>
      </c>
      <c r="I372" s="10">
        <v>31</v>
      </c>
      <c r="J372" s="10">
        <v>46.198999999999998</v>
      </c>
      <c r="K372" t="s">
        <v>77</v>
      </c>
      <c r="L372" t="s">
        <v>145</v>
      </c>
      <c r="M372" s="10">
        <v>-19.79</v>
      </c>
      <c r="N372" t="s">
        <v>145</v>
      </c>
    </row>
    <row r="373" spans="1:14" x14ac:dyDescent="0.2">
      <c r="A373" t="s">
        <v>513</v>
      </c>
      <c r="B373" s="10">
        <v>-12.196959666608416</v>
      </c>
      <c r="C373" s="10">
        <v>-11.790000000000001</v>
      </c>
      <c r="D373" s="10">
        <v>59.5</v>
      </c>
      <c r="E373" s="10">
        <v>18</v>
      </c>
      <c r="F373" s="10">
        <v>11.3</v>
      </c>
      <c r="G373" s="10">
        <v>3.8</v>
      </c>
      <c r="H373" s="10">
        <v>7.4000000000000057</v>
      </c>
      <c r="I373" s="10">
        <v>39.6</v>
      </c>
      <c r="J373" s="10">
        <v>51.678333333333335</v>
      </c>
      <c r="K373" t="s">
        <v>81</v>
      </c>
      <c r="L373" t="s">
        <v>145</v>
      </c>
      <c r="M373" s="10">
        <v>-22.64</v>
      </c>
      <c r="N373" t="s">
        <v>145</v>
      </c>
    </row>
    <row r="374" spans="1:14" x14ac:dyDescent="0.2">
      <c r="A374" t="s">
        <v>514</v>
      </c>
      <c r="B374" s="10">
        <v>33.278136923476943</v>
      </c>
      <c r="C374" s="10">
        <v>31.422107396149936</v>
      </c>
      <c r="D374" s="10">
        <v>47.7</v>
      </c>
      <c r="E374" s="10">
        <v>34.299999999999997</v>
      </c>
      <c r="F374" s="10">
        <v>11.9</v>
      </c>
      <c r="G374" s="10">
        <v>1.9</v>
      </c>
      <c r="H374" s="10">
        <v>4.2000000000000028</v>
      </c>
      <c r="I374" s="10">
        <v>23.4</v>
      </c>
      <c r="J374" s="10">
        <v>45.715666666666664</v>
      </c>
      <c r="K374" t="s">
        <v>81</v>
      </c>
      <c r="L374" t="s">
        <v>143</v>
      </c>
      <c r="M374" s="10">
        <v>20.162107396149935</v>
      </c>
      <c r="N374" t="s">
        <v>143</v>
      </c>
    </row>
    <row r="375" spans="1:14" x14ac:dyDescent="0.2">
      <c r="A375" t="s">
        <v>515</v>
      </c>
      <c r="B375" s="10">
        <v>-17.331433265572208</v>
      </c>
      <c r="C375" s="10">
        <v>-16.739999999999998</v>
      </c>
      <c r="D375" s="10">
        <v>58.9</v>
      </c>
      <c r="E375" s="10">
        <v>19.2</v>
      </c>
      <c r="F375" s="10">
        <v>11.5</v>
      </c>
      <c r="G375" s="10">
        <v>3.4</v>
      </c>
      <c r="H375" s="10">
        <v>7</v>
      </c>
      <c r="I375" s="10">
        <v>33.700000000000003</v>
      </c>
      <c r="J375" s="10">
        <v>51.332999999999998</v>
      </c>
      <c r="K375" t="s">
        <v>81</v>
      </c>
      <c r="L375" t="s">
        <v>143</v>
      </c>
      <c r="M375" s="10">
        <v>-28</v>
      </c>
      <c r="N375" t="s">
        <v>143</v>
      </c>
    </row>
    <row r="376" spans="1:14" x14ac:dyDescent="0.2">
      <c r="A376" t="s">
        <v>516</v>
      </c>
      <c r="B376" s="10">
        <v>18.766011262951672</v>
      </c>
      <c r="C376" s="10">
        <v>18.284793388429758</v>
      </c>
      <c r="D376" s="10">
        <v>62</v>
      </c>
      <c r="E376" s="10">
        <v>21.1</v>
      </c>
      <c r="F376" s="10">
        <v>7.3</v>
      </c>
      <c r="G376" s="10">
        <v>1.9</v>
      </c>
      <c r="H376" s="10">
        <v>7.7000000000000028</v>
      </c>
      <c r="I376" s="10">
        <v>24.9</v>
      </c>
      <c r="J376" s="10">
        <v>46.456333333333333</v>
      </c>
      <c r="K376" t="s">
        <v>81</v>
      </c>
      <c r="L376" t="s">
        <v>143</v>
      </c>
      <c r="M376" s="10">
        <v>7.0247933884297566</v>
      </c>
      <c r="N376" t="s">
        <v>143</v>
      </c>
    </row>
    <row r="377" spans="1:14" x14ac:dyDescent="0.2">
      <c r="A377" t="s">
        <v>517</v>
      </c>
      <c r="B377" s="10">
        <v>-20.099970788342141</v>
      </c>
      <c r="C377" s="10">
        <v>-20.540000000000003</v>
      </c>
      <c r="D377" s="10">
        <v>56</v>
      </c>
      <c r="E377" s="10">
        <v>19.2</v>
      </c>
      <c r="F377" s="10">
        <v>16.899999999999999</v>
      </c>
      <c r="G377" s="10">
        <v>2.5</v>
      </c>
      <c r="H377" s="10">
        <v>5.4000000000000057</v>
      </c>
      <c r="I377" s="10">
        <v>25.1</v>
      </c>
      <c r="J377" s="10">
        <v>47.820999999999998</v>
      </c>
      <c r="K377" t="s">
        <v>81</v>
      </c>
      <c r="L377" t="s">
        <v>143</v>
      </c>
      <c r="M377" s="10">
        <v>-31.800000000000004</v>
      </c>
      <c r="N377" t="s">
        <v>143</v>
      </c>
    </row>
    <row r="378" spans="1:14" x14ac:dyDescent="0.2">
      <c r="A378" t="s">
        <v>518</v>
      </c>
      <c r="B378" s="10">
        <v>3.2716206768099063</v>
      </c>
      <c r="C378" s="10">
        <v>-1.9399999999999962</v>
      </c>
      <c r="D378" s="10">
        <v>17.5</v>
      </c>
      <c r="E378" s="10">
        <v>75.400000000000006</v>
      </c>
      <c r="F378" s="10">
        <v>1.7</v>
      </c>
      <c r="G378" s="10">
        <v>1.3</v>
      </c>
      <c r="H378" s="10">
        <v>4.0999999999999943</v>
      </c>
      <c r="I378" s="10">
        <v>21.8</v>
      </c>
      <c r="J378" s="10">
        <v>43.460666666666668</v>
      </c>
      <c r="K378" t="s">
        <v>81</v>
      </c>
      <c r="L378" t="s">
        <v>143</v>
      </c>
      <c r="M378" s="10">
        <v>-13.199999999999996</v>
      </c>
      <c r="N378" t="s">
        <v>143</v>
      </c>
    </row>
    <row r="379" spans="1:14" x14ac:dyDescent="0.2">
      <c r="A379" t="s">
        <v>519</v>
      </c>
      <c r="B379" s="10">
        <v>35.447419523955816</v>
      </c>
      <c r="C379" s="10">
        <v>29.852964824120601</v>
      </c>
      <c r="D379" s="10">
        <v>13</v>
      </c>
      <c r="E379" s="10">
        <v>79.5</v>
      </c>
      <c r="F379" s="10">
        <v>3.7</v>
      </c>
      <c r="G379" s="10">
        <v>1.3</v>
      </c>
      <c r="H379" s="10">
        <v>2.5</v>
      </c>
      <c r="I379" s="10">
        <v>26.1</v>
      </c>
      <c r="J379" s="10">
        <v>42.825666666666663</v>
      </c>
      <c r="K379" t="s">
        <v>77</v>
      </c>
      <c r="L379" t="s">
        <v>143</v>
      </c>
      <c r="M379" s="10">
        <v>18.5929648241206</v>
      </c>
      <c r="N379" t="s">
        <v>143</v>
      </c>
    </row>
    <row r="380" spans="1:14" x14ac:dyDescent="0.2">
      <c r="A380" t="s">
        <v>520</v>
      </c>
      <c r="B380" s="10">
        <v>-14.532429134300328</v>
      </c>
      <c r="C380" s="10">
        <v>-15.246024096385545</v>
      </c>
      <c r="D380" s="10">
        <v>56.6</v>
      </c>
      <c r="E380" s="10">
        <v>18.600000000000001</v>
      </c>
      <c r="F380" s="10">
        <v>16</v>
      </c>
      <c r="G380" s="10">
        <v>1.9</v>
      </c>
      <c r="H380" s="10">
        <v>6.8999999999999915</v>
      </c>
      <c r="I380" s="10">
        <v>25.4</v>
      </c>
      <c r="J380" s="10">
        <v>46.088666666666668</v>
      </c>
      <c r="K380" t="s">
        <v>81</v>
      </c>
      <c r="L380" t="s">
        <v>143</v>
      </c>
      <c r="M380" s="10">
        <v>-26.506024096385545</v>
      </c>
      <c r="N380" t="s">
        <v>143</v>
      </c>
    </row>
    <row r="381" spans="1:14" x14ac:dyDescent="0.2">
      <c r="A381" t="s">
        <v>521</v>
      </c>
      <c r="B381" s="10">
        <v>73.785744249631392</v>
      </c>
      <c r="C381" s="10">
        <v>70.419159159159165</v>
      </c>
      <c r="D381" s="10">
        <v>19.399999999999999</v>
      </c>
      <c r="E381" s="10">
        <v>30.5</v>
      </c>
      <c r="F381" s="10">
        <v>39.700000000000003</v>
      </c>
      <c r="G381" s="10">
        <v>5.3</v>
      </c>
      <c r="H381" s="10">
        <v>5.0999999999999943</v>
      </c>
      <c r="I381" s="10">
        <v>26.8</v>
      </c>
      <c r="J381" s="10">
        <v>44.643999999999998</v>
      </c>
      <c r="K381" t="s">
        <v>77</v>
      </c>
      <c r="L381" t="s">
        <v>143</v>
      </c>
      <c r="M381" s="10">
        <v>59.159159159159174</v>
      </c>
      <c r="N381" t="s">
        <v>143</v>
      </c>
    </row>
    <row r="382" spans="1:14" x14ac:dyDescent="0.2">
      <c r="A382" t="s">
        <v>522</v>
      </c>
      <c r="B382" s="10">
        <v>-38.671965916080062</v>
      </c>
      <c r="C382" s="10">
        <v>-40.839999999999996</v>
      </c>
      <c r="D382" s="10">
        <v>53.7</v>
      </c>
      <c r="E382" s="10">
        <v>33.799999999999997</v>
      </c>
      <c r="F382" s="10">
        <v>6.5</v>
      </c>
      <c r="G382" s="10">
        <v>1.3</v>
      </c>
      <c r="H382" s="10">
        <v>4.7000000000000028</v>
      </c>
      <c r="I382" s="10">
        <v>24.5</v>
      </c>
      <c r="J382" s="10">
        <v>44.650333333333336</v>
      </c>
      <c r="K382" t="s">
        <v>81</v>
      </c>
      <c r="L382" t="s">
        <v>145</v>
      </c>
      <c r="M382" s="10">
        <v>-51.69</v>
      </c>
      <c r="N382" t="s">
        <v>145</v>
      </c>
    </row>
    <row r="383" spans="1:14" x14ac:dyDescent="0.2">
      <c r="A383" t="s">
        <v>523</v>
      </c>
      <c r="B383" s="10">
        <v>53.240773378989886</v>
      </c>
      <c r="C383" s="10">
        <v>48.460000000000008</v>
      </c>
      <c r="D383" s="10">
        <v>19.7</v>
      </c>
      <c r="E383" s="10">
        <v>69.3</v>
      </c>
      <c r="F383" s="10">
        <v>6.6</v>
      </c>
      <c r="G383" s="10">
        <v>2.5</v>
      </c>
      <c r="H383" s="10">
        <v>1.9000000000000057</v>
      </c>
      <c r="I383" s="10">
        <v>24.6</v>
      </c>
      <c r="J383" s="10">
        <v>43.902666666666669</v>
      </c>
      <c r="K383" t="s">
        <v>77</v>
      </c>
      <c r="L383" t="s">
        <v>143</v>
      </c>
      <c r="M383" s="10">
        <v>37.20000000000001</v>
      </c>
      <c r="N383" t="s">
        <v>143</v>
      </c>
    </row>
    <row r="384" spans="1:14" x14ac:dyDescent="0.2">
      <c r="A384" t="s">
        <v>524</v>
      </c>
      <c r="B384" s="10">
        <v>-11.951444928122591</v>
      </c>
      <c r="C384" s="10">
        <v>-10.99</v>
      </c>
      <c r="D384" s="10">
        <v>62.1</v>
      </c>
      <c r="E384" s="10">
        <v>27.5</v>
      </c>
      <c r="F384" s="10">
        <v>3.9</v>
      </c>
      <c r="G384" s="10">
        <v>2.2999999999999998</v>
      </c>
      <c r="H384" s="10">
        <v>4.2000000000000028</v>
      </c>
      <c r="I384" s="10">
        <v>44.8</v>
      </c>
      <c r="J384" s="10">
        <v>54.595333333333336</v>
      </c>
      <c r="K384" t="s">
        <v>81</v>
      </c>
      <c r="L384" t="s">
        <v>145</v>
      </c>
      <c r="M384" s="10">
        <v>-21.84</v>
      </c>
      <c r="N384" t="s">
        <v>145</v>
      </c>
    </row>
    <row r="385" spans="1:14" x14ac:dyDescent="0.2">
      <c r="A385" t="s">
        <v>525</v>
      </c>
      <c r="B385" s="10">
        <v>-11.63792959848576</v>
      </c>
      <c r="C385" s="10">
        <v>-11.42</v>
      </c>
      <c r="D385" s="10">
        <v>45.2</v>
      </c>
      <c r="E385" s="10">
        <v>25.6</v>
      </c>
      <c r="F385" s="10">
        <v>12.3</v>
      </c>
      <c r="G385" s="10">
        <v>11.9</v>
      </c>
      <c r="H385" s="10">
        <v>5</v>
      </c>
      <c r="I385" s="10">
        <v>44.7</v>
      </c>
      <c r="J385" s="10">
        <v>58.50333333333333</v>
      </c>
      <c r="K385" t="s">
        <v>81</v>
      </c>
      <c r="L385" t="s">
        <v>145</v>
      </c>
      <c r="M385" s="10">
        <v>-22.27</v>
      </c>
      <c r="N385" t="s">
        <v>145</v>
      </c>
    </row>
    <row r="386" spans="1:14" x14ac:dyDescent="0.2">
      <c r="A386" t="s">
        <v>526</v>
      </c>
      <c r="B386" s="10">
        <v>-0.87408856205951935</v>
      </c>
      <c r="C386" s="10">
        <v>-3.9800000000000004</v>
      </c>
      <c r="D386" s="10">
        <v>31.3</v>
      </c>
      <c r="E386" s="10">
        <v>58.5</v>
      </c>
      <c r="F386" s="10">
        <v>4.5999999999999996</v>
      </c>
      <c r="G386" s="10">
        <v>2.2999999999999998</v>
      </c>
      <c r="H386" s="10">
        <v>3.2999999999999972</v>
      </c>
      <c r="I386" s="10">
        <v>29.7</v>
      </c>
      <c r="J386" s="10">
        <v>48.775666666666666</v>
      </c>
      <c r="K386" t="s">
        <v>81</v>
      </c>
      <c r="L386" t="s">
        <v>145</v>
      </c>
      <c r="M386" s="10">
        <v>-14.83</v>
      </c>
      <c r="N386" t="s">
        <v>145</v>
      </c>
    </row>
    <row r="387" spans="1:14" x14ac:dyDescent="0.2">
      <c r="A387" t="s">
        <v>527</v>
      </c>
      <c r="B387" s="10">
        <v>-11.695288611894266</v>
      </c>
      <c r="C387" s="10">
        <v>-9.1808817635270454</v>
      </c>
      <c r="D387" s="10">
        <v>64.900000000000006</v>
      </c>
      <c r="E387" s="10">
        <v>12.9</v>
      </c>
      <c r="F387" s="10">
        <v>7.9</v>
      </c>
      <c r="G387" s="10">
        <v>6.8</v>
      </c>
      <c r="H387" s="10">
        <v>7.5</v>
      </c>
      <c r="I387" s="10">
        <v>52.8</v>
      </c>
      <c r="J387" s="10">
        <v>60.629333333333335</v>
      </c>
      <c r="K387" t="s">
        <v>81</v>
      </c>
      <c r="L387" t="s">
        <v>143</v>
      </c>
      <c r="M387" s="10">
        <v>-20.440881763527045</v>
      </c>
      <c r="N387" t="s">
        <v>143</v>
      </c>
    </row>
    <row r="388" spans="1:14" x14ac:dyDescent="0.2">
      <c r="A388" t="s">
        <v>528</v>
      </c>
      <c r="B388" s="10">
        <v>-42.883513934803133</v>
      </c>
      <c r="C388" s="10">
        <v>-42.508844221105527</v>
      </c>
      <c r="D388" s="10">
        <v>62.1</v>
      </c>
      <c r="E388" s="10">
        <v>16.399999999999999</v>
      </c>
      <c r="F388" s="10">
        <v>12</v>
      </c>
      <c r="G388" s="10">
        <v>2.9</v>
      </c>
      <c r="H388" s="10">
        <v>6.5999999999999943</v>
      </c>
      <c r="I388" s="10">
        <v>30.1</v>
      </c>
      <c r="J388" s="10">
        <v>49.418999999999997</v>
      </c>
      <c r="K388" t="s">
        <v>81</v>
      </c>
      <c r="L388" t="s">
        <v>143</v>
      </c>
      <c r="M388" s="10">
        <v>-53.768844221105525</v>
      </c>
      <c r="N388" t="s">
        <v>143</v>
      </c>
    </row>
    <row r="389" spans="1:14" x14ac:dyDescent="0.2">
      <c r="A389" t="s">
        <v>529</v>
      </c>
      <c r="B389" s="10">
        <v>-17.377183710129593</v>
      </c>
      <c r="C389" s="10">
        <v>-15.249723643807576</v>
      </c>
      <c r="D389" s="10">
        <v>60</v>
      </c>
      <c r="E389" s="10">
        <v>14</v>
      </c>
      <c r="F389" s="10">
        <v>9.9</v>
      </c>
      <c r="G389" s="10">
        <v>7.3</v>
      </c>
      <c r="H389" s="10">
        <v>8.7999999999999972</v>
      </c>
      <c r="I389" s="10">
        <v>45.9</v>
      </c>
      <c r="J389" s="10">
        <v>60.121000000000002</v>
      </c>
      <c r="K389" t="s">
        <v>81</v>
      </c>
      <c r="L389" t="s">
        <v>143</v>
      </c>
      <c r="M389" s="10">
        <v>-26.509723643807575</v>
      </c>
      <c r="N389" t="s">
        <v>143</v>
      </c>
    </row>
    <row r="390" spans="1:14" x14ac:dyDescent="0.2">
      <c r="A390" t="s">
        <v>530</v>
      </c>
      <c r="B390" s="10">
        <v>-9.2884628992538474</v>
      </c>
      <c r="C390" s="10">
        <v>-12.049788092835525</v>
      </c>
      <c r="D390" s="10">
        <v>41.4</v>
      </c>
      <c r="E390" s="10">
        <v>50.1</v>
      </c>
      <c r="F390" s="10">
        <v>4.9000000000000004</v>
      </c>
      <c r="G390" s="10">
        <v>1.3</v>
      </c>
      <c r="H390" s="10">
        <v>2.2999999999999972</v>
      </c>
      <c r="I390" s="10">
        <v>19.899999999999999</v>
      </c>
      <c r="J390" s="10">
        <v>45.606333333333332</v>
      </c>
      <c r="K390" t="s">
        <v>81</v>
      </c>
      <c r="L390" t="s">
        <v>143</v>
      </c>
      <c r="M390" s="10">
        <v>-23.309788092835525</v>
      </c>
      <c r="N390" t="s">
        <v>143</v>
      </c>
    </row>
    <row r="391" spans="1:14" x14ac:dyDescent="0.2">
      <c r="A391" t="s">
        <v>531</v>
      </c>
      <c r="B391" s="10">
        <v>23.627761996607624</v>
      </c>
      <c r="C391" s="10">
        <v>19.060000000000006</v>
      </c>
      <c r="D391" s="10">
        <v>19.3</v>
      </c>
      <c r="E391" s="10">
        <v>69.7</v>
      </c>
      <c r="F391" s="10">
        <v>5.4</v>
      </c>
      <c r="G391" s="10">
        <v>1.2</v>
      </c>
      <c r="H391" s="10">
        <v>4.3999999999999915</v>
      </c>
      <c r="I391" s="10">
        <v>19.899999999999999</v>
      </c>
      <c r="J391" s="10">
        <v>45.11866666666667</v>
      </c>
      <c r="K391" t="s">
        <v>77</v>
      </c>
      <c r="L391" t="s">
        <v>143</v>
      </c>
      <c r="M391" s="10">
        <v>7.8000000000000043</v>
      </c>
      <c r="N391" t="s">
        <v>143</v>
      </c>
    </row>
    <row r="392" spans="1:14" x14ac:dyDescent="0.2">
      <c r="A392" t="s">
        <v>532</v>
      </c>
      <c r="B392" s="10">
        <v>50.277449758239385</v>
      </c>
      <c r="C392" s="10">
        <v>44.66</v>
      </c>
      <c r="D392" s="10">
        <v>10</v>
      </c>
      <c r="E392" s="10">
        <v>65.3</v>
      </c>
      <c r="F392" s="10">
        <v>17.7</v>
      </c>
      <c r="G392" s="10">
        <v>3</v>
      </c>
      <c r="H392" s="10">
        <v>4</v>
      </c>
      <c r="I392" s="10">
        <v>11.8</v>
      </c>
      <c r="J392" s="10">
        <v>41.820333333333338</v>
      </c>
      <c r="K392" t="s">
        <v>77</v>
      </c>
      <c r="L392" t="s">
        <v>143</v>
      </c>
      <c r="M392" s="10">
        <v>33.4</v>
      </c>
      <c r="N392" t="s">
        <v>143</v>
      </c>
    </row>
    <row r="393" spans="1:14" x14ac:dyDescent="0.2">
      <c r="A393" t="s">
        <v>533</v>
      </c>
      <c r="B393" s="10">
        <v>60.621359850968275</v>
      </c>
      <c r="C393" s="10">
        <v>58.02</v>
      </c>
      <c r="D393" s="10">
        <v>21.4</v>
      </c>
      <c r="E393" s="10">
        <v>23.6</v>
      </c>
      <c r="F393" s="10">
        <v>47.2</v>
      </c>
      <c r="G393" s="10">
        <v>3.4</v>
      </c>
      <c r="H393" s="10">
        <v>4.3999999999999915</v>
      </c>
      <c r="I393" s="10">
        <v>28.9</v>
      </c>
      <c r="J393" s="10">
        <v>47.48833333333333</v>
      </c>
      <c r="K393" t="s">
        <v>77</v>
      </c>
      <c r="L393" t="s">
        <v>145</v>
      </c>
      <c r="M393" s="10">
        <v>47.17</v>
      </c>
      <c r="N393" t="s">
        <v>145</v>
      </c>
    </row>
    <row r="394" spans="1:14" x14ac:dyDescent="0.2">
      <c r="A394" t="s">
        <v>534</v>
      </c>
      <c r="B394" s="10">
        <v>-22.31345847585505</v>
      </c>
      <c r="C394" s="10">
        <v>-20.74</v>
      </c>
      <c r="D394" s="10">
        <v>63</v>
      </c>
      <c r="E394" s="10">
        <v>19.100000000000001</v>
      </c>
      <c r="F394" s="10">
        <v>8.6</v>
      </c>
      <c r="G394" s="10">
        <v>3.4</v>
      </c>
      <c r="H394" s="10">
        <v>5.9000000000000057</v>
      </c>
      <c r="I394" s="10">
        <v>36.5</v>
      </c>
      <c r="J394" s="10">
        <v>54.705333333333336</v>
      </c>
      <c r="K394" t="s">
        <v>81</v>
      </c>
      <c r="L394" t="s">
        <v>143</v>
      </c>
      <c r="M394" s="10">
        <v>-32</v>
      </c>
      <c r="N394" t="s">
        <v>143</v>
      </c>
    </row>
    <row r="395" spans="1:14" x14ac:dyDescent="0.2">
      <c r="A395" t="s">
        <v>535</v>
      </c>
      <c r="B395" s="10">
        <v>-4.7632964035788117</v>
      </c>
      <c r="C395" s="10">
        <v>-6.9399999999999995</v>
      </c>
      <c r="D395" s="10">
        <v>36.200000000000003</v>
      </c>
      <c r="E395" s="10">
        <v>22.5</v>
      </c>
      <c r="F395" s="10">
        <v>23.9</v>
      </c>
      <c r="G395" s="10">
        <v>7.7</v>
      </c>
      <c r="H395" s="10">
        <v>9.7000000000000028</v>
      </c>
      <c r="I395" s="10">
        <v>38.9</v>
      </c>
      <c r="J395" s="10">
        <v>46.978333333333332</v>
      </c>
      <c r="K395" t="s">
        <v>77</v>
      </c>
      <c r="L395" t="s">
        <v>145</v>
      </c>
      <c r="M395" s="10">
        <v>-17.79</v>
      </c>
      <c r="N395" t="s">
        <v>145</v>
      </c>
    </row>
    <row r="396" spans="1:14" x14ac:dyDescent="0.2">
      <c r="A396" t="s">
        <v>536</v>
      </c>
      <c r="B396" s="10">
        <v>70.71652702675955</v>
      </c>
      <c r="C396" s="10">
        <v>66.428661588683354</v>
      </c>
      <c r="D396" s="10">
        <v>15.8</v>
      </c>
      <c r="E396" s="10">
        <v>44.2</v>
      </c>
      <c r="F396" s="10">
        <v>26.3</v>
      </c>
      <c r="G396" s="10">
        <v>5.3</v>
      </c>
      <c r="H396" s="10">
        <v>8.3999999999999915</v>
      </c>
      <c r="I396" s="10">
        <v>22</v>
      </c>
      <c r="J396" s="10">
        <v>44.154333333333334</v>
      </c>
      <c r="K396" t="s">
        <v>77</v>
      </c>
      <c r="L396" t="s">
        <v>143</v>
      </c>
      <c r="M396" s="10">
        <v>55.168661588683356</v>
      </c>
      <c r="N396" t="s">
        <v>143</v>
      </c>
    </row>
    <row r="397" spans="1:14" x14ac:dyDescent="0.2">
      <c r="A397" t="s">
        <v>537</v>
      </c>
      <c r="B397" s="10">
        <v>8.7983158580126286</v>
      </c>
      <c r="C397" s="10">
        <v>2.6599999999999984</v>
      </c>
      <c r="D397" s="10">
        <v>9.5</v>
      </c>
      <c r="E397" s="10">
        <v>87.3</v>
      </c>
      <c r="F397" s="10">
        <v>0.7</v>
      </c>
      <c r="G397" s="10">
        <v>0.5</v>
      </c>
      <c r="H397" s="10">
        <v>2</v>
      </c>
      <c r="I397" s="10">
        <v>17.8</v>
      </c>
      <c r="J397" s="10">
        <v>41.266999999999996</v>
      </c>
      <c r="K397" t="s">
        <v>77</v>
      </c>
      <c r="L397" t="s">
        <v>143</v>
      </c>
      <c r="M397" s="10">
        <v>-8.6000000000000014</v>
      </c>
      <c r="N397" t="s">
        <v>143</v>
      </c>
    </row>
    <row r="398" spans="1:14" x14ac:dyDescent="0.2">
      <c r="A398" t="s">
        <v>538</v>
      </c>
      <c r="B398" s="10">
        <v>-1.0398112644409445</v>
      </c>
      <c r="C398" s="10">
        <v>-3.4842326980942797</v>
      </c>
      <c r="D398" s="10">
        <v>29.8</v>
      </c>
      <c r="E398" s="10">
        <v>47.9</v>
      </c>
      <c r="F398" s="10">
        <v>13.5</v>
      </c>
      <c r="G398" s="10">
        <v>2.9</v>
      </c>
      <c r="H398" s="10">
        <v>5.9000000000000057</v>
      </c>
      <c r="I398" s="10">
        <v>29.6</v>
      </c>
      <c r="J398" s="10">
        <v>48.69166666666667</v>
      </c>
      <c r="K398" t="s">
        <v>77</v>
      </c>
      <c r="L398" t="s">
        <v>143</v>
      </c>
      <c r="M398" s="10">
        <v>-14.744232698094279</v>
      </c>
      <c r="N398" t="s">
        <v>143</v>
      </c>
    </row>
    <row r="399" spans="1:14" x14ac:dyDescent="0.2">
      <c r="A399" t="s">
        <v>539</v>
      </c>
      <c r="B399" s="10">
        <v>-20.284394934858309</v>
      </c>
      <c r="C399" s="10">
        <v>-21.139999999999997</v>
      </c>
      <c r="D399" s="10">
        <v>53</v>
      </c>
      <c r="E399" s="10">
        <v>22.8</v>
      </c>
      <c r="F399" s="10">
        <v>13.5</v>
      </c>
      <c r="G399" s="10">
        <v>3.6</v>
      </c>
      <c r="H399" s="10">
        <v>7.0999999999999943</v>
      </c>
      <c r="I399" s="10">
        <v>23.4</v>
      </c>
      <c r="J399" s="10">
        <v>47.554333333333332</v>
      </c>
      <c r="K399" t="s">
        <v>81</v>
      </c>
      <c r="L399" t="s">
        <v>143</v>
      </c>
      <c r="M399" s="10">
        <v>-32.4</v>
      </c>
      <c r="N399" t="s">
        <v>143</v>
      </c>
    </row>
    <row r="400" spans="1:14" x14ac:dyDescent="0.2">
      <c r="A400" t="s">
        <v>540</v>
      </c>
      <c r="B400" s="10">
        <v>69.041882179807061</v>
      </c>
      <c r="C400" s="10">
        <v>70.406341463414634</v>
      </c>
      <c r="D400" s="10">
        <v>55.3</v>
      </c>
      <c r="E400" s="10">
        <v>22.5</v>
      </c>
      <c r="F400" s="10">
        <v>7.7</v>
      </c>
      <c r="G400" s="10">
        <v>7.4</v>
      </c>
      <c r="H400" s="10">
        <v>7.1000000000000085</v>
      </c>
      <c r="I400" s="10">
        <v>60.3</v>
      </c>
      <c r="J400" s="10">
        <v>55.371333333333332</v>
      </c>
      <c r="K400" t="s">
        <v>77</v>
      </c>
      <c r="L400" t="s">
        <v>143</v>
      </c>
      <c r="M400" s="10">
        <v>59.146341463414636</v>
      </c>
      <c r="N400" t="s">
        <v>143</v>
      </c>
    </row>
    <row r="401" spans="1:14" x14ac:dyDescent="0.2">
      <c r="A401" t="s">
        <v>541</v>
      </c>
      <c r="B401" s="10">
        <v>-10.960076335565049</v>
      </c>
      <c r="C401" s="10">
        <v>-10.070000000000002</v>
      </c>
      <c r="D401" s="10">
        <v>53.1</v>
      </c>
      <c r="E401" s="10">
        <v>20.100000000000001</v>
      </c>
      <c r="F401" s="10">
        <v>10.9</v>
      </c>
      <c r="G401" s="10">
        <v>8.8000000000000007</v>
      </c>
      <c r="H401" s="10">
        <v>7.0999999999999943</v>
      </c>
      <c r="I401" s="10">
        <v>49.9</v>
      </c>
      <c r="J401" s="10">
        <v>56.286999999999999</v>
      </c>
      <c r="K401" t="s">
        <v>81</v>
      </c>
      <c r="L401" t="s">
        <v>145</v>
      </c>
      <c r="M401" s="10">
        <v>-20.92</v>
      </c>
      <c r="N401" t="s">
        <v>145</v>
      </c>
    </row>
    <row r="402" spans="1:14" x14ac:dyDescent="0.2">
      <c r="A402" t="s">
        <v>542</v>
      </c>
      <c r="B402" s="10">
        <v>25.885584638801021</v>
      </c>
      <c r="C402" s="10">
        <v>28.501379310344834</v>
      </c>
      <c r="D402" s="10">
        <v>80.5</v>
      </c>
      <c r="E402" s="10">
        <v>9.6999999999999993</v>
      </c>
      <c r="F402" s="10">
        <v>1.5</v>
      </c>
      <c r="G402" s="10">
        <v>2.4</v>
      </c>
      <c r="H402" s="10">
        <v>5.9000000000000057</v>
      </c>
      <c r="I402" s="10">
        <v>36.9</v>
      </c>
      <c r="J402" s="10">
        <v>53.983666666666664</v>
      </c>
      <c r="K402" t="s">
        <v>81</v>
      </c>
      <c r="L402" t="s">
        <v>143</v>
      </c>
      <c r="M402" s="10">
        <v>17.241379310344833</v>
      </c>
      <c r="N402" t="s">
        <v>143</v>
      </c>
    </row>
    <row r="403" spans="1:14" x14ac:dyDescent="0.2">
      <c r="A403" t="s">
        <v>543</v>
      </c>
      <c r="B403" s="10">
        <v>-32.914799176080145</v>
      </c>
      <c r="C403" s="10">
        <v>-31.112881355932206</v>
      </c>
      <c r="D403" s="10">
        <v>73.400000000000006</v>
      </c>
      <c r="E403" s="10">
        <v>11.4</v>
      </c>
      <c r="F403" s="10">
        <v>1.6</v>
      </c>
      <c r="G403" s="10">
        <v>2.8</v>
      </c>
      <c r="H403" s="10">
        <v>10.799999999999997</v>
      </c>
      <c r="I403" s="10">
        <v>32</v>
      </c>
      <c r="J403" s="10">
        <v>51.92966666666667</v>
      </c>
      <c r="K403" t="s">
        <v>81</v>
      </c>
      <c r="L403" t="s">
        <v>143</v>
      </c>
      <c r="M403" s="10">
        <v>-42.372881355932208</v>
      </c>
      <c r="N403" t="s">
        <v>143</v>
      </c>
    </row>
    <row r="404" spans="1:14" x14ac:dyDescent="0.2">
      <c r="A404" t="s">
        <v>544</v>
      </c>
      <c r="B404" s="10">
        <v>-41.849462399978371</v>
      </c>
      <c r="C404" s="10">
        <v>-38.950084033613443</v>
      </c>
      <c r="D404" s="10">
        <v>79.7</v>
      </c>
      <c r="E404" s="10">
        <v>7.2</v>
      </c>
      <c r="F404" s="10">
        <v>1.1000000000000001</v>
      </c>
      <c r="G404" s="10">
        <v>2.5</v>
      </c>
      <c r="H404" s="10">
        <v>9.5</v>
      </c>
      <c r="I404" s="10">
        <v>42.5</v>
      </c>
      <c r="J404" s="10">
        <v>54.06433333333333</v>
      </c>
      <c r="K404" t="s">
        <v>81</v>
      </c>
      <c r="L404" t="s">
        <v>143</v>
      </c>
      <c r="M404" s="10">
        <v>-50.210084033613441</v>
      </c>
      <c r="N404" t="s">
        <v>143</v>
      </c>
    </row>
    <row r="405" spans="1:14" x14ac:dyDescent="0.2">
      <c r="A405" t="s">
        <v>545</v>
      </c>
      <c r="B405" s="10">
        <v>-35.568895560118079</v>
      </c>
      <c r="C405" s="10">
        <v>-32.43134515119916</v>
      </c>
      <c r="D405" s="10">
        <v>75.8</v>
      </c>
      <c r="E405" s="10">
        <v>10.6</v>
      </c>
      <c r="F405" s="10">
        <v>1.2</v>
      </c>
      <c r="G405" s="10">
        <v>2.8</v>
      </c>
      <c r="H405" s="10">
        <v>9.6000000000000085</v>
      </c>
      <c r="I405" s="10">
        <v>33.5</v>
      </c>
      <c r="J405" s="10">
        <v>58.335333333333331</v>
      </c>
      <c r="K405" t="s">
        <v>81</v>
      </c>
      <c r="L405" t="s">
        <v>143</v>
      </c>
      <c r="M405" s="10">
        <v>-43.691345151199158</v>
      </c>
      <c r="N405" t="s">
        <v>143</v>
      </c>
    </row>
    <row r="406" spans="1:14" x14ac:dyDescent="0.2">
      <c r="A406" t="s">
        <v>546</v>
      </c>
      <c r="B406" s="10">
        <v>-4.8048895984857491</v>
      </c>
      <c r="C406" s="10">
        <v>-1.5399999999999905</v>
      </c>
      <c r="D406" s="10">
        <v>73.099999999999994</v>
      </c>
      <c r="E406" s="10">
        <v>3.5</v>
      </c>
      <c r="F406" s="10">
        <v>14.1</v>
      </c>
      <c r="G406" s="10">
        <v>4.3</v>
      </c>
      <c r="H406" s="10">
        <v>5</v>
      </c>
      <c r="I406" s="10">
        <v>46.9</v>
      </c>
      <c r="J406" s="10">
        <v>58.018999999999998</v>
      </c>
      <c r="K406" t="s">
        <v>81</v>
      </c>
      <c r="L406" t="s">
        <v>143</v>
      </c>
      <c r="M406" s="10">
        <v>-12.79999999999999</v>
      </c>
      <c r="N406" t="s">
        <v>143</v>
      </c>
    </row>
    <row r="407" spans="1:14" x14ac:dyDescent="0.2">
      <c r="A407" t="s">
        <v>547</v>
      </c>
      <c r="B407" s="10">
        <v>5.8969601620737944</v>
      </c>
      <c r="C407" s="10">
        <v>7.319999999999995</v>
      </c>
      <c r="D407" s="10">
        <v>61.3</v>
      </c>
      <c r="E407" s="10">
        <v>5.8</v>
      </c>
      <c r="F407" s="10">
        <v>23.6</v>
      </c>
      <c r="G407" s="10">
        <v>5.3</v>
      </c>
      <c r="H407" s="10">
        <v>4</v>
      </c>
      <c r="I407" s="10">
        <v>37.4</v>
      </c>
      <c r="J407" s="10">
        <v>52.844999999999999</v>
      </c>
      <c r="K407" t="s">
        <v>81</v>
      </c>
      <c r="L407" t="s">
        <v>143</v>
      </c>
      <c r="M407" s="10">
        <v>-3.9400000000000048</v>
      </c>
      <c r="N407" t="s">
        <v>143</v>
      </c>
    </row>
    <row r="408" spans="1:14" x14ac:dyDescent="0.2">
      <c r="A408" t="s">
        <v>548</v>
      </c>
      <c r="B408" s="10">
        <v>52.414593932563172</v>
      </c>
      <c r="C408" s="10">
        <v>51.459999999999994</v>
      </c>
      <c r="D408" s="10">
        <v>42</v>
      </c>
      <c r="E408" s="10">
        <v>5.8</v>
      </c>
      <c r="F408" s="10">
        <v>45.2</v>
      </c>
      <c r="G408" s="10">
        <v>3.1</v>
      </c>
      <c r="H408" s="10">
        <v>3.8999999999999915</v>
      </c>
      <c r="I408" s="10">
        <v>28.5</v>
      </c>
      <c r="J408" s="10">
        <v>46.024999999999999</v>
      </c>
      <c r="K408" t="s">
        <v>77</v>
      </c>
      <c r="L408" t="s">
        <v>143</v>
      </c>
      <c r="M408" s="10">
        <v>40.199999999999996</v>
      </c>
      <c r="N408" t="s">
        <v>143</v>
      </c>
    </row>
    <row r="409" spans="1:14" x14ac:dyDescent="0.2">
      <c r="A409" t="s">
        <v>549</v>
      </c>
      <c r="B409" s="10">
        <v>46.694975742088516</v>
      </c>
      <c r="C409" s="10">
        <v>46.240000000000009</v>
      </c>
      <c r="D409" s="10">
        <v>45.2</v>
      </c>
      <c r="E409" s="10">
        <v>4.5999999999999996</v>
      </c>
      <c r="F409" s="10">
        <v>44.7</v>
      </c>
      <c r="G409" s="10">
        <v>2.2999999999999998</v>
      </c>
      <c r="H409" s="10">
        <v>3.1999999999999886</v>
      </c>
      <c r="I409" s="10">
        <v>31.1</v>
      </c>
      <c r="J409" s="10">
        <v>47.028666666666666</v>
      </c>
      <c r="K409" t="s">
        <v>77</v>
      </c>
      <c r="L409" t="s">
        <v>143</v>
      </c>
      <c r="M409" s="10">
        <v>34.980000000000011</v>
      </c>
      <c r="N409" t="s">
        <v>143</v>
      </c>
    </row>
    <row r="410" spans="1:14" x14ac:dyDescent="0.2">
      <c r="A410" t="s">
        <v>550</v>
      </c>
      <c r="B410" s="10">
        <v>-4.3747884565700872</v>
      </c>
      <c r="C410" s="10">
        <v>-3.8000000000000025</v>
      </c>
      <c r="D410" s="10">
        <v>70</v>
      </c>
      <c r="E410" s="10">
        <v>2.2999999999999998</v>
      </c>
      <c r="F410" s="10">
        <v>21.5</v>
      </c>
      <c r="G410" s="10">
        <v>1.8</v>
      </c>
      <c r="H410" s="10">
        <v>4.4000000000000057</v>
      </c>
      <c r="I410" s="10">
        <v>32.700000000000003</v>
      </c>
      <c r="J410" s="10">
        <v>46.128</v>
      </c>
      <c r="K410" t="s">
        <v>81</v>
      </c>
      <c r="L410" t="s">
        <v>143</v>
      </c>
      <c r="M410" s="10">
        <v>-15.060000000000002</v>
      </c>
      <c r="N410" t="s">
        <v>143</v>
      </c>
    </row>
    <row r="411" spans="1:14" x14ac:dyDescent="0.2">
      <c r="A411" t="s">
        <v>551</v>
      </c>
      <c r="B411" s="10">
        <v>-18.946733830354923</v>
      </c>
      <c r="C411" s="10">
        <v>-17.679999999999996</v>
      </c>
      <c r="D411" s="10">
        <v>80.900000000000006</v>
      </c>
      <c r="E411" s="10">
        <v>3.7</v>
      </c>
      <c r="F411" s="10">
        <v>8.6999999999999993</v>
      </c>
      <c r="G411" s="10">
        <v>1.6</v>
      </c>
      <c r="H411" s="10">
        <v>5.0999999999999943</v>
      </c>
      <c r="I411" s="10">
        <v>27.4</v>
      </c>
      <c r="J411" s="10">
        <v>47.540999999999997</v>
      </c>
      <c r="K411" t="s">
        <v>81</v>
      </c>
      <c r="L411" t="s">
        <v>143</v>
      </c>
      <c r="M411" s="10">
        <v>-28.939999999999998</v>
      </c>
      <c r="N411" t="s">
        <v>143</v>
      </c>
    </row>
    <row r="412" spans="1:14" x14ac:dyDescent="0.2">
      <c r="A412" t="s">
        <v>552</v>
      </c>
      <c r="B412" s="10">
        <v>11.916983535537204</v>
      </c>
      <c r="C412" s="10">
        <v>13.9</v>
      </c>
      <c r="D412" s="10">
        <v>54.2</v>
      </c>
      <c r="E412" s="10">
        <v>10.9</v>
      </c>
      <c r="F412" s="10">
        <v>22.4</v>
      </c>
      <c r="G412" s="10">
        <v>5.0999999999999996</v>
      </c>
      <c r="H412" s="10">
        <v>7.4000000000000057</v>
      </c>
      <c r="I412" s="10">
        <v>36.799999999999997</v>
      </c>
      <c r="J412" s="10">
        <v>59.529666666666671</v>
      </c>
      <c r="K412" t="s">
        <v>77</v>
      </c>
      <c r="L412" t="s">
        <v>143</v>
      </c>
      <c r="M412" s="10">
        <v>2.6400000000000006</v>
      </c>
      <c r="N412" t="s">
        <v>143</v>
      </c>
    </row>
    <row r="413" spans="1:14" x14ac:dyDescent="0.2">
      <c r="A413" t="s">
        <v>553</v>
      </c>
      <c r="B413" s="10">
        <v>58.151205579281665</v>
      </c>
      <c r="C413" s="10">
        <v>59.98</v>
      </c>
      <c r="D413" s="10">
        <v>52.2</v>
      </c>
      <c r="E413" s="10">
        <v>12.2</v>
      </c>
      <c r="F413" s="10">
        <v>14.2</v>
      </c>
      <c r="G413" s="10">
        <v>11.8</v>
      </c>
      <c r="H413" s="10">
        <v>9.5999999999999943</v>
      </c>
      <c r="I413" s="10">
        <v>65.099999999999994</v>
      </c>
      <c r="J413" s="10">
        <v>65.819999999999993</v>
      </c>
      <c r="K413" t="s">
        <v>77</v>
      </c>
      <c r="L413" t="s">
        <v>143</v>
      </c>
      <c r="M413" s="10">
        <v>48.72</v>
      </c>
      <c r="N413" t="s">
        <v>143</v>
      </c>
    </row>
    <row r="414" spans="1:14" x14ac:dyDescent="0.2">
      <c r="A414" t="s">
        <v>554</v>
      </c>
      <c r="B414" s="10">
        <v>-34.459723153165235</v>
      </c>
      <c r="C414" s="10">
        <v>-33.979999999999997</v>
      </c>
      <c r="D414" s="10">
        <v>87</v>
      </c>
      <c r="E414" s="10">
        <v>1.8</v>
      </c>
      <c r="F414" s="10">
        <v>6.3</v>
      </c>
      <c r="G414" s="10">
        <v>1.3</v>
      </c>
      <c r="H414" s="10">
        <v>3.5999999999999943</v>
      </c>
      <c r="I414" s="10">
        <v>23.1</v>
      </c>
      <c r="J414" s="10">
        <v>43.086666666666666</v>
      </c>
      <c r="K414" t="s">
        <v>81</v>
      </c>
      <c r="L414" t="s">
        <v>143</v>
      </c>
      <c r="M414" s="10">
        <v>-45.239999999999995</v>
      </c>
      <c r="N414" t="s">
        <v>143</v>
      </c>
    </row>
    <row r="415" spans="1:14" x14ac:dyDescent="0.2">
      <c r="A415" t="s">
        <v>555</v>
      </c>
      <c r="B415" s="10">
        <v>14.143523348729444</v>
      </c>
      <c r="C415" s="10">
        <v>15.820000000000002</v>
      </c>
      <c r="D415" s="10">
        <v>55.8</v>
      </c>
      <c r="E415" s="10">
        <v>11.3</v>
      </c>
      <c r="F415" s="10">
        <v>10.5</v>
      </c>
      <c r="G415" s="10">
        <v>14</v>
      </c>
      <c r="H415" s="10">
        <v>8.4000000000000057</v>
      </c>
      <c r="I415" s="10">
        <v>54.4</v>
      </c>
      <c r="J415" s="10">
        <v>75.894999999999996</v>
      </c>
      <c r="K415" t="s">
        <v>77</v>
      </c>
      <c r="L415" t="s">
        <v>143</v>
      </c>
      <c r="M415" s="10">
        <v>4.5600000000000023</v>
      </c>
      <c r="N415" t="s">
        <v>143</v>
      </c>
    </row>
    <row r="416" spans="1:14" x14ac:dyDescent="0.2">
      <c r="A416" t="s">
        <v>556</v>
      </c>
      <c r="B416" s="10">
        <v>44.032403692665632</v>
      </c>
      <c r="C416" s="10">
        <v>45.240000000000009</v>
      </c>
      <c r="D416" s="10">
        <v>51.2</v>
      </c>
      <c r="E416" s="10">
        <v>9.9</v>
      </c>
      <c r="F416" s="10">
        <v>9.3000000000000007</v>
      </c>
      <c r="G416" s="10">
        <v>21.1</v>
      </c>
      <c r="H416" s="10">
        <v>8.5</v>
      </c>
      <c r="I416" s="10">
        <v>67.5</v>
      </c>
      <c r="J416" s="10">
        <v>75.927666666666667</v>
      </c>
      <c r="K416" t="s">
        <v>77</v>
      </c>
      <c r="L416" t="s">
        <v>143</v>
      </c>
      <c r="M416" s="10">
        <v>33.980000000000011</v>
      </c>
      <c r="N416" t="s">
        <v>143</v>
      </c>
    </row>
    <row r="417" spans="1:14" x14ac:dyDescent="0.2">
      <c r="A417" t="s">
        <v>557</v>
      </c>
      <c r="B417" s="10">
        <v>44.107260560589708</v>
      </c>
      <c r="C417" s="10">
        <v>46.56</v>
      </c>
      <c r="D417" s="10">
        <v>90.4</v>
      </c>
      <c r="E417" s="10">
        <v>1.9</v>
      </c>
      <c r="F417" s="10">
        <v>1.3</v>
      </c>
      <c r="G417" s="10">
        <v>1.6</v>
      </c>
      <c r="H417" s="10">
        <v>4.7999999999999972</v>
      </c>
      <c r="I417" s="10">
        <v>41.7</v>
      </c>
      <c r="J417" s="10">
        <v>49.663666666666664</v>
      </c>
      <c r="K417" t="s">
        <v>77</v>
      </c>
      <c r="L417" t="s">
        <v>143</v>
      </c>
      <c r="M417" s="10">
        <v>35.300000000000004</v>
      </c>
      <c r="N417" t="s">
        <v>143</v>
      </c>
    </row>
    <row r="418" spans="1:14" x14ac:dyDescent="0.2">
      <c r="A418" t="s">
        <v>558</v>
      </c>
      <c r="B418" s="10">
        <v>35.313169885997809</v>
      </c>
      <c r="C418" s="10">
        <v>37.58</v>
      </c>
      <c r="D418" s="10">
        <v>62.9</v>
      </c>
      <c r="E418" s="10">
        <v>6.6</v>
      </c>
      <c r="F418" s="10">
        <v>3.3</v>
      </c>
      <c r="G418" s="10">
        <v>13.3</v>
      </c>
      <c r="H418" s="10">
        <v>13.900000000000006</v>
      </c>
      <c r="I418" s="10">
        <v>50.2</v>
      </c>
      <c r="J418" s="10">
        <v>66.804000000000002</v>
      </c>
      <c r="K418" t="s">
        <v>77</v>
      </c>
      <c r="L418" t="s">
        <v>143</v>
      </c>
      <c r="M418" s="10">
        <v>26.32</v>
      </c>
      <c r="N418" t="s">
        <v>143</v>
      </c>
    </row>
    <row r="419" spans="1:14" x14ac:dyDescent="0.2">
      <c r="A419" t="s">
        <v>559</v>
      </c>
      <c r="B419" s="10">
        <v>37.53791579606478</v>
      </c>
      <c r="C419" s="10">
        <v>39.32</v>
      </c>
      <c r="D419" s="10">
        <v>72.5</v>
      </c>
      <c r="E419" s="10">
        <v>7.6</v>
      </c>
      <c r="F419" s="10">
        <v>2.9</v>
      </c>
      <c r="G419" s="10">
        <v>7</v>
      </c>
      <c r="H419" s="10">
        <v>10</v>
      </c>
      <c r="I419" s="10">
        <v>34.6</v>
      </c>
      <c r="J419" s="10">
        <v>52.665666666666667</v>
      </c>
      <c r="K419" t="s">
        <v>77</v>
      </c>
      <c r="L419" t="s">
        <v>143</v>
      </c>
      <c r="M419" s="10">
        <v>28.060000000000002</v>
      </c>
      <c r="N419" t="s">
        <v>143</v>
      </c>
    </row>
    <row r="420" spans="1:14" x14ac:dyDescent="0.2">
      <c r="A420" t="s">
        <v>560</v>
      </c>
      <c r="B420" s="10">
        <v>12.806391327013324</v>
      </c>
      <c r="C420" s="10">
        <v>15.159999999999998</v>
      </c>
      <c r="D420" s="10">
        <v>78.400000000000006</v>
      </c>
      <c r="E420" s="10">
        <v>6.2</v>
      </c>
      <c r="F420" s="10">
        <v>2.2000000000000002</v>
      </c>
      <c r="G420" s="10">
        <v>4.0999999999999996</v>
      </c>
      <c r="H420" s="10">
        <v>9.0999999999999943</v>
      </c>
      <c r="I420" s="10">
        <v>27.6</v>
      </c>
      <c r="J420" s="10">
        <v>53.398666666666664</v>
      </c>
      <c r="K420" t="s">
        <v>77</v>
      </c>
      <c r="L420" t="s">
        <v>143</v>
      </c>
      <c r="M420" s="10">
        <v>3.8999999999999986</v>
      </c>
      <c r="N420" t="s">
        <v>143</v>
      </c>
    </row>
    <row r="421" spans="1:14" x14ac:dyDescent="0.2">
      <c r="A421" t="s">
        <v>561</v>
      </c>
      <c r="B421" s="10">
        <v>-9.3356505567228218</v>
      </c>
      <c r="C421" s="10">
        <v>-9.8200000000000021</v>
      </c>
      <c r="D421" s="10">
        <v>56.8</v>
      </c>
      <c r="E421" s="10">
        <v>24.7</v>
      </c>
      <c r="F421" s="10">
        <v>1.5</v>
      </c>
      <c r="G421" s="10">
        <v>1.9</v>
      </c>
      <c r="H421" s="10">
        <v>15.100000000000009</v>
      </c>
      <c r="I421" s="10">
        <v>23.1</v>
      </c>
      <c r="J421" s="10">
        <v>49.451666666666668</v>
      </c>
      <c r="K421" t="s">
        <v>81</v>
      </c>
      <c r="L421" t="s">
        <v>145</v>
      </c>
      <c r="M421" s="10">
        <v>-20.67</v>
      </c>
      <c r="N421" t="s">
        <v>145</v>
      </c>
    </row>
    <row r="422" spans="1:14" x14ac:dyDescent="0.2">
      <c r="A422" t="s">
        <v>562</v>
      </c>
      <c r="B422" s="10">
        <v>-11.27917234307996</v>
      </c>
      <c r="C422" s="10">
        <v>-10.06</v>
      </c>
      <c r="D422" s="10">
        <v>81.099999999999994</v>
      </c>
      <c r="E422" s="10">
        <v>6</v>
      </c>
      <c r="F422" s="10">
        <v>2.2000000000000002</v>
      </c>
      <c r="G422" s="10">
        <v>2.7</v>
      </c>
      <c r="H422" s="10">
        <v>8</v>
      </c>
      <c r="I422" s="10">
        <v>30.8</v>
      </c>
      <c r="J422" s="10">
        <v>47.361666666666665</v>
      </c>
      <c r="K422" t="s">
        <v>81</v>
      </c>
      <c r="L422" t="s">
        <v>143</v>
      </c>
      <c r="M422" s="10">
        <v>-21.32</v>
      </c>
      <c r="N422" t="s">
        <v>143</v>
      </c>
    </row>
    <row r="423" spans="1:14" x14ac:dyDescent="0.2">
      <c r="A423" t="s">
        <v>563</v>
      </c>
      <c r="B423" s="10">
        <v>22.711362233601385</v>
      </c>
      <c r="C423" s="10">
        <v>24.900000000000009</v>
      </c>
      <c r="D423" s="10">
        <v>75.2</v>
      </c>
      <c r="E423" s="10">
        <v>5.9</v>
      </c>
      <c r="F423" s="10">
        <v>4.3</v>
      </c>
      <c r="G423" s="10">
        <v>5</v>
      </c>
      <c r="H423" s="10">
        <v>9.5999999999999943</v>
      </c>
      <c r="I423" s="10">
        <v>33.4</v>
      </c>
      <c r="J423" s="10">
        <v>53.077666666666666</v>
      </c>
      <c r="K423" t="s">
        <v>77</v>
      </c>
      <c r="L423" t="s">
        <v>143</v>
      </c>
      <c r="M423" s="10">
        <v>13.640000000000008</v>
      </c>
      <c r="N423" t="s">
        <v>143</v>
      </c>
    </row>
    <row r="424" spans="1:14" x14ac:dyDescent="0.2">
      <c r="A424" t="s">
        <v>564</v>
      </c>
      <c r="B424" s="10">
        <v>77.06387865086937</v>
      </c>
      <c r="C424" s="10">
        <v>79.619999999999976</v>
      </c>
      <c r="D424" s="10">
        <v>64.5</v>
      </c>
      <c r="E424" s="10">
        <v>6.2</v>
      </c>
      <c r="F424" s="10">
        <v>5.4</v>
      </c>
      <c r="G424" s="10">
        <v>13</v>
      </c>
      <c r="H424" s="10">
        <v>10.900000000000006</v>
      </c>
      <c r="I424" s="10">
        <v>64.599999999999994</v>
      </c>
      <c r="J424" s="10">
        <v>63.472666666666669</v>
      </c>
      <c r="K424" t="s">
        <v>77</v>
      </c>
      <c r="L424" t="s">
        <v>143</v>
      </c>
      <c r="M424" s="10">
        <v>68.359999999999985</v>
      </c>
      <c r="N424" t="s">
        <v>143</v>
      </c>
    </row>
    <row r="425" spans="1:14" x14ac:dyDescent="0.2">
      <c r="A425" t="s">
        <v>565</v>
      </c>
      <c r="B425" s="10">
        <v>16.508951440424369</v>
      </c>
      <c r="C425" s="10">
        <v>19.440000000000001</v>
      </c>
      <c r="D425" s="10">
        <v>72.8</v>
      </c>
      <c r="E425" s="10">
        <v>6.6</v>
      </c>
      <c r="F425" s="10">
        <v>2.4</v>
      </c>
      <c r="G425" s="10">
        <v>7.7</v>
      </c>
      <c r="H425" s="10">
        <v>10.5</v>
      </c>
      <c r="I425" s="10">
        <v>40.6</v>
      </c>
      <c r="J425" s="10">
        <v>64.922333333333327</v>
      </c>
      <c r="K425" t="s">
        <v>77</v>
      </c>
      <c r="L425" t="s">
        <v>143</v>
      </c>
      <c r="M425" s="10">
        <v>8.18</v>
      </c>
      <c r="N425" t="s">
        <v>143</v>
      </c>
    </row>
    <row r="426" spans="1:14" x14ac:dyDescent="0.2">
      <c r="A426" t="s">
        <v>566</v>
      </c>
      <c r="B426" s="10">
        <v>53.225573738408343</v>
      </c>
      <c r="C426" s="10">
        <v>53.52</v>
      </c>
      <c r="D426" s="10">
        <v>44.4</v>
      </c>
      <c r="E426" s="10">
        <v>8.3000000000000007</v>
      </c>
      <c r="F426" s="10">
        <v>12.9</v>
      </c>
      <c r="G426" s="10">
        <v>22.1</v>
      </c>
      <c r="H426" s="10">
        <v>12.299999999999997</v>
      </c>
      <c r="I426" s="10">
        <v>40.4</v>
      </c>
      <c r="J426" s="10">
        <v>56.496000000000002</v>
      </c>
      <c r="K426" t="s">
        <v>77</v>
      </c>
      <c r="L426" t="s">
        <v>143</v>
      </c>
      <c r="M426" s="10">
        <v>42.260000000000005</v>
      </c>
      <c r="N426" t="s">
        <v>143</v>
      </c>
    </row>
    <row r="427" spans="1:14" x14ac:dyDescent="0.2">
      <c r="A427" t="s">
        <v>567</v>
      </c>
      <c r="B427" s="10">
        <v>27.014953311123072</v>
      </c>
      <c r="C427" s="10">
        <v>28.600000000000005</v>
      </c>
      <c r="D427" s="10">
        <v>64.099999999999994</v>
      </c>
      <c r="E427" s="10">
        <v>8.8000000000000007</v>
      </c>
      <c r="F427" s="10">
        <v>8.1999999999999993</v>
      </c>
      <c r="G427" s="10">
        <v>8.5</v>
      </c>
      <c r="H427" s="10">
        <v>10.400000000000006</v>
      </c>
      <c r="I427" s="10">
        <v>30.5</v>
      </c>
      <c r="J427" s="10">
        <v>54.441666666666663</v>
      </c>
      <c r="K427" t="s">
        <v>77</v>
      </c>
      <c r="L427" t="s">
        <v>143</v>
      </c>
      <c r="M427" s="10">
        <v>17.340000000000003</v>
      </c>
      <c r="N427" t="s">
        <v>143</v>
      </c>
    </row>
    <row r="428" spans="1:14" x14ac:dyDescent="0.2">
      <c r="A428" t="s">
        <v>568</v>
      </c>
      <c r="B428" s="10">
        <v>-0.52507848157236614</v>
      </c>
      <c r="C428" s="10">
        <v>0.83999999999999786</v>
      </c>
      <c r="D428" s="10">
        <v>78.2</v>
      </c>
      <c r="E428" s="10">
        <v>7.8</v>
      </c>
      <c r="F428" s="10">
        <v>6.4</v>
      </c>
      <c r="G428" s="10">
        <v>1.7</v>
      </c>
      <c r="H428" s="10">
        <v>5.8999999999999915</v>
      </c>
      <c r="I428" s="10">
        <v>29.7</v>
      </c>
      <c r="J428" s="10">
        <v>48.927</v>
      </c>
      <c r="K428" t="s">
        <v>81</v>
      </c>
      <c r="L428" t="s">
        <v>143</v>
      </c>
      <c r="M428" s="10">
        <v>-10.420000000000002</v>
      </c>
      <c r="N428" t="s">
        <v>143</v>
      </c>
    </row>
    <row r="429" spans="1:14" x14ac:dyDescent="0.2">
      <c r="A429" t="s">
        <v>569</v>
      </c>
      <c r="B429" s="10">
        <v>48.887020094361858</v>
      </c>
      <c r="C429" s="10">
        <v>51.54</v>
      </c>
      <c r="D429" s="10">
        <v>82</v>
      </c>
      <c r="E429" s="10">
        <v>3.6</v>
      </c>
      <c r="F429" s="10">
        <v>4.3</v>
      </c>
      <c r="G429" s="10">
        <v>3.6</v>
      </c>
      <c r="H429" s="10">
        <v>6.5</v>
      </c>
      <c r="I429" s="10">
        <v>46.8</v>
      </c>
      <c r="J429" s="10">
        <v>52.423666666666669</v>
      </c>
      <c r="K429" t="s">
        <v>77</v>
      </c>
      <c r="L429" t="s">
        <v>143</v>
      </c>
      <c r="M429" s="10">
        <v>40.28</v>
      </c>
      <c r="N429" t="s">
        <v>143</v>
      </c>
    </row>
    <row r="430" spans="1:14" x14ac:dyDescent="0.2">
      <c r="A430" t="s">
        <v>570</v>
      </c>
      <c r="B430" s="10">
        <v>6.8501556841868778</v>
      </c>
      <c r="C430" s="10">
        <v>8.540000000000008</v>
      </c>
      <c r="D430" s="10">
        <v>90.9</v>
      </c>
      <c r="E430" s="10">
        <v>1.8</v>
      </c>
      <c r="F430" s="10">
        <v>1.4</v>
      </c>
      <c r="G430" s="10">
        <v>2</v>
      </c>
      <c r="H430" s="10">
        <v>3.8999999999999915</v>
      </c>
      <c r="I430" s="10">
        <v>27.4</v>
      </c>
      <c r="J430" s="10">
        <v>47.506666666666668</v>
      </c>
      <c r="K430" t="s">
        <v>81</v>
      </c>
      <c r="L430" t="s">
        <v>143</v>
      </c>
      <c r="M430" s="10">
        <v>-2.7199999999999918</v>
      </c>
      <c r="N430" t="s">
        <v>143</v>
      </c>
    </row>
    <row r="431" spans="1:14" x14ac:dyDescent="0.2">
      <c r="A431" t="s">
        <v>571</v>
      </c>
      <c r="B431" s="10">
        <v>66.682430091693817</v>
      </c>
      <c r="C431" s="10">
        <v>65.139999999999986</v>
      </c>
      <c r="D431" s="10">
        <v>47.1</v>
      </c>
      <c r="E431" s="10">
        <v>11.5</v>
      </c>
      <c r="F431" s="10">
        <v>32.299999999999997</v>
      </c>
      <c r="G431" s="10">
        <v>3.6</v>
      </c>
      <c r="H431" s="10">
        <v>5.5</v>
      </c>
      <c r="I431" s="10">
        <v>32.5</v>
      </c>
      <c r="J431" s="10">
        <v>43.224000000000004</v>
      </c>
      <c r="K431" t="s">
        <v>77</v>
      </c>
      <c r="L431" t="s">
        <v>143</v>
      </c>
      <c r="M431" s="10">
        <v>53.879999999999995</v>
      </c>
      <c r="N431" t="s">
        <v>143</v>
      </c>
    </row>
    <row r="432" spans="1:14" x14ac:dyDescent="0.2">
      <c r="A432" t="s">
        <v>572</v>
      </c>
      <c r="B432" s="10">
        <v>-21.050064497400669</v>
      </c>
      <c r="C432" s="10">
        <v>-17.679999999999996</v>
      </c>
      <c r="D432" s="10">
        <v>88.4</v>
      </c>
      <c r="E432" s="10">
        <v>3.9</v>
      </c>
      <c r="F432" s="10">
        <v>2</v>
      </c>
      <c r="G432" s="10">
        <v>2.2999999999999998</v>
      </c>
      <c r="H432" s="10">
        <v>3.3999999999999915</v>
      </c>
      <c r="I432" s="10">
        <v>39.4</v>
      </c>
      <c r="J432" s="10">
        <v>54.98233333333333</v>
      </c>
      <c r="K432" t="s">
        <v>81</v>
      </c>
      <c r="L432" t="s">
        <v>143</v>
      </c>
      <c r="M432" s="10">
        <v>-28.939999999999998</v>
      </c>
      <c r="N432" t="s">
        <v>143</v>
      </c>
    </row>
    <row r="433" spans="1:14" x14ac:dyDescent="0.2">
      <c r="A433" t="s">
        <v>573</v>
      </c>
      <c r="B433" s="10">
        <v>-12.944945535682844</v>
      </c>
      <c r="C433" s="10">
        <v>-11.339999999999995</v>
      </c>
      <c r="D433" s="10">
        <v>88.5</v>
      </c>
      <c r="E433" s="10">
        <v>3</v>
      </c>
      <c r="F433" s="10">
        <v>2.2000000000000002</v>
      </c>
      <c r="G433" s="10">
        <v>2</v>
      </c>
      <c r="H433" s="10">
        <v>4.2999999999999972</v>
      </c>
      <c r="I433" s="10">
        <v>27.7</v>
      </c>
      <c r="J433" s="10">
        <v>47.697333333333333</v>
      </c>
      <c r="K433" t="s">
        <v>81</v>
      </c>
      <c r="L433" t="s">
        <v>143</v>
      </c>
      <c r="M433" s="10">
        <v>-22.599999999999994</v>
      </c>
      <c r="N433" t="s">
        <v>143</v>
      </c>
    </row>
    <row r="434" spans="1:14" x14ac:dyDescent="0.2">
      <c r="A434" t="s">
        <v>574</v>
      </c>
      <c r="B434" s="10">
        <v>-12.89636584628253</v>
      </c>
      <c r="C434" s="10">
        <v>-11.65</v>
      </c>
      <c r="D434" s="10">
        <v>91.4</v>
      </c>
      <c r="E434" s="10">
        <v>1.4</v>
      </c>
      <c r="F434" s="10">
        <v>0.9</v>
      </c>
      <c r="G434" s="10">
        <v>1.5</v>
      </c>
      <c r="H434" s="10">
        <v>4.7999999999999972</v>
      </c>
      <c r="I434" s="10">
        <v>24.8</v>
      </c>
      <c r="J434" s="10">
        <v>47.073999999999998</v>
      </c>
      <c r="K434" t="s">
        <v>81</v>
      </c>
      <c r="L434" t="s">
        <v>145</v>
      </c>
      <c r="M434" s="10">
        <v>-22.5</v>
      </c>
      <c r="N434" t="s">
        <v>145</v>
      </c>
    </row>
    <row r="435" spans="1:14" x14ac:dyDescent="0.2">
      <c r="A435" t="s">
        <v>575</v>
      </c>
      <c r="B435" s="10">
        <v>-5.3065780827428117</v>
      </c>
      <c r="C435" s="10">
        <v>-3.4000000000000039</v>
      </c>
      <c r="D435" s="10">
        <v>86.8</v>
      </c>
      <c r="E435" s="10">
        <v>3.3</v>
      </c>
      <c r="F435" s="10">
        <v>1.6</v>
      </c>
      <c r="G435" s="10">
        <v>1.9</v>
      </c>
      <c r="H435" s="10">
        <v>6.4000000000000057</v>
      </c>
      <c r="I435" s="10">
        <v>28.2</v>
      </c>
      <c r="J435" s="10">
        <v>48.976666666666667</v>
      </c>
      <c r="K435" t="s">
        <v>81</v>
      </c>
      <c r="L435" t="s">
        <v>143</v>
      </c>
      <c r="M435" s="10">
        <v>-14.660000000000004</v>
      </c>
      <c r="N435" t="s">
        <v>143</v>
      </c>
    </row>
    <row r="436" spans="1:14" x14ac:dyDescent="0.2">
      <c r="A436" t="s">
        <v>576</v>
      </c>
      <c r="B436" s="10">
        <v>-32.770954328078339</v>
      </c>
      <c r="C436" s="10">
        <v>-32.20000000000001</v>
      </c>
      <c r="D436" s="10">
        <v>90.8</v>
      </c>
      <c r="E436" s="10">
        <v>0.9</v>
      </c>
      <c r="F436" s="10">
        <v>4.5</v>
      </c>
      <c r="G436" s="10">
        <v>0.6</v>
      </c>
      <c r="H436" s="10">
        <v>3.2000000000000028</v>
      </c>
      <c r="I436" s="10">
        <v>20.8</v>
      </c>
      <c r="J436" s="10">
        <v>41.536333333333332</v>
      </c>
      <c r="K436" t="s">
        <v>81</v>
      </c>
      <c r="L436" t="s">
        <v>143</v>
      </c>
      <c r="M436" s="10">
        <v>-43.460000000000008</v>
      </c>
      <c r="N436" t="s">
        <v>143</v>
      </c>
    </row>
    <row r="437" spans="1:14" x14ac:dyDescent="0.2">
      <c r="A437" t="s">
        <v>577</v>
      </c>
      <c r="B437" s="10">
        <v>-31.365456785322039</v>
      </c>
      <c r="C437" s="10">
        <v>-30.27999999999999</v>
      </c>
      <c r="D437" s="10">
        <v>89.7</v>
      </c>
      <c r="E437" s="10">
        <v>1.8</v>
      </c>
      <c r="F437" s="10">
        <v>3.6</v>
      </c>
      <c r="G437" s="10">
        <v>0.9</v>
      </c>
      <c r="H437" s="10">
        <v>4</v>
      </c>
      <c r="I437" s="10">
        <v>24.7</v>
      </c>
      <c r="J437" s="10">
        <v>44.924333333333337</v>
      </c>
      <c r="K437" t="s">
        <v>81</v>
      </c>
      <c r="L437" t="s">
        <v>143</v>
      </c>
      <c r="M437" s="10">
        <v>-41.539999999999992</v>
      </c>
      <c r="N437" t="s">
        <v>143</v>
      </c>
    </row>
    <row r="438" spans="1:14" x14ac:dyDescent="0.2">
      <c r="A438" t="s">
        <v>578</v>
      </c>
      <c r="B438" s="10">
        <v>-36.519947011819525</v>
      </c>
      <c r="C438" s="10">
        <v>-35.369999999999997</v>
      </c>
      <c r="D438" s="10">
        <v>83.8</v>
      </c>
      <c r="E438" s="10">
        <v>7.6</v>
      </c>
      <c r="F438" s="10">
        <v>1</v>
      </c>
      <c r="G438" s="10">
        <v>0.9</v>
      </c>
      <c r="H438" s="10">
        <v>6.7000000000000028</v>
      </c>
      <c r="I438" s="10">
        <v>29</v>
      </c>
      <c r="J438" s="10">
        <v>48.347333333333331</v>
      </c>
      <c r="K438" t="s">
        <v>81</v>
      </c>
      <c r="L438" t="s">
        <v>145</v>
      </c>
      <c r="M438" s="10">
        <v>-46.22</v>
      </c>
      <c r="N438" t="s">
        <v>145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22.05859375" customWidth="1"/>
    <col min="2" max="3" width="23" customWidth="1"/>
    <col min="4" max="10" width="18.96484375" customWidth="1"/>
    <col min="11" max="11" width="30.9375" customWidth="1"/>
    <col min="12" max="12" width="34.03125" customWidth="1"/>
    <col min="13" max="13" width="25.9609375" customWidth="1"/>
    <col min="14" max="14" width="36.9921875" customWidth="1"/>
    <col min="15" max="15" width="39.01171875" customWidth="1"/>
    <col min="16" max="16" width="57.03515625" customWidth="1"/>
  </cols>
  <sheetData>
    <row r="1" spans="1:16" ht="30" customHeight="1" x14ac:dyDescent="0.2">
      <c r="A1" s="109" t="s">
        <v>579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O1" s="36" t="s">
        <v>580</v>
      </c>
      <c r="P1" s="36" t="s">
        <v>581</v>
      </c>
    </row>
    <row r="2" spans="1:16" x14ac:dyDescent="0.2">
      <c r="A2" t="s">
        <v>127</v>
      </c>
      <c r="O2" t="s">
        <v>582</v>
      </c>
      <c r="P2">
        <v>-6.67</v>
      </c>
    </row>
    <row r="3" spans="1:16" ht="24" customHeight="1" x14ac:dyDescent="0.2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137</v>
      </c>
      <c r="K3" s="6" t="s">
        <v>138</v>
      </c>
      <c r="L3" s="6" t="s">
        <v>139</v>
      </c>
      <c r="M3" s="13" t="s">
        <v>140</v>
      </c>
      <c r="N3" s="13" t="s">
        <v>141</v>
      </c>
      <c r="O3" t="s">
        <v>583</v>
      </c>
      <c r="P3">
        <f>P2-P4</f>
        <v>13.9</v>
      </c>
    </row>
    <row r="4" spans="1:16" x14ac:dyDescent="0.2">
      <c r="A4" t="s">
        <v>584</v>
      </c>
      <c r="B4" s="10">
        <v>-20.096478851208992</v>
      </c>
      <c r="C4" s="10">
        <v>-20.299999999999997</v>
      </c>
      <c r="D4" s="10">
        <v>65.542857142857144</v>
      </c>
      <c r="E4" s="10">
        <v>2.3000000000000003</v>
      </c>
      <c r="F4" s="10">
        <v>26.5</v>
      </c>
      <c r="G4" s="10">
        <v>1.1857142857142857</v>
      </c>
      <c r="H4" s="10">
        <v>4.4714285714285751</v>
      </c>
      <c r="I4" s="10">
        <v>27.185714285714287</v>
      </c>
      <c r="J4" s="10">
        <v>44.648972544642859</v>
      </c>
      <c r="K4" t="s">
        <v>81</v>
      </c>
      <c r="L4" t="s">
        <v>585</v>
      </c>
      <c r="M4" s="10">
        <v>-30.47</v>
      </c>
      <c r="N4" t="s">
        <v>585</v>
      </c>
      <c r="O4" t="s">
        <v>586</v>
      </c>
      <c r="P4">
        <v>-20.57</v>
      </c>
    </row>
    <row r="5" spans="1:16" x14ac:dyDescent="0.2">
      <c r="A5" t="s">
        <v>587</v>
      </c>
      <c r="B5" s="10">
        <v>-0.37847583707557453</v>
      </c>
      <c r="C5" s="10">
        <v>1.2999999999999994</v>
      </c>
      <c r="D5" s="10">
        <v>61.5</v>
      </c>
      <c r="E5" s="10">
        <v>6.2</v>
      </c>
      <c r="F5" s="10">
        <v>3.9</v>
      </c>
      <c r="G5" s="10">
        <v>5.9</v>
      </c>
      <c r="H5" s="10">
        <v>22.5</v>
      </c>
      <c r="I5" s="10">
        <v>30.7</v>
      </c>
      <c r="J5" s="10">
        <v>52.929829687499996</v>
      </c>
      <c r="K5" t="s">
        <v>81</v>
      </c>
      <c r="L5" t="s">
        <v>588</v>
      </c>
      <c r="M5" s="10">
        <v>1.2999999999999994</v>
      </c>
      <c r="N5" t="s">
        <v>588</v>
      </c>
      <c r="O5" t="s">
        <v>589</v>
      </c>
      <c r="P5" t="s">
        <v>590</v>
      </c>
    </row>
    <row r="6" spans="1:16" x14ac:dyDescent="0.2">
      <c r="A6" t="s">
        <v>591</v>
      </c>
      <c r="B6" s="10">
        <v>-20.222228335728545</v>
      </c>
      <c r="C6" s="10">
        <v>-20.47</v>
      </c>
      <c r="D6" s="10">
        <v>71.524999999999991</v>
      </c>
      <c r="E6" s="10">
        <v>4.3250000000000002</v>
      </c>
      <c r="F6" s="10">
        <v>15.275</v>
      </c>
      <c r="G6" s="10">
        <v>1.3</v>
      </c>
      <c r="H6" s="10">
        <v>7.5750000000000028</v>
      </c>
      <c r="I6" s="10">
        <v>24.8</v>
      </c>
      <c r="J6" s="10">
        <v>43.354729687499997</v>
      </c>
      <c r="K6" t="s">
        <v>81</v>
      </c>
      <c r="L6" t="s">
        <v>585</v>
      </c>
      <c r="M6" s="10">
        <v>-30.64</v>
      </c>
      <c r="N6" t="s">
        <v>585</v>
      </c>
      <c r="O6" t="s">
        <v>592</v>
      </c>
      <c r="P6" t="s">
        <v>593</v>
      </c>
    </row>
    <row r="7" spans="1:16" x14ac:dyDescent="0.2">
      <c r="A7" t="s">
        <v>594</v>
      </c>
      <c r="B7" s="10">
        <v>11.952217513516842</v>
      </c>
      <c r="C7" s="10">
        <v>13.55</v>
      </c>
      <c r="D7" s="10">
        <v>68.5625</v>
      </c>
      <c r="E7" s="10">
        <v>16.824999999999999</v>
      </c>
      <c r="F7" s="10">
        <v>4.4625000000000004</v>
      </c>
      <c r="G7" s="10">
        <v>3.2124999999999999</v>
      </c>
      <c r="H7" s="10">
        <v>6.9375</v>
      </c>
      <c r="I7" s="10">
        <v>43.612499999999997</v>
      </c>
      <c r="J7" s="10">
        <v>53.514079687500001</v>
      </c>
      <c r="K7" t="s">
        <v>77</v>
      </c>
      <c r="L7" t="s">
        <v>595</v>
      </c>
      <c r="M7" s="10">
        <v>9.3000000000000007</v>
      </c>
      <c r="N7" t="s">
        <v>595</v>
      </c>
      <c r="O7" t="s">
        <v>596</v>
      </c>
      <c r="P7" t="s">
        <v>597</v>
      </c>
    </row>
    <row r="8" spans="1:16" x14ac:dyDescent="0.2">
      <c r="A8" t="s">
        <v>598</v>
      </c>
      <c r="B8" s="10">
        <v>24.645628584327653</v>
      </c>
      <c r="C8" s="10">
        <v>25.75</v>
      </c>
      <c r="D8" s="10">
        <v>62.4</v>
      </c>
      <c r="E8" s="10">
        <v>6.1</v>
      </c>
      <c r="F8" s="10">
        <v>22.3</v>
      </c>
      <c r="G8" s="10">
        <v>3.1</v>
      </c>
      <c r="H8" s="10">
        <v>6.0999999999999943</v>
      </c>
      <c r="I8" s="10">
        <v>34.5</v>
      </c>
      <c r="J8" s="10">
        <v>51.145729687500001</v>
      </c>
      <c r="K8" t="s">
        <v>77</v>
      </c>
      <c r="L8" t="s">
        <v>595</v>
      </c>
      <c r="M8" s="10">
        <v>21.5</v>
      </c>
      <c r="N8" t="s">
        <v>595</v>
      </c>
      <c r="O8" t="s">
        <v>599</v>
      </c>
      <c r="P8">
        <v>4.25</v>
      </c>
    </row>
    <row r="9" spans="1:16" x14ac:dyDescent="0.2">
      <c r="A9" t="s">
        <v>600</v>
      </c>
      <c r="B9" s="10">
        <v>-2.066283101388346</v>
      </c>
      <c r="C9" s="10">
        <v>-2.9299999999999997</v>
      </c>
      <c r="D9" s="10">
        <v>54.414285714285711</v>
      </c>
      <c r="E9" s="10">
        <v>22.771428571428572</v>
      </c>
      <c r="F9" s="10">
        <v>15.35</v>
      </c>
      <c r="G9" s="10">
        <v>2.7035714285714287</v>
      </c>
      <c r="H9" s="10">
        <v>4.7607142857142861</v>
      </c>
      <c r="I9" s="10">
        <v>32.296428571428571</v>
      </c>
      <c r="J9" s="10">
        <v>47.412486830357139</v>
      </c>
      <c r="K9" t="s">
        <v>81</v>
      </c>
      <c r="L9" t="s">
        <v>585</v>
      </c>
      <c r="M9" s="10">
        <v>-13.1</v>
      </c>
      <c r="N9" t="s">
        <v>585</v>
      </c>
    </row>
    <row r="10" spans="1:16" x14ac:dyDescent="0.2">
      <c r="A10" t="s">
        <v>601</v>
      </c>
      <c r="B10" s="10">
        <v>5.5586340927889077</v>
      </c>
      <c r="C10" s="10">
        <v>5.4750999999999994</v>
      </c>
      <c r="D10" s="10">
        <v>52.800000000000004</v>
      </c>
      <c r="E10" s="10">
        <v>5.7285714285714286</v>
      </c>
      <c r="F10" s="10">
        <v>32.99285714285714</v>
      </c>
      <c r="G10" s="10">
        <v>3.5214285714285714</v>
      </c>
      <c r="H10" s="10">
        <v>4.9571428571428555</v>
      </c>
      <c r="I10" s="10">
        <v>33.528571428571425</v>
      </c>
      <c r="J10" s="10">
        <v>48.822058258928571</v>
      </c>
      <c r="K10" t="s">
        <v>77</v>
      </c>
      <c r="L10" t="s">
        <v>602</v>
      </c>
      <c r="M10" s="10">
        <v>1.2251000000000001</v>
      </c>
      <c r="N10" t="s">
        <v>602</v>
      </c>
    </row>
    <row r="11" spans="1:16" x14ac:dyDescent="0.2">
      <c r="A11" t="s">
        <v>603</v>
      </c>
      <c r="B11" s="10">
        <f>C11</f>
        <v>-25.15</v>
      </c>
      <c r="C11" s="10">
        <f>M11+$P$8</f>
        <v>-25.15</v>
      </c>
      <c r="D11" s="10">
        <v>81.5</v>
      </c>
      <c r="E11" s="10">
        <v>8.85</v>
      </c>
      <c r="F11" s="10">
        <v>0.8</v>
      </c>
      <c r="G11" s="10">
        <v>1.65</v>
      </c>
      <c r="H11" s="10">
        <v>7.2000000000000028</v>
      </c>
      <c r="I11" s="10">
        <v>30.25</v>
      </c>
      <c r="J11" s="10">
        <v>48.3293296875</v>
      </c>
      <c r="K11" t="s">
        <v>81</v>
      </c>
      <c r="L11" t="s">
        <v>595</v>
      </c>
      <c r="M11" s="10">
        <v>-29.4</v>
      </c>
      <c r="N11" t="s">
        <v>595</v>
      </c>
    </row>
    <row r="12" spans="1:16" x14ac:dyDescent="0.2">
      <c r="A12" t="s">
        <v>604</v>
      </c>
      <c r="B12" s="10">
        <v>20.786306849353789</v>
      </c>
      <c r="C12" s="10">
        <v>21.07</v>
      </c>
      <c r="D12" s="10">
        <v>61.158823529411769</v>
      </c>
      <c r="E12" s="10">
        <v>13.435294117647059</v>
      </c>
      <c r="F12" s="10">
        <v>14.758823529411766</v>
      </c>
      <c r="G12" s="10">
        <v>5.0470588235294116</v>
      </c>
      <c r="H12" s="10">
        <v>5.5999999999999943</v>
      </c>
      <c r="I12" s="10">
        <v>36.452941176470588</v>
      </c>
      <c r="J12" s="10">
        <v>49.986970863970591</v>
      </c>
      <c r="K12" t="s">
        <v>77</v>
      </c>
      <c r="L12" t="s">
        <v>585</v>
      </c>
      <c r="M12" s="10">
        <v>10.9</v>
      </c>
      <c r="N12" t="s">
        <v>585</v>
      </c>
    </row>
    <row r="13" spans="1:16" x14ac:dyDescent="0.2">
      <c r="A13" t="s">
        <v>605</v>
      </c>
      <c r="B13" s="10">
        <v>-4.2738161255336333</v>
      </c>
      <c r="C13" s="10">
        <v>-3.0400000000000009</v>
      </c>
      <c r="D13" s="10">
        <v>85.45</v>
      </c>
      <c r="E13" s="10">
        <v>3.9750000000000001</v>
      </c>
      <c r="F13" s="10">
        <v>3.5</v>
      </c>
      <c r="G13" s="10">
        <v>1.875</v>
      </c>
      <c r="H13" s="10">
        <v>5.2000000000000028</v>
      </c>
      <c r="I13" s="10">
        <v>30.25</v>
      </c>
      <c r="J13" s="10">
        <v>47.4153796875</v>
      </c>
      <c r="K13" t="s">
        <v>81</v>
      </c>
      <c r="L13" t="s">
        <v>585</v>
      </c>
      <c r="M13" s="10">
        <v>-13.21</v>
      </c>
      <c r="N13" t="s">
        <v>585</v>
      </c>
    </row>
    <row r="14" spans="1:16" x14ac:dyDescent="0.2">
      <c r="A14" t="s">
        <v>606</v>
      </c>
      <c r="B14" s="10">
        <v>-7.9011663508008079</v>
      </c>
      <c r="C14" s="10">
        <v>-7.1500000000000012</v>
      </c>
      <c r="D14" s="10">
        <v>75.55</v>
      </c>
      <c r="E14" s="10">
        <v>7.85</v>
      </c>
      <c r="F14" s="10">
        <v>6.2249999999999996</v>
      </c>
      <c r="G14" s="10">
        <v>2.5750000000000002</v>
      </c>
      <c r="H14" s="10">
        <v>7.7999999999999972</v>
      </c>
      <c r="I14" s="10">
        <v>34.5</v>
      </c>
      <c r="J14" s="10">
        <v>47.407129687499996</v>
      </c>
      <c r="K14" t="s">
        <v>81</v>
      </c>
      <c r="L14" t="s">
        <v>595</v>
      </c>
      <c r="M14" s="10">
        <v>-11.4</v>
      </c>
      <c r="N14" t="s">
        <v>595</v>
      </c>
    </row>
    <row r="15" spans="1:16" x14ac:dyDescent="0.2">
      <c r="A15" t="s">
        <v>607</v>
      </c>
      <c r="B15" s="10">
        <v>-20.951571678129724</v>
      </c>
      <c r="C15" s="10">
        <v>-20.36</v>
      </c>
      <c r="D15" s="10">
        <v>83.466666666666654</v>
      </c>
      <c r="E15" s="10">
        <v>2.0666666666666669</v>
      </c>
      <c r="F15" s="10">
        <v>8.4</v>
      </c>
      <c r="G15" s="10">
        <v>1.1666666666666667</v>
      </c>
      <c r="H15" s="10">
        <v>4.9000000000000057</v>
      </c>
      <c r="I15" s="10">
        <v>26.533333333333335</v>
      </c>
      <c r="J15" s="10">
        <v>44.526079687500001</v>
      </c>
      <c r="K15" t="s">
        <v>81</v>
      </c>
      <c r="L15" t="s">
        <v>585</v>
      </c>
      <c r="M15" s="10">
        <v>-30.53</v>
      </c>
      <c r="N15" t="s">
        <v>585</v>
      </c>
    </row>
    <row r="16" spans="1:16" x14ac:dyDescent="0.2">
      <c r="A16" t="s">
        <v>608</v>
      </c>
      <c r="B16" s="10">
        <v>-11.04281446106962</v>
      </c>
      <c r="C16" s="10">
        <v>-11.840000000000002</v>
      </c>
      <c r="D16" s="10">
        <v>58.35</v>
      </c>
      <c r="E16" s="10">
        <v>3.3666666666666667</v>
      </c>
      <c r="F16" s="10">
        <v>31.933333333333334</v>
      </c>
      <c r="G16" s="10">
        <v>1.5333333333333332</v>
      </c>
      <c r="H16" s="10">
        <v>4.8166666666666629</v>
      </c>
      <c r="I16" s="10">
        <v>26.1</v>
      </c>
      <c r="J16" s="10">
        <v>43.321779687499998</v>
      </c>
      <c r="K16" t="s">
        <v>81</v>
      </c>
      <c r="L16" t="s">
        <v>585</v>
      </c>
      <c r="M16" s="10">
        <v>-22.01</v>
      </c>
      <c r="N16" t="s">
        <v>585</v>
      </c>
    </row>
    <row r="17" spans="1:14" x14ac:dyDescent="0.2">
      <c r="A17" t="s">
        <v>609</v>
      </c>
      <c r="B17" s="10">
        <v>1.3743930543618728</v>
      </c>
      <c r="C17" s="10">
        <v>3.091764705882353</v>
      </c>
      <c r="D17" s="10">
        <v>91.65</v>
      </c>
      <c r="E17" s="10">
        <v>1.5</v>
      </c>
      <c r="F17" s="10">
        <v>1.2000000000000002</v>
      </c>
      <c r="G17" s="10">
        <v>1.25</v>
      </c>
      <c r="H17" s="10">
        <v>4.3999999999999915</v>
      </c>
      <c r="I17" s="10">
        <v>34.099999999999994</v>
      </c>
      <c r="J17" s="10">
        <v>47.585629687499996</v>
      </c>
      <c r="K17" t="s">
        <v>81</v>
      </c>
      <c r="L17" t="s">
        <v>595</v>
      </c>
      <c r="M17" s="10">
        <v>-8.5</v>
      </c>
      <c r="N17" t="s">
        <v>595</v>
      </c>
    </row>
    <row r="18" spans="1:14" x14ac:dyDescent="0.2">
      <c r="A18" t="s">
        <v>610</v>
      </c>
      <c r="B18" s="10">
        <v>33.791055022223055</v>
      </c>
      <c r="C18" s="10">
        <v>35.758823529411764</v>
      </c>
      <c r="D18" s="10">
        <v>70.555555555555557</v>
      </c>
      <c r="E18" s="10">
        <v>9.3222222222222229</v>
      </c>
      <c r="F18" s="10">
        <v>7.1333333333333337</v>
      </c>
      <c r="G18" s="10">
        <v>5.6222222222222227</v>
      </c>
      <c r="H18" s="10">
        <v>7.36666666666666</v>
      </c>
      <c r="I18" s="10">
        <v>45.911111111111111</v>
      </c>
      <c r="J18" s="10">
        <v>55.165029687500002</v>
      </c>
      <c r="K18" t="s">
        <v>77</v>
      </c>
      <c r="L18" t="s">
        <v>595</v>
      </c>
      <c r="M18" s="10">
        <v>32.299999999999997</v>
      </c>
      <c r="N18" t="s">
        <v>595</v>
      </c>
    </row>
    <row r="19" spans="1:14" x14ac:dyDescent="0.2">
      <c r="A19" t="s">
        <v>611</v>
      </c>
      <c r="B19" s="10">
        <v>8.1077773597609397</v>
      </c>
      <c r="C19" s="10">
        <v>8.75</v>
      </c>
      <c r="D19" s="10">
        <v>74.769230769230774</v>
      </c>
      <c r="E19" s="10">
        <v>3.8538461538461539</v>
      </c>
      <c r="F19" s="10">
        <v>14.392307692307693</v>
      </c>
      <c r="G19" s="10">
        <v>2.5615384615384613</v>
      </c>
      <c r="H19" s="10">
        <v>4.4230769230769198</v>
      </c>
      <c r="I19" s="10">
        <v>31.161538461538463</v>
      </c>
      <c r="J19" s="10">
        <v>46.990591225961538</v>
      </c>
      <c r="K19" t="s">
        <v>77</v>
      </c>
      <c r="L19" t="s">
        <v>585</v>
      </c>
      <c r="M19" s="10">
        <v>-1.42</v>
      </c>
      <c r="N19" t="s">
        <v>585</v>
      </c>
    </row>
    <row r="20" spans="1:14" x14ac:dyDescent="0.2">
      <c r="A20" t="s">
        <v>612</v>
      </c>
      <c r="B20" s="10">
        <v>12.401650997713446</v>
      </c>
      <c r="C20" s="10">
        <v>14.41</v>
      </c>
      <c r="D20" s="10">
        <v>80.05</v>
      </c>
      <c r="E20" s="10">
        <v>3.4375</v>
      </c>
      <c r="F20" s="10">
        <v>5.8375000000000004</v>
      </c>
      <c r="G20" s="10">
        <v>4.3</v>
      </c>
      <c r="H20" s="10">
        <v>6.375</v>
      </c>
      <c r="I20" s="10">
        <v>38.1875</v>
      </c>
      <c r="J20" s="10">
        <v>51.686667187499999</v>
      </c>
      <c r="K20" t="s">
        <v>77</v>
      </c>
      <c r="L20" t="s">
        <v>585</v>
      </c>
      <c r="M20" s="10">
        <v>4.24</v>
      </c>
      <c r="N20" t="s">
        <v>585</v>
      </c>
    </row>
    <row r="21" spans="1:14" x14ac:dyDescent="0.2">
      <c r="A21" t="s">
        <v>613</v>
      </c>
      <c r="B21" s="10">
        <v>-4.7078959241796863</v>
      </c>
      <c r="C21" s="10">
        <v>-5.7500000000000009</v>
      </c>
      <c r="D21" s="10">
        <v>57.75</v>
      </c>
      <c r="E21" s="10">
        <v>1.925</v>
      </c>
      <c r="F21" s="10">
        <v>37.075000000000003</v>
      </c>
      <c r="G21" s="10">
        <v>0.9</v>
      </c>
      <c r="H21" s="10">
        <v>2.3499999999999943</v>
      </c>
      <c r="I21" s="10">
        <v>23.875</v>
      </c>
      <c r="J21" s="10">
        <v>42.323929687499998</v>
      </c>
      <c r="K21" t="s">
        <v>81</v>
      </c>
      <c r="L21" t="s">
        <v>595</v>
      </c>
      <c r="M21" s="10">
        <v>-10</v>
      </c>
      <c r="N21" t="s">
        <v>595</v>
      </c>
    </row>
    <row r="22" spans="1:14" x14ac:dyDescent="0.2">
      <c r="A22" t="s">
        <v>614</v>
      </c>
      <c r="B22" s="10">
        <v>-11.18296158241262</v>
      </c>
      <c r="C22" s="10">
        <v>-9.76</v>
      </c>
      <c r="D22" s="10">
        <v>85.550000000000011</v>
      </c>
      <c r="E22" s="10">
        <v>3.3</v>
      </c>
      <c r="F22" s="10">
        <v>0.65</v>
      </c>
      <c r="G22" s="10">
        <v>0.95000000000000007</v>
      </c>
      <c r="H22" s="10">
        <v>9.5499999999999829</v>
      </c>
      <c r="I22" s="10">
        <v>33.950000000000003</v>
      </c>
      <c r="J22" s="10">
        <v>46.875229687499996</v>
      </c>
      <c r="K22" t="s">
        <v>81</v>
      </c>
      <c r="L22" t="s">
        <v>585</v>
      </c>
      <c r="M22" s="10">
        <v>-19.93</v>
      </c>
      <c r="N22" t="s">
        <v>585</v>
      </c>
    </row>
    <row r="23" spans="1:14" x14ac:dyDescent="0.2">
      <c r="A23" t="s">
        <v>615</v>
      </c>
      <c r="B23" s="10">
        <v>2.4381446123916213</v>
      </c>
      <c r="C23" s="10">
        <v>3.4953120417419772</v>
      </c>
      <c r="D23" s="10">
        <v>79.166666666666671</v>
      </c>
      <c r="E23" s="10">
        <v>6.9333333333333336</v>
      </c>
      <c r="F23" s="10">
        <v>4.8</v>
      </c>
      <c r="G23" s="10">
        <v>2</v>
      </c>
      <c r="H23" s="10">
        <v>7.0999999999999943</v>
      </c>
      <c r="I23" s="10">
        <v>33.566666666666663</v>
      </c>
      <c r="J23" s="10">
        <v>47.829029687499997</v>
      </c>
      <c r="K23" t="s">
        <v>81</v>
      </c>
      <c r="L23" t="s">
        <v>616</v>
      </c>
      <c r="M23" s="10">
        <v>-6.6746879582580227</v>
      </c>
      <c r="N23" t="s">
        <v>616</v>
      </c>
    </row>
    <row r="24" spans="1:14" x14ac:dyDescent="0.2">
      <c r="A24" t="s">
        <v>617</v>
      </c>
      <c r="B24" s="10">
        <v>9.9217723567824905</v>
      </c>
      <c r="C24" s="10">
        <v>12.95</v>
      </c>
      <c r="D24" s="10">
        <v>88.85</v>
      </c>
      <c r="E24" s="10">
        <v>3.05</v>
      </c>
      <c r="F24" s="10">
        <v>1.5</v>
      </c>
      <c r="G24" s="10">
        <v>2.4</v>
      </c>
      <c r="H24" s="10">
        <v>4.2000000000000028</v>
      </c>
      <c r="I24" s="10">
        <v>39.049999999999997</v>
      </c>
      <c r="J24" s="10">
        <v>53.479429687500001</v>
      </c>
      <c r="K24" t="s">
        <v>77</v>
      </c>
      <c r="L24" t="s">
        <v>585</v>
      </c>
      <c r="M24" s="10">
        <v>2.78</v>
      </c>
      <c r="N24" t="s">
        <v>585</v>
      </c>
    </row>
    <row r="25" spans="1:14" x14ac:dyDescent="0.2">
      <c r="A25" t="s">
        <v>618</v>
      </c>
      <c r="B25" s="10">
        <v>16.91549628526548</v>
      </c>
      <c r="C25" s="10">
        <v>17.452941176470588</v>
      </c>
      <c r="D25" s="10">
        <v>54.483333333333341</v>
      </c>
      <c r="E25" s="10">
        <v>16.849999999999998</v>
      </c>
      <c r="F25" s="10">
        <v>14.058333333333332</v>
      </c>
      <c r="G25" s="10">
        <v>8.1749999999999989</v>
      </c>
      <c r="H25" s="10">
        <v>6.4333333333333371</v>
      </c>
      <c r="I25" s="10">
        <v>42.183333333333337</v>
      </c>
      <c r="J25" s="10">
        <v>55.9310046875</v>
      </c>
      <c r="K25" t="s">
        <v>77</v>
      </c>
      <c r="L25" t="s">
        <v>595</v>
      </c>
      <c r="M25" s="10">
        <v>16.3</v>
      </c>
      <c r="N25" t="s">
        <v>595</v>
      </c>
    </row>
    <row r="26" spans="1:14" x14ac:dyDescent="0.2">
      <c r="A26" t="s">
        <v>619</v>
      </c>
      <c r="B26" s="10">
        <v>13.380567734586766</v>
      </c>
      <c r="C26" s="10">
        <v>10.349999999999998</v>
      </c>
      <c r="D26" s="10">
        <v>40.366666666666667</v>
      </c>
      <c r="E26" s="10">
        <v>44.233333333333327</v>
      </c>
      <c r="F26" s="10">
        <v>2.3000000000000003</v>
      </c>
      <c r="G26" s="10">
        <v>1.4666666666666668</v>
      </c>
      <c r="H26" s="10">
        <v>11.63333333333334</v>
      </c>
      <c r="I26" s="10">
        <v>28.8</v>
      </c>
      <c r="J26" s="10">
        <v>44.3854296875</v>
      </c>
      <c r="K26" t="s">
        <v>77</v>
      </c>
      <c r="L26" t="s">
        <v>595</v>
      </c>
      <c r="M26" s="10">
        <v>6.1</v>
      </c>
      <c r="N26" t="s">
        <v>595</v>
      </c>
    </row>
    <row r="27" spans="1:14" x14ac:dyDescent="0.2">
      <c r="A27" t="s">
        <v>620</v>
      </c>
      <c r="B27" s="10">
        <v>6.7515311202656445</v>
      </c>
      <c r="C27" s="10">
        <v>6.96</v>
      </c>
      <c r="D27" s="10">
        <v>63.521428571428579</v>
      </c>
      <c r="E27" s="10">
        <v>5.0571428571428569</v>
      </c>
      <c r="F27" s="10">
        <v>22.471428571428572</v>
      </c>
      <c r="G27" s="10">
        <v>2.4642857142857144</v>
      </c>
      <c r="H27" s="10">
        <v>6.4857142857142804</v>
      </c>
      <c r="I27" s="10">
        <v>33.885714285714286</v>
      </c>
      <c r="J27" s="10">
        <v>47.087822544642854</v>
      </c>
      <c r="K27" t="s">
        <v>81</v>
      </c>
      <c r="L27" t="s">
        <v>585</v>
      </c>
      <c r="M27" s="10">
        <v>-3.21</v>
      </c>
      <c r="N27" t="s">
        <v>585</v>
      </c>
    </row>
    <row r="28" spans="1:14" x14ac:dyDescent="0.2">
      <c r="A28" t="s">
        <v>621</v>
      </c>
      <c r="B28" s="10">
        <v>5.8345218592477854</v>
      </c>
      <c r="C28" s="10">
        <v>6.551283941787533</v>
      </c>
      <c r="D28" s="10">
        <v>78.413333333333341</v>
      </c>
      <c r="E28" s="10">
        <v>2.92</v>
      </c>
      <c r="F28" s="10">
        <v>12.72</v>
      </c>
      <c r="G28" s="10">
        <v>1.8599999999999999</v>
      </c>
      <c r="H28" s="10">
        <v>4.0866666666666589</v>
      </c>
      <c r="I28" s="10">
        <v>30.433333333333334</v>
      </c>
      <c r="J28" s="10">
        <v>46.503009687499997</v>
      </c>
      <c r="K28" t="s">
        <v>81</v>
      </c>
      <c r="L28" t="s">
        <v>616</v>
      </c>
      <c r="M28" s="10">
        <v>-3.6187160582124664</v>
      </c>
      <c r="N28" t="s">
        <v>616</v>
      </c>
    </row>
    <row r="29" spans="1:14" x14ac:dyDescent="0.2">
      <c r="A29" t="s">
        <v>622</v>
      </c>
      <c r="B29" s="10">
        <v>-23.946920842819928</v>
      </c>
      <c r="C29" s="10">
        <v>-24.089999999999996</v>
      </c>
      <c r="D29" s="10">
        <v>65.2</v>
      </c>
      <c r="E29" s="10">
        <v>6.7799999999999994</v>
      </c>
      <c r="F29" s="10">
        <v>8.2200000000000006</v>
      </c>
      <c r="G29" s="10">
        <v>2.08</v>
      </c>
      <c r="H29" s="10">
        <v>17.72</v>
      </c>
      <c r="I29" s="10">
        <v>27.26</v>
      </c>
      <c r="J29" s="10">
        <v>44.491969687500003</v>
      </c>
      <c r="K29" t="s">
        <v>81</v>
      </c>
      <c r="L29" t="s">
        <v>585</v>
      </c>
      <c r="M29" s="10">
        <v>-34.26</v>
      </c>
      <c r="N29" t="s">
        <v>585</v>
      </c>
    </row>
    <row r="30" spans="1:14" x14ac:dyDescent="0.2">
      <c r="A30" t="s">
        <v>623</v>
      </c>
      <c r="B30" s="10">
        <v>15.992831931335314</v>
      </c>
      <c r="C30" s="10">
        <v>17.10588235294118</v>
      </c>
      <c r="D30" s="10">
        <v>74.916666666666671</v>
      </c>
      <c r="E30" s="10">
        <v>8.7999999999999989</v>
      </c>
      <c r="F30" s="10">
        <v>2.3166666666666669</v>
      </c>
      <c r="G30" s="10">
        <v>4.6000000000000005</v>
      </c>
      <c r="H30" s="10">
        <v>9.36666666666666</v>
      </c>
      <c r="I30" s="10">
        <v>35.466666666666669</v>
      </c>
      <c r="J30" s="10">
        <v>49.4511296875</v>
      </c>
      <c r="K30" t="s">
        <v>77</v>
      </c>
      <c r="L30" t="s">
        <v>595</v>
      </c>
      <c r="M30" s="10">
        <v>17.600000000000001</v>
      </c>
      <c r="N30" t="s">
        <v>595</v>
      </c>
    </row>
    <row r="31" spans="1:14" x14ac:dyDescent="0.2">
      <c r="A31" t="s">
        <v>624</v>
      </c>
      <c r="B31" s="10">
        <v>28.306933394641657</v>
      </c>
      <c r="C31" s="10">
        <v>29.682352941176475</v>
      </c>
      <c r="D31" s="10">
        <v>72.349999999999994</v>
      </c>
      <c r="E31" s="10">
        <v>11.5</v>
      </c>
      <c r="F31" s="10">
        <v>6.3</v>
      </c>
      <c r="G31" s="10">
        <v>2.85</v>
      </c>
      <c r="H31" s="10">
        <v>7</v>
      </c>
      <c r="I31" s="10">
        <v>36.25</v>
      </c>
      <c r="J31" s="10">
        <v>51.0510796875</v>
      </c>
      <c r="K31" t="s">
        <v>77</v>
      </c>
      <c r="L31" t="s">
        <v>595</v>
      </c>
      <c r="M31" s="10">
        <v>33.1</v>
      </c>
      <c r="N31" t="s">
        <v>595</v>
      </c>
    </row>
    <row r="32" spans="1:14" x14ac:dyDescent="0.2">
      <c r="A32" t="s">
        <v>625</v>
      </c>
      <c r="B32" s="10">
        <v>-7.6618332158548812</v>
      </c>
      <c r="C32" s="10">
        <v>-7.7000000000000011</v>
      </c>
      <c r="D32" s="10">
        <v>64.914285714285711</v>
      </c>
      <c r="E32" s="10">
        <v>3.3428571428571425</v>
      </c>
      <c r="F32" s="10">
        <v>26.400000000000002</v>
      </c>
      <c r="G32" s="10">
        <v>1.5142857142857142</v>
      </c>
      <c r="H32" s="10">
        <v>3.8285714285714363</v>
      </c>
      <c r="I32" s="10">
        <v>30.657142857142858</v>
      </c>
      <c r="J32" s="10">
        <v>45.759701116071426</v>
      </c>
      <c r="K32" t="s">
        <v>81</v>
      </c>
      <c r="L32" t="s">
        <v>585</v>
      </c>
      <c r="M32" s="10">
        <v>-17.87</v>
      </c>
      <c r="N32" t="s">
        <v>585</v>
      </c>
    </row>
    <row r="33" spans="1:14" x14ac:dyDescent="0.2">
      <c r="A33" t="s">
        <v>626</v>
      </c>
      <c r="B33" s="10">
        <f>C33</f>
        <v>-27.15</v>
      </c>
      <c r="C33" s="10">
        <f>M33+$P$8</f>
        <v>-27.15</v>
      </c>
      <c r="D33" s="10">
        <v>83.1</v>
      </c>
      <c r="E33" s="10">
        <v>2.7</v>
      </c>
      <c r="F33" s="10">
        <v>1.7</v>
      </c>
      <c r="G33" s="10">
        <v>1.1000000000000001</v>
      </c>
      <c r="H33" s="10">
        <v>11.400000000000006</v>
      </c>
      <c r="I33" s="10">
        <v>30.4</v>
      </c>
      <c r="J33" s="10">
        <v>47.411929687499999</v>
      </c>
      <c r="K33" t="s">
        <v>81</v>
      </c>
      <c r="L33" t="s">
        <v>595</v>
      </c>
      <c r="M33" s="10">
        <v>-31.4</v>
      </c>
      <c r="N33" t="s">
        <v>595</v>
      </c>
    </row>
    <row r="34" spans="1:14" x14ac:dyDescent="0.2">
      <c r="A34" t="s">
        <v>627</v>
      </c>
      <c r="B34" s="10">
        <v>-23.229332945696473</v>
      </c>
      <c r="C34" s="10">
        <v>-22.75</v>
      </c>
      <c r="D34" s="10">
        <v>0</v>
      </c>
      <c r="E34" s="10">
        <v>0</v>
      </c>
      <c r="F34" s="10">
        <v>0</v>
      </c>
      <c r="G34" s="10">
        <v>0</v>
      </c>
      <c r="H34" s="10">
        <v>100</v>
      </c>
      <c r="I34" s="10">
        <v>34.383593750000003</v>
      </c>
      <c r="J34" s="10">
        <v>50</v>
      </c>
      <c r="K34" t="s">
        <v>81</v>
      </c>
      <c r="L34" t="s">
        <v>595</v>
      </c>
      <c r="M34" s="10">
        <v>-27</v>
      </c>
      <c r="N34" t="s">
        <v>595</v>
      </c>
    </row>
    <row r="35" spans="1:14" x14ac:dyDescent="0.2">
      <c r="A35" t="s">
        <v>628</v>
      </c>
      <c r="B35" s="10">
        <v>-1.8979567948036338</v>
      </c>
      <c r="C35" s="10">
        <v>-3.51</v>
      </c>
      <c r="D35" s="10">
        <v>0</v>
      </c>
      <c r="E35" s="10">
        <v>0</v>
      </c>
      <c r="F35" s="10">
        <v>0</v>
      </c>
      <c r="G35" s="10">
        <v>0</v>
      </c>
      <c r="H35" s="10">
        <v>100</v>
      </c>
      <c r="I35" s="10">
        <v>34.383593750000003</v>
      </c>
      <c r="J35" s="10">
        <v>50</v>
      </c>
      <c r="K35" t="s">
        <v>81</v>
      </c>
      <c r="L35" t="s">
        <v>585</v>
      </c>
      <c r="M35" s="10">
        <v>-13.68</v>
      </c>
      <c r="N35" t="s">
        <v>585</v>
      </c>
    </row>
    <row r="36" spans="1:14" x14ac:dyDescent="0.2">
      <c r="A36" t="s">
        <v>629</v>
      </c>
      <c r="B36" s="10">
        <v>16.045169445049076</v>
      </c>
      <c r="C36" s="10">
        <v>16.752941176470586</v>
      </c>
      <c r="D36" s="10">
        <v>61.172727272727272</v>
      </c>
      <c r="E36" s="10">
        <v>6.5272727272727273</v>
      </c>
      <c r="F36" s="10">
        <v>20.045454545454547</v>
      </c>
      <c r="G36" s="10">
        <v>6.5181818181818185</v>
      </c>
      <c r="H36" s="10">
        <v>5.7363636363636346</v>
      </c>
      <c r="I36" s="10">
        <v>40.990909090909092</v>
      </c>
      <c r="J36" s="10">
        <v>54.544538778409091</v>
      </c>
      <c r="K36" t="s">
        <v>77</v>
      </c>
      <c r="L36" t="s">
        <v>595</v>
      </c>
      <c r="M36" s="10">
        <v>12.1</v>
      </c>
      <c r="N36" t="s">
        <v>595</v>
      </c>
    </row>
    <row r="37" spans="1:14" x14ac:dyDescent="0.2">
      <c r="A37" t="s">
        <v>630</v>
      </c>
      <c r="B37" s="10">
        <v>-50.141734968464895</v>
      </c>
      <c r="C37" s="10">
        <v>-49.723529411764702</v>
      </c>
      <c r="D37" s="10">
        <v>90.25</v>
      </c>
      <c r="E37" s="10">
        <v>1.35</v>
      </c>
      <c r="F37" s="10">
        <v>4.05</v>
      </c>
      <c r="G37" s="10">
        <v>0.75</v>
      </c>
      <c r="H37" s="10">
        <v>3.5999999999999943</v>
      </c>
      <c r="I37" s="10">
        <v>22.75</v>
      </c>
      <c r="J37" s="10">
        <v>42.9008296875</v>
      </c>
      <c r="K37" t="s">
        <v>81</v>
      </c>
      <c r="L37" t="s">
        <v>595</v>
      </c>
      <c r="M37" s="10">
        <v>-43.3</v>
      </c>
      <c r="N37" t="s">
        <v>595</v>
      </c>
    </row>
    <row r="38" spans="1:14" x14ac:dyDescent="0.2">
      <c r="A38" t="s">
        <v>631</v>
      </c>
      <c r="B38" s="10">
        <v>-36.739947011819524</v>
      </c>
      <c r="C38" s="10">
        <v>-35.589999999999996</v>
      </c>
      <c r="D38" s="10">
        <v>83.8</v>
      </c>
      <c r="E38" s="10">
        <v>7.6</v>
      </c>
      <c r="F38" s="10">
        <v>1</v>
      </c>
      <c r="G38" s="10">
        <v>0.9</v>
      </c>
      <c r="H38" s="10">
        <v>6.7000000000000028</v>
      </c>
      <c r="I38" s="10">
        <v>29</v>
      </c>
      <c r="J38" s="10">
        <v>47.5061296875</v>
      </c>
      <c r="K38" t="s">
        <v>81</v>
      </c>
      <c r="L38" t="s">
        <v>585</v>
      </c>
      <c r="M38" s="10">
        <v>-45.76</v>
      </c>
      <c r="N38" t="s">
        <v>585</v>
      </c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22.05859375" customWidth="1"/>
    <col min="2" max="3" width="23" customWidth="1"/>
    <col min="4" max="10" width="18.96484375" customWidth="1"/>
    <col min="11" max="11" width="30.9375" customWidth="1"/>
    <col min="12" max="12" width="34.03125" customWidth="1"/>
    <col min="13" max="13" width="25.9609375" customWidth="1"/>
    <col min="14" max="14" width="36.9921875" customWidth="1"/>
  </cols>
  <sheetData>
    <row r="1" spans="1:18" ht="30" customHeight="1" x14ac:dyDescent="0.2">
      <c r="A1" s="109" t="s">
        <v>632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8" x14ac:dyDescent="0.2">
      <c r="A2" t="s">
        <v>127</v>
      </c>
    </row>
    <row r="3" spans="1:18" ht="24" customHeight="1" x14ac:dyDescent="0.2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137</v>
      </c>
      <c r="K3" s="6" t="s">
        <v>138</v>
      </c>
      <c r="L3" s="6" t="s">
        <v>139</v>
      </c>
      <c r="M3" s="13" t="s">
        <v>140</v>
      </c>
      <c r="N3" s="13" t="s">
        <v>141</v>
      </c>
      <c r="P3" t="s">
        <v>633</v>
      </c>
      <c r="Q3" t="s">
        <v>57</v>
      </c>
      <c r="R3" t="s">
        <v>634</v>
      </c>
    </row>
    <row r="4" spans="1:18" x14ac:dyDescent="0.2">
      <c r="A4" t="s">
        <v>584</v>
      </c>
      <c r="B4" s="10">
        <v>-20.116478851208996</v>
      </c>
      <c r="C4" s="10">
        <v>-20.32</v>
      </c>
      <c r="D4" s="10">
        <v>65.542857142857144</v>
      </c>
      <c r="E4" s="10">
        <v>2.3000000000000003</v>
      </c>
      <c r="F4" s="10">
        <v>26.5</v>
      </c>
      <c r="G4" s="10">
        <v>1.1857142857142857</v>
      </c>
      <c r="H4" s="10">
        <v>4.4714285714285671</v>
      </c>
      <c r="I4" s="10">
        <v>27.185714285714287</v>
      </c>
      <c r="J4" s="10">
        <v>45.172714285714285</v>
      </c>
      <c r="K4" t="s">
        <v>81</v>
      </c>
      <c r="L4" t="s">
        <v>635</v>
      </c>
      <c r="M4" s="10">
        <v>-30.5</v>
      </c>
      <c r="N4" t="s">
        <v>635</v>
      </c>
      <c r="P4" t="s">
        <v>598</v>
      </c>
      <c r="Q4" t="s">
        <v>77</v>
      </c>
      <c r="R4">
        <v>2024</v>
      </c>
    </row>
    <row r="5" spans="1:18" x14ac:dyDescent="0.2">
      <c r="A5" t="s">
        <v>587</v>
      </c>
      <c r="B5" s="10">
        <v>-4.5984758370755738</v>
      </c>
      <c r="C5" s="10">
        <v>-2.92</v>
      </c>
      <c r="D5" s="10">
        <v>61.5</v>
      </c>
      <c r="E5" s="10">
        <v>6.2</v>
      </c>
      <c r="F5" s="10">
        <v>3.9</v>
      </c>
      <c r="G5" s="10">
        <v>5.9</v>
      </c>
      <c r="H5" s="10">
        <v>22.5</v>
      </c>
      <c r="I5" s="10">
        <v>30.7</v>
      </c>
      <c r="J5" s="10">
        <v>54.373666666666665</v>
      </c>
      <c r="K5" t="s">
        <v>81</v>
      </c>
      <c r="L5" t="s">
        <v>635</v>
      </c>
      <c r="M5" s="10">
        <v>-13.1</v>
      </c>
      <c r="N5" t="s">
        <v>635</v>
      </c>
      <c r="P5" t="s">
        <v>636</v>
      </c>
      <c r="Q5" t="s">
        <v>81</v>
      </c>
      <c r="R5">
        <v>2024</v>
      </c>
    </row>
    <row r="6" spans="1:18" x14ac:dyDescent="0.2">
      <c r="A6" t="s">
        <v>637</v>
      </c>
      <c r="B6" s="10">
        <v>12.649438517362908</v>
      </c>
      <c r="C6" s="10">
        <v>12.17</v>
      </c>
      <c r="D6" s="10">
        <v>57.588888888888881</v>
      </c>
      <c r="E6" s="10">
        <v>25.633333333333333</v>
      </c>
      <c r="F6" s="10">
        <v>5.2888888888888888</v>
      </c>
      <c r="G6" s="10">
        <v>3.2222222222222223</v>
      </c>
      <c r="H6" s="10">
        <v>8.2666666666666693</v>
      </c>
      <c r="I6" s="10">
        <v>31.422222222222224</v>
      </c>
      <c r="J6" s="10">
        <v>49.968370370370366</v>
      </c>
      <c r="K6" t="s">
        <v>77</v>
      </c>
      <c r="L6" t="s">
        <v>638</v>
      </c>
      <c r="M6" s="10">
        <v>0.67</v>
      </c>
      <c r="N6" t="s">
        <v>638</v>
      </c>
      <c r="P6" t="s">
        <v>639</v>
      </c>
      <c r="Q6" t="s">
        <v>81</v>
      </c>
      <c r="R6">
        <v>2024</v>
      </c>
    </row>
    <row r="7" spans="1:18" x14ac:dyDescent="0.2">
      <c r="A7" t="s">
        <v>591</v>
      </c>
      <c r="B7" s="10">
        <v>-16.052228335728547</v>
      </c>
      <c r="C7" s="10">
        <v>-16.3</v>
      </c>
      <c r="D7" s="10">
        <v>71.524999999999991</v>
      </c>
      <c r="E7" s="10">
        <v>4.3250000000000002</v>
      </c>
      <c r="F7" s="10">
        <v>15.275</v>
      </c>
      <c r="G7" s="10">
        <v>1.3</v>
      </c>
      <c r="H7" s="10">
        <v>7.5750000000000099</v>
      </c>
      <c r="I7" s="10">
        <v>24.8</v>
      </c>
      <c r="J7" s="10">
        <v>43.734666666666669</v>
      </c>
      <c r="K7" t="s">
        <v>81</v>
      </c>
      <c r="L7" t="s">
        <v>638</v>
      </c>
      <c r="M7" s="10">
        <v>-27.8</v>
      </c>
      <c r="N7" t="s">
        <v>638</v>
      </c>
      <c r="P7" t="s">
        <v>614</v>
      </c>
      <c r="Q7" t="s">
        <v>81</v>
      </c>
      <c r="R7">
        <v>2024</v>
      </c>
    </row>
    <row r="8" spans="1:18" x14ac:dyDescent="0.2">
      <c r="A8" t="s">
        <v>640</v>
      </c>
      <c r="B8" s="10">
        <v>31.899894395887902</v>
      </c>
      <c r="C8" s="10">
        <v>30.28</v>
      </c>
      <c r="D8" s="10">
        <v>37.528846153846153</v>
      </c>
      <c r="E8" s="10">
        <v>32.792307692307695</v>
      </c>
      <c r="F8" s="10">
        <v>7.2576923076923086</v>
      </c>
      <c r="G8" s="10">
        <v>15.384615384615385</v>
      </c>
      <c r="H8" s="10">
        <v>7.036538461538461</v>
      </c>
      <c r="I8" s="10">
        <v>35.215384615384615</v>
      </c>
      <c r="J8" s="10">
        <v>56.583237179487178</v>
      </c>
      <c r="K8" t="s">
        <v>77</v>
      </c>
      <c r="L8" t="s">
        <v>635</v>
      </c>
      <c r="M8" s="10">
        <v>20.100000000000001</v>
      </c>
      <c r="N8" t="s">
        <v>635</v>
      </c>
      <c r="P8" t="s">
        <v>620</v>
      </c>
      <c r="Q8" t="s">
        <v>77</v>
      </c>
      <c r="R8">
        <v>2024</v>
      </c>
    </row>
    <row r="9" spans="1:18" x14ac:dyDescent="0.2">
      <c r="A9" t="s">
        <v>594</v>
      </c>
      <c r="B9" s="10">
        <v>19.582217513516841</v>
      </c>
      <c r="C9" s="10">
        <v>21.18</v>
      </c>
      <c r="D9" s="10">
        <v>68.5625</v>
      </c>
      <c r="E9" s="10">
        <v>16.824999999999999</v>
      </c>
      <c r="F9" s="10">
        <v>4.4625000000000004</v>
      </c>
      <c r="G9" s="10">
        <v>3.2124999999999999</v>
      </c>
      <c r="H9" s="10">
        <v>6.9375000000000018</v>
      </c>
      <c r="I9" s="10">
        <v>43.612499999999997</v>
      </c>
      <c r="J9" s="10">
        <v>55.022833333333331</v>
      </c>
      <c r="K9" t="s">
        <v>77</v>
      </c>
      <c r="L9" t="s">
        <v>635</v>
      </c>
      <c r="M9" s="10">
        <v>11</v>
      </c>
      <c r="N9" t="s">
        <v>635</v>
      </c>
      <c r="P9" t="s">
        <v>641</v>
      </c>
      <c r="Q9" t="s">
        <v>81</v>
      </c>
      <c r="R9">
        <v>2024</v>
      </c>
    </row>
    <row r="10" spans="1:18" x14ac:dyDescent="0.2">
      <c r="A10" t="s">
        <v>642</v>
      </c>
      <c r="B10" s="10">
        <v>22.889764133343007</v>
      </c>
      <c r="C10" s="10">
        <v>24.4</v>
      </c>
      <c r="D10" s="10">
        <v>66.62</v>
      </c>
      <c r="E10" s="10">
        <v>13.24</v>
      </c>
      <c r="F10" s="10">
        <v>10.559999999999999</v>
      </c>
      <c r="G10" s="10">
        <v>3.7600000000000002</v>
      </c>
      <c r="H10" s="10">
        <v>5.8200000000000021</v>
      </c>
      <c r="I10" s="10">
        <v>41.44</v>
      </c>
      <c r="J10" s="10">
        <v>55.010466666666659</v>
      </c>
      <c r="K10" t="s">
        <v>77</v>
      </c>
      <c r="L10" t="s">
        <v>638</v>
      </c>
      <c r="M10" s="10">
        <v>12.9</v>
      </c>
      <c r="N10" t="s">
        <v>638</v>
      </c>
      <c r="P10" t="s">
        <v>643</v>
      </c>
      <c r="Q10" t="s">
        <v>81</v>
      </c>
      <c r="R10">
        <v>2024</v>
      </c>
    </row>
    <row r="11" spans="1:18" x14ac:dyDescent="0.2">
      <c r="A11" t="s">
        <v>600</v>
      </c>
      <c r="B11" s="10">
        <v>-2.0562831013883462</v>
      </c>
      <c r="C11" s="10">
        <v>-2.92</v>
      </c>
      <c r="D11" s="10">
        <v>54.414285714285711</v>
      </c>
      <c r="E11" s="10">
        <v>22.771428571428572</v>
      </c>
      <c r="F11" s="10">
        <v>15.35</v>
      </c>
      <c r="G11" s="10">
        <v>2.7035714285714287</v>
      </c>
      <c r="H11" s="10">
        <v>4.760714285714287</v>
      </c>
      <c r="I11" s="10">
        <v>32.296428571428571</v>
      </c>
      <c r="J11" s="10">
        <v>48.243285714285712</v>
      </c>
      <c r="K11" t="s">
        <v>81</v>
      </c>
      <c r="L11" t="s">
        <v>635</v>
      </c>
      <c r="M11" s="10">
        <v>-13.1</v>
      </c>
      <c r="N11" t="s">
        <v>635</v>
      </c>
      <c r="P11" t="s">
        <v>644</v>
      </c>
      <c r="Q11" t="s">
        <v>77</v>
      </c>
      <c r="R11">
        <v>2024</v>
      </c>
    </row>
    <row r="12" spans="1:18" x14ac:dyDescent="0.2">
      <c r="A12" t="s">
        <v>601</v>
      </c>
      <c r="B12" s="10">
        <v>8.0635340927889079</v>
      </c>
      <c r="C12" s="10">
        <v>7.9799999999999995</v>
      </c>
      <c r="D12" s="10">
        <v>52.800000000000004</v>
      </c>
      <c r="E12" s="10">
        <v>5.7285714285714286</v>
      </c>
      <c r="F12" s="10">
        <v>32.99285714285714</v>
      </c>
      <c r="G12" s="10">
        <v>3.5214285714285714</v>
      </c>
      <c r="H12" s="10">
        <v>4.9571428571428582</v>
      </c>
      <c r="I12" s="10">
        <v>33.528571428571425</v>
      </c>
      <c r="J12" s="10">
        <v>49.80947619047619</v>
      </c>
      <c r="K12" t="s">
        <v>77</v>
      </c>
      <c r="L12" t="s">
        <v>635</v>
      </c>
      <c r="M12" s="10">
        <v>-2.2000000000000002</v>
      </c>
      <c r="N12" t="s">
        <v>635</v>
      </c>
      <c r="P12" t="s">
        <v>630</v>
      </c>
      <c r="Q12" t="s">
        <v>81</v>
      </c>
      <c r="R12">
        <v>2024</v>
      </c>
    </row>
    <row r="13" spans="1:18" x14ac:dyDescent="0.2">
      <c r="A13" t="s">
        <v>645</v>
      </c>
      <c r="B13" s="10">
        <v>41.044564712161176</v>
      </c>
      <c r="C13" s="10">
        <v>37.9</v>
      </c>
      <c r="D13" s="10">
        <v>23.950000000000003</v>
      </c>
      <c r="E13" s="10">
        <v>9.0500000000000007</v>
      </c>
      <c r="F13" s="10">
        <v>2.4500000000000002</v>
      </c>
      <c r="G13" s="10">
        <v>42.1</v>
      </c>
      <c r="H13" s="10">
        <v>22.450000000000003</v>
      </c>
      <c r="I13" s="10">
        <v>34.65</v>
      </c>
      <c r="J13" s="10">
        <v>55.9</v>
      </c>
      <c r="K13" t="s">
        <v>77</v>
      </c>
      <c r="L13" t="s">
        <v>638</v>
      </c>
      <c r="M13" s="10">
        <v>26.4</v>
      </c>
      <c r="N13" t="s">
        <v>638</v>
      </c>
      <c r="P13" t="s">
        <v>618</v>
      </c>
      <c r="Q13" t="s">
        <v>77</v>
      </c>
      <c r="R13">
        <v>2025</v>
      </c>
    </row>
    <row r="14" spans="1:18" x14ac:dyDescent="0.2">
      <c r="A14" t="s">
        <v>603</v>
      </c>
      <c r="B14" s="10">
        <v>-29.891131742405765</v>
      </c>
      <c r="C14" s="10">
        <v>-28.700000000000003</v>
      </c>
      <c r="D14" s="10">
        <v>81.5</v>
      </c>
      <c r="E14" s="10">
        <v>8.85</v>
      </c>
      <c r="F14" s="10">
        <v>0.8</v>
      </c>
      <c r="G14" s="10">
        <v>1.65</v>
      </c>
      <c r="H14" s="10">
        <v>7.1999999999999957</v>
      </c>
      <c r="I14" s="10">
        <v>30.25</v>
      </c>
      <c r="J14" s="10">
        <v>49.262</v>
      </c>
      <c r="K14" t="s">
        <v>81</v>
      </c>
      <c r="L14" t="s">
        <v>638</v>
      </c>
      <c r="M14" s="10">
        <v>-40.200000000000003</v>
      </c>
      <c r="N14" t="s">
        <v>638</v>
      </c>
      <c r="P14" t="s">
        <v>629</v>
      </c>
      <c r="Q14" t="s">
        <v>77</v>
      </c>
      <c r="R14">
        <v>2025</v>
      </c>
    </row>
    <row r="15" spans="1:18" x14ac:dyDescent="0.2">
      <c r="A15" t="s">
        <v>604</v>
      </c>
      <c r="B15" s="10">
        <v>23.716306849353789</v>
      </c>
      <c r="C15" s="10">
        <v>24</v>
      </c>
      <c r="D15" s="10">
        <v>61.158823529411769</v>
      </c>
      <c r="E15" s="10">
        <v>13.435294117647059</v>
      </c>
      <c r="F15" s="10">
        <v>14.758823529411766</v>
      </c>
      <c r="G15" s="10">
        <v>5.0470588235294116</v>
      </c>
      <c r="H15" s="10">
        <v>5.6000000000000023</v>
      </c>
      <c r="I15" s="10">
        <v>36.452941176470588</v>
      </c>
      <c r="J15" s="10">
        <v>51.103823529411763</v>
      </c>
      <c r="K15" t="s">
        <v>77</v>
      </c>
      <c r="L15" t="s">
        <v>638</v>
      </c>
      <c r="M15" s="10">
        <v>12.5</v>
      </c>
      <c r="N15" t="s">
        <v>638</v>
      </c>
      <c r="P15" t="s">
        <v>607</v>
      </c>
      <c r="Q15" t="s">
        <v>77</v>
      </c>
      <c r="R15">
        <v>2023</v>
      </c>
    </row>
    <row r="16" spans="1:18" x14ac:dyDescent="0.2">
      <c r="A16" t="s">
        <v>605</v>
      </c>
      <c r="B16" s="10">
        <v>-4.253816125533632</v>
      </c>
      <c r="C16" s="10">
        <v>-3.0199999999999996</v>
      </c>
      <c r="D16" s="10">
        <v>85.45</v>
      </c>
      <c r="E16" s="10">
        <v>3.9750000000000001</v>
      </c>
      <c r="F16" s="10">
        <v>3.5</v>
      </c>
      <c r="G16" s="10">
        <v>1.875</v>
      </c>
      <c r="H16" s="10">
        <v>5.2000000000000028</v>
      </c>
      <c r="I16" s="10">
        <v>30.25</v>
      </c>
      <c r="J16" s="10">
        <v>48.246499999999997</v>
      </c>
      <c r="K16" t="s">
        <v>81</v>
      </c>
      <c r="L16" t="s">
        <v>635</v>
      </c>
      <c r="M16" s="10">
        <v>-13.2</v>
      </c>
      <c r="N16" t="s">
        <v>635</v>
      </c>
      <c r="P16" t="s">
        <v>608</v>
      </c>
      <c r="Q16" t="s">
        <v>81</v>
      </c>
      <c r="R16">
        <v>2023</v>
      </c>
    </row>
    <row r="17" spans="1:18" x14ac:dyDescent="0.2">
      <c r="A17" t="s">
        <v>606</v>
      </c>
      <c r="B17" s="10">
        <v>-6.6711663508008083</v>
      </c>
      <c r="C17" s="10">
        <v>-5.9200000000000017</v>
      </c>
      <c r="D17" s="10">
        <v>75.55</v>
      </c>
      <c r="E17" s="10">
        <v>7.85</v>
      </c>
      <c r="F17" s="10">
        <v>6.2249999999999996</v>
      </c>
      <c r="G17" s="10">
        <v>2.5750000000000002</v>
      </c>
      <c r="H17" s="10">
        <v>7.8000000000000007</v>
      </c>
      <c r="I17" s="10">
        <v>34.5</v>
      </c>
      <c r="J17" s="10">
        <v>48.237333333333332</v>
      </c>
      <c r="K17" t="s">
        <v>81</v>
      </c>
      <c r="L17" t="s">
        <v>635</v>
      </c>
      <c r="M17" s="10">
        <v>-16.100000000000001</v>
      </c>
      <c r="N17" t="s">
        <v>635</v>
      </c>
      <c r="P17" t="s">
        <v>613</v>
      </c>
      <c r="Q17" t="s">
        <v>81</v>
      </c>
      <c r="R17">
        <v>2023</v>
      </c>
    </row>
    <row r="18" spans="1:18" x14ac:dyDescent="0.2">
      <c r="A18" t="s">
        <v>609</v>
      </c>
      <c r="B18" s="10">
        <v>15.362628348479518</v>
      </c>
      <c r="C18" s="10">
        <v>17.079999999999998</v>
      </c>
      <c r="D18" s="10">
        <v>91.65</v>
      </c>
      <c r="E18" s="10">
        <v>1.5</v>
      </c>
      <c r="F18" s="10">
        <v>1.2000000000000002</v>
      </c>
      <c r="G18" s="10">
        <v>1.25</v>
      </c>
      <c r="H18" s="10">
        <v>4.3999999999999986</v>
      </c>
      <c r="I18" s="10">
        <v>34.099999999999994</v>
      </c>
      <c r="J18" s="10">
        <v>48.43566666666667</v>
      </c>
      <c r="K18" t="s">
        <v>77</v>
      </c>
      <c r="L18" t="s">
        <v>635</v>
      </c>
      <c r="M18" s="10">
        <v>6.9</v>
      </c>
      <c r="N18" t="s">
        <v>635</v>
      </c>
    </row>
    <row r="19" spans="1:18" x14ac:dyDescent="0.2">
      <c r="A19" t="s">
        <v>646</v>
      </c>
      <c r="B19" s="10">
        <v>42.944995863633977</v>
      </c>
      <c r="C19" s="10">
        <v>43.9</v>
      </c>
      <c r="D19" s="10">
        <v>49.875</v>
      </c>
      <c r="E19" s="10">
        <v>6.35</v>
      </c>
      <c r="F19" s="10">
        <v>32.049999999999997</v>
      </c>
      <c r="G19" s="10">
        <v>6.0125000000000002</v>
      </c>
      <c r="H19" s="10">
        <v>5.7124999999999986</v>
      </c>
      <c r="I19" s="10">
        <v>42.212499999999999</v>
      </c>
      <c r="J19" s="10">
        <v>57.674458333333334</v>
      </c>
      <c r="K19" t="s">
        <v>77</v>
      </c>
      <c r="L19" t="s">
        <v>638</v>
      </c>
      <c r="M19" s="10">
        <v>32.4</v>
      </c>
      <c r="N19" t="s">
        <v>638</v>
      </c>
    </row>
    <row r="20" spans="1:18" x14ac:dyDescent="0.2">
      <c r="A20" t="s">
        <v>610</v>
      </c>
      <c r="B20" s="10">
        <v>38.632231492811293</v>
      </c>
      <c r="C20" s="10">
        <v>40.6</v>
      </c>
      <c r="D20" s="10">
        <v>70.555555555555557</v>
      </c>
      <c r="E20" s="10">
        <v>9.3222222222222229</v>
      </c>
      <c r="F20" s="10">
        <v>7.1333333333333337</v>
      </c>
      <c r="G20" s="10">
        <v>5.6222222222222227</v>
      </c>
      <c r="H20" s="10">
        <v>7.3666666666666663</v>
      </c>
      <c r="I20" s="10">
        <v>45.911111111111111</v>
      </c>
      <c r="J20" s="10">
        <v>56.857222222222219</v>
      </c>
      <c r="K20" t="s">
        <v>77</v>
      </c>
      <c r="L20" t="s">
        <v>638</v>
      </c>
      <c r="M20" s="10">
        <v>29.1</v>
      </c>
      <c r="N20" t="s">
        <v>638</v>
      </c>
    </row>
    <row r="21" spans="1:18" x14ac:dyDescent="0.2">
      <c r="A21" t="s">
        <v>611</v>
      </c>
      <c r="B21" s="10">
        <v>8.1377773597609391</v>
      </c>
      <c r="C21" s="10">
        <v>8.7799999999999994</v>
      </c>
      <c r="D21" s="10">
        <v>74.769230769230774</v>
      </c>
      <c r="E21" s="10">
        <v>3.8538461538461539</v>
      </c>
      <c r="F21" s="10">
        <v>14.392307692307693</v>
      </c>
      <c r="G21" s="10">
        <v>2.5615384615384613</v>
      </c>
      <c r="H21" s="10">
        <v>4.4230769230769234</v>
      </c>
      <c r="I21" s="10">
        <v>31.161538461538463</v>
      </c>
      <c r="J21" s="10">
        <v>47.774512820512818</v>
      </c>
      <c r="K21" t="s">
        <v>77</v>
      </c>
      <c r="L21" t="s">
        <v>635</v>
      </c>
      <c r="M21" s="10">
        <v>-1.4</v>
      </c>
      <c r="N21" t="s">
        <v>635</v>
      </c>
    </row>
    <row r="22" spans="1:18" x14ac:dyDescent="0.2">
      <c r="A22" t="s">
        <v>612</v>
      </c>
      <c r="B22" s="10">
        <v>12.371650997713445</v>
      </c>
      <c r="C22" s="10">
        <v>14.379999999999999</v>
      </c>
      <c r="D22" s="10">
        <v>80.05</v>
      </c>
      <c r="E22" s="10">
        <v>3.4375</v>
      </c>
      <c r="F22" s="10">
        <v>5.8375000000000004</v>
      </c>
      <c r="G22" s="10">
        <v>4.3</v>
      </c>
      <c r="H22" s="10">
        <v>6.3750000000000036</v>
      </c>
      <c r="I22" s="10">
        <v>38.1875</v>
      </c>
      <c r="J22" s="10">
        <v>52.992374999999996</v>
      </c>
      <c r="K22" t="s">
        <v>77</v>
      </c>
      <c r="L22" t="s">
        <v>635</v>
      </c>
      <c r="M22" s="10">
        <v>4.2</v>
      </c>
      <c r="N22" t="s">
        <v>635</v>
      </c>
    </row>
    <row r="23" spans="1:18" x14ac:dyDescent="0.2">
      <c r="A23" t="s">
        <v>615</v>
      </c>
      <c r="B23" s="10">
        <v>-12.957167429350354</v>
      </c>
      <c r="C23" s="10">
        <v>-11.899999999999999</v>
      </c>
      <c r="D23" s="10">
        <v>79.166666666666671</v>
      </c>
      <c r="E23" s="10">
        <v>6.9333333333333336</v>
      </c>
      <c r="F23" s="10">
        <v>4.8</v>
      </c>
      <c r="G23" s="10">
        <v>2</v>
      </c>
      <c r="H23" s="10">
        <v>7.0999999999999988</v>
      </c>
      <c r="I23" s="10">
        <v>33.56666666666667</v>
      </c>
      <c r="J23" s="10">
        <v>48.706111111111113</v>
      </c>
      <c r="K23" t="s">
        <v>81</v>
      </c>
      <c r="L23" t="s">
        <v>638</v>
      </c>
      <c r="M23" s="10">
        <v>-23.4</v>
      </c>
      <c r="N23" t="s">
        <v>638</v>
      </c>
    </row>
    <row r="24" spans="1:18" x14ac:dyDescent="0.2">
      <c r="A24" t="s">
        <v>647</v>
      </c>
      <c r="B24" s="10">
        <v>11.319149135971202</v>
      </c>
      <c r="C24" s="10">
        <v>10</v>
      </c>
      <c r="D24" s="10">
        <v>49.85</v>
      </c>
      <c r="E24" s="10">
        <v>21.25</v>
      </c>
      <c r="F24" s="10">
        <v>10.625</v>
      </c>
      <c r="G24" s="10">
        <v>9.0749999999999993</v>
      </c>
      <c r="H24" s="10">
        <v>9.1999999999999993</v>
      </c>
      <c r="I24" s="10">
        <v>26.4</v>
      </c>
      <c r="J24" s="10">
        <v>49.113</v>
      </c>
      <c r="K24" t="s">
        <v>77</v>
      </c>
      <c r="L24" t="s">
        <v>638</v>
      </c>
      <c r="M24" s="10">
        <v>-1.5</v>
      </c>
      <c r="N24" t="s">
        <v>638</v>
      </c>
    </row>
    <row r="25" spans="1:18" x14ac:dyDescent="0.2">
      <c r="A25" t="s">
        <v>617</v>
      </c>
      <c r="B25" s="10">
        <v>-2.188227643217509</v>
      </c>
      <c r="C25" s="10">
        <v>0.83999999999999986</v>
      </c>
      <c r="D25" s="10">
        <v>88.85</v>
      </c>
      <c r="E25" s="10">
        <v>3.05</v>
      </c>
      <c r="F25" s="10">
        <v>1.5</v>
      </c>
      <c r="G25" s="10">
        <v>2.4</v>
      </c>
      <c r="H25" s="10">
        <v>4.2000000000000028</v>
      </c>
      <c r="I25" s="10">
        <v>39.049999999999997</v>
      </c>
      <c r="J25" s="10">
        <v>54.984333333333332</v>
      </c>
      <c r="K25" t="s">
        <v>81</v>
      </c>
      <c r="L25" t="s">
        <v>648</v>
      </c>
      <c r="M25" s="10">
        <v>-9.34</v>
      </c>
      <c r="N25" t="s">
        <v>648</v>
      </c>
    </row>
    <row r="26" spans="1:18" x14ac:dyDescent="0.2">
      <c r="A26" t="s">
        <v>619</v>
      </c>
      <c r="B26" s="10">
        <v>19.210567734586768</v>
      </c>
      <c r="C26" s="10">
        <v>16.18</v>
      </c>
      <c r="D26" s="10">
        <v>40.366666666666667</v>
      </c>
      <c r="E26" s="10">
        <v>44.233333333333327</v>
      </c>
      <c r="F26" s="10">
        <v>2.3000000000000003</v>
      </c>
      <c r="G26" s="10">
        <v>1.4666666666666668</v>
      </c>
      <c r="H26" s="10">
        <v>11.633333333333335</v>
      </c>
      <c r="I26" s="10">
        <v>28.8</v>
      </c>
      <c r="J26" s="10">
        <v>44.879888888888892</v>
      </c>
      <c r="K26" t="s">
        <v>77</v>
      </c>
      <c r="L26" t="s">
        <v>635</v>
      </c>
      <c r="M26" s="10">
        <v>6</v>
      </c>
      <c r="N26" t="s">
        <v>635</v>
      </c>
    </row>
    <row r="27" spans="1:18" x14ac:dyDescent="0.2">
      <c r="A27" t="s">
        <v>649</v>
      </c>
      <c r="B27" s="10">
        <v>18.152879246459314</v>
      </c>
      <c r="C27" s="10">
        <v>17.899999999999999</v>
      </c>
      <c r="D27" s="10">
        <v>54.330769230769228</v>
      </c>
      <c r="E27" s="10">
        <v>16.388461538461538</v>
      </c>
      <c r="F27" s="10">
        <v>15.692307692307692</v>
      </c>
      <c r="G27" s="10">
        <v>7.976923076923077</v>
      </c>
      <c r="H27" s="10">
        <v>5.6115384615384629</v>
      </c>
      <c r="I27" s="10">
        <v>38.646153846153844</v>
      </c>
      <c r="J27" s="10">
        <v>53.216051282051282</v>
      </c>
      <c r="K27" t="s">
        <v>77</v>
      </c>
      <c r="L27" t="s">
        <v>638</v>
      </c>
      <c r="M27" s="10">
        <v>6.4</v>
      </c>
      <c r="N27" t="s">
        <v>638</v>
      </c>
    </row>
    <row r="28" spans="1:18" x14ac:dyDescent="0.2">
      <c r="A28" t="s">
        <v>621</v>
      </c>
      <c r="B28" s="10">
        <v>-1.7367620825397467</v>
      </c>
      <c r="C28" s="10">
        <v>-1.0199999999999996</v>
      </c>
      <c r="D28" s="10">
        <v>78.413333333333341</v>
      </c>
      <c r="E28" s="10">
        <v>2.92</v>
      </c>
      <c r="F28" s="10">
        <v>12.72</v>
      </c>
      <c r="G28" s="10">
        <v>1.8599999999999999</v>
      </c>
      <c r="H28" s="10">
        <v>4.0866666666666678</v>
      </c>
      <c r="I28" s="10">
        <v>30.433333333333334</v>
      </c>
      <c r="J28" s="10">
        <v>47.232755555555556</v>
      </c>
      <c r="K28" t="s">
        <v>81</v>
      </c>
      <c r="L28" t="s">
        <v>635</v>
      </c>
      <c r="M28" s="10">
        <v>-11.2</v>
      </c>
      <c r="N28" t="s">
        <v>635</v>
      </c>
    </row>
    <row r="29" spans="1:18" x14ac:dyDescent="0.2">
      <c r="A29" t="s">
        <v>622</v>
      </c>
      <c r="B29" s="10">
        <v>-23.976920842819929</v>
      </c>
      <c r="C29" s="10">
        <v>-24.119999999999997</v>
      </c>
      <c r="D29" s="10">
        <v>65.2</v>
      </c>
      <c r="E29" s="10">
        <v>6.7799999999999994</v>
      </c>
      <c r="F29" s="10">
        <v>8.2200000000000006</v>
      </c>
      <c r="G29" s="10">
        <v>2.08</v>
      </c>
      <c r="H29" s="10">
        <v>17.719999999999995</v>
      </c>
      <c r="I29" s="10">
        <v>27.26</v>
      </c>
      <c r="J29" s="10">
        <v>44.998266666666666</v>
      </c>
      <c r="K29" t="s">
        <v>81</v>
      </c>
      <c r="L29" t="s">
        <v>635</v>
      </c>
      <c r="M29" s="10">
        <v>-34.299999999999997</v>
      </c>
      <c r="N29" t="s">
        <v>635</v>
      </c>
    </row>
    <row r="30" spans="1:18" x14ac:dyDescent="0.2">
      <c r="A30" t="s">
        <v>623</v>
      </c>
      <c r="B30" s="10">
        <v>13.786949578394134</v>
      </c>
      <c r="C30" s="10">
        <v>14.9</v>
      </c>
      <c r="D30" s="10">
        <v>74.916666666666671</v>
      </c>
      <c r="E30" s="10">
        <v>8.7999999999999989</v>
      </c>
      <c r="F30" s="10">
        <v>2.3166666666666669</v>
      </c>
      <c r="G30" s="10">
        <v>4.6000000000000005</v>
      </c>
      <c r="H30" s="10">
        <v>9.3666666666666654</v>
      </c>
      <c r="I30" s="10">
        <v>35.466666666666661</v>
      </c>
      <c r="J30" s="10">
        <v>50.508444444444443</v>
      </c>
      <c r="K30" t="s">
        <v>77</v>
      </c>
      <c r="L30" t="s">
        <v>638</v>
      </c>
      <c r="M30" s="10">
        <v>3.4</v>
      </c>
      <c r="N30" t="s">
        <v>638</v>
      </c>
    </row>
    <row r="31" spans="1:18" x14ac:dyDescent="0.2">
      <c r="A31" t="s">
        <v>650</v>
      </c>
      <c r="B31" s="10">
        <v>25.372283919326957</v>
      </c>
      <c r="C31" s="10">
        <v>26.3</v>
      </c>
      <c r="D31" s="10">
        <v>76.111764705882365</v>
      </c>
      <c r="E31" s="10">
        <v>6.0176470588235293</v>
      </c>
      <c r="F31" s="10">
        <v>10.947058823529412</v>
      </c>
      <c r="G31" s="10">
        <v>2.8764705882352941</v>
      </c>
      <c r="H31" s="10">
        <v>4.0470588235294143</v>
      </c>
      <c r="I31" s="10">
        <v>33.764705882352942</v>
      </c>
      <c r="J31" s="10">
        <v>49.583411764705886</v>
      </c>
      <c r="K31" t="s">
        <v>77</v>
      </c>
      <c r="L31" t="s">
        <v>638</v>
      </c>
      <c r="M31" s="10">
        <v>14.8</v>
      </c>
      <c r="N31" t="s">
        <v>638</v>
      </c>
    </row>
    <row r="32" spans="1:18" x14ac:dyDescent="0.2">
      <c r="A32" t="s">
        <v>624</v>
      </c>
      <c r="B32" s="10">
        <v>29.124580453465182</v>
      </c>
      <c r="C32" s="10">
        <v>30.5</v>
      </c>
      <c r="D32" s="10">
        <v>72.349999999999994</v>
      </c>
      <c r="E32" s="10">
        <v>11.5</v>
      </c>
      <c r="F32" s="10">
        <v>6.3</v>
      </c>
      <c r="G32" s="10">
        <v>2.85</v>
      </c>
      <c r="H32" s="10">
        <v>7</v>
      </c>
      <c r="I32" s="10">
        <v>36.25</v>
      </c>
      <c r="J32" s="10">
        <v>52.286166666666666</v>
      </c>
      <c r="K32" t="s">
        <v>77</v>
      </c>
      <c r="L32" t="s">
        <v>638</v>
      </c>
      <c r="M32" s="10">
        <v>19</v>
      </c>
      <c r="N32" t="s">
        <v>638</v>
      </c>
    </row>
    <row r="33" spans="1:14" x14ac:dyDescent="0.2">
      <c r="A33" t="s">
        <v>625</v>
      </c>
      <c r="B33" s="10">
        <v>-7.681833215854879</v>
      </c>
      <c r="C33" s="10">
        <v>-7.7199999999999989</v>
      </c>
      <c r="D33" s="10">
        <v>64.914285714285711</v>
      </c>
      <c r="E33" s="10">
        <v>3.3428571428571425</v>
      </c>
      <c r="F33" s="10">
        <v>26.400000000000002</v>
      </c>
      <c r="G33" s="10">
        <v>1.5142857142857142</v>
      </c>
      <c r="H33" s="10">
        <v>3.8285714285714323</v>
      </c>
      <c r="I33" s="10">
        <v>30.657142857142855</v>
      </c>
      <c r="J33" s="10">
        <v>46.406857142857142</v>
      </c>
      <c r="K33" t="s">
        <v>81</v>
      </c>
      <c r="L33" t="s">
        <v>635</v>
      </c>
      <c r="M33" s="10">
        <v>-17.899999999999999</v>
      </c>
      <c r="N33" t="s">
        <v>635</v>
      </c>
    </row>
    <row r="34" spans="1:14" x14ac:dyDescent="0.2">
      <c r="A34" t="s">
        <v>626</v>
      </c>
      <c r="B34" s="10">
        <v>-20.498701708844163</v>
      </c>
      <c r="C34" s="10">
        <v>-19.02</v>
      </c>
      <c r="D34" s="10">
        <v>83.1</v>
      </c>
      <c r="E34" s="10">
        <v>2.7</v>
      </c>
      <c r="F34" s="10">
        <v>1.7</v>
      </c>
      <c r="G34" s="10">
        <v>1.1000000000000001</v>
      </c>
      <c r="H34" s="10">
        <v>11.400000000000006</v>
      </c>
      <c r="I34" s="10">
        <v>30.4</v>
      </c>
      <c r="J34" s="10">
        <v>48.242666666666665</v>
      </c>
      <c r="K34" t="s">
        <v>81</v>
      </c>
      <c r="L34" t="s">
        <v>635</v>
      </c>
      <c r="M34" s="10">
        <v>-29.2</v>
      </c>
      <c r="N34" t="s">
        <v>635</v>
      </c>
    </row>
    <row r="35" spans="1:14" x14ac:dyDescent="0.2">
      <c r="A35" t="s">
        <v>627</v>
      </c>
      <c r="B35" s="10">
        <v>-19.999332945696473</v>
      </c>
      <c r="C35" s="10">
        <v>-19.52</v>
      </c>
      <c r="D35" s="10">
        <v>73.311111111111103</v>
      </c>
      <c r="E35" s="10">
        <v>2.7888888888888892</v>
      </c>
      <c r="F35" s="10">
        <v>17.066666666666666</v>
      </c>
      <c r="G35" s="10">
        <v>1.5666666666666667</v>
      </c>
      <c r="H35" s="10">
        <v>5.2666666666666639</v>
      </c>
      <c r="I35" s="10">
        <v>29.755555555555556</v>
      </c>
      <c r="J35" s="10">
        <v>46.945888888888895</v>
      </c>
      <c r="K35" t="s">
        <v>81</v>
      </c>
      <c r="L35" t="s">
        <v>635</v>
      </c>
      <c r="M35" s="10">
        <v>-29.7</v>
      </c>
      <c r="N35" t="s">
        <v>635</v>
      </c>
    </row>
    <row r="36" spans="1:14" x14ac:dyDescent="0.2">
      <c r="A36" t="s">
        <v>628</v>
      </c>
      <c r="B36" s="10">
        <v>2.2120432051963657</v>
      </c>
      <c r="C36" s="10">
        <v>0.59999999999999964</v>
      </c>
      <c r="D36" s="10">
        <v>42.910526315789468</v>
      </c>
      <c r="E36" s="10">
        <v>32.507894736842104</v>
      </c>
      <c r="F36" s="10">
        <v>13.955263157894736</v>
      </c>
      <c r="G36" s="10">
        <v>4.4868421052631575</v>
      </c>
      <c r="H36" s="10">
        <v>6.1394736842105262</v>
      </c>
      <c r="I36" s="10">
        <v>31.944736842105264</v>
      </c>
      <c r="J36" s="10">
        <v>49.555026315789469</v>
      </c>
      <c r="K36" t="s">
        <v>77</v>
      </c>
      <c r="L36" t="s">
        <v>638</v>
      </c>
      <c r="M36" s="10">
        <v>-10.9</v>
      </c>
      <c r="N36" t="s">
        <v>638</v>
      </c>
    </row>
    <row r="37" spans="1:14" x14ac:dyDescent="0.2">
      <c r="A37" t="s">
        <v>651</v>
      </c>
      <c r="B37" s="10">
        <v>-43.462739439410299</v>
      </c>
      <c r="C37" s="10">
        <v>-41.42</v>
      </c>
      <c r="D37" s="10">
        <v>90.4</v>
      </c>
      <c r="E37" s="10">
        <v>1.9</v>
      </c>
      <c r="F37" s="10">
        <v>1.3</v>
      </c>
      <c r="G37" s="10">
        <v>1.6</v>
      </c>
      <c r="H37" s="10">
        <v>4.7999999999999972</v>
      </c>
      <c r="I37" s="10">
        <v>41.7</v>
      </c>
      <c r="J37" s="10">
        <v>49.663666666666664</v>
      </c>
      <c r="K37" t="s">
        <v>81</v>
      </c>
      <c r="L37" t="s">
        <v>648</v>
      </c>
      <c r="M37" s="10">
        <v>-51.6</v>
      </c>
      <c r="N37" t="s">
        <v>648</v>
      </c>
    </row>
    <row r="38" spans="1:14" x14ac:dyDescent="0.2">
      <c r="A38" t="s">
        <v>652</v>
      </c>
      <c r="B38" s="10">
        <v>8.1020716783201667</v>
      </c>
      <c r="C38" s="10">
        <v>9.2799999999999994</v>
      </c>
      <c r="D38" s="10">
        <v>81.662500000000009</v>
      </c>
      <c r="E38" s="10">
        <v>4.5374999999999996</v>
      </c>
      <c r="F38" s="10">
        <v>6.3874999999999993</v>
      </c>
      <c r="G38" s="10">
        <v>2.3250000000000002</v>
      </c>
      <c r="H38" s="10">
        <v>5.0874999999999968</v>
      </c>
      <c r="I38" s="10">
        <v>32.0625</v>
      </c>
      <c r="J38" s="10">
        <v>48.851458333333333</v>
      </c>
      <c r="K38" t="s">
        <v>77</v>
      </c>
      <c r="L38" t="s">
        <v>635</v>
      </c>
      <c r="M38" s="10">
        <v>-0.9</v>
      </c>
      <c r="N38" t="s">
        <v>635</v>
      </c>
    </row>
    <row r="39" spans="1:14" x14ac:dyDescent="0.2">
      <c r="A39" t="s">
        <v>631</v>
      </c>
      <c r="B39" s="10">
        <v>-36.769947011819525</v>
      </c>
      <c r="C39" s="10">
        <v>-35.619999999999997</v>
      </c>
      <c r="D39" s="10">
        <v>83.8</v>
      </c>
      <c r="E39" s="10">
        <v>7.6</v>
      </c>
      <c r="F39" s="10">
        <v>1</v>
      </c>
      <c r="G39" s="10">
        <v>0.9</v>
      </c>
      <c r="H39" s="10">
        <v>6.7000000000000028</v>
      </c>
      <c r="I39" s="10">
        <v>29</v>
      </c>
      <c r="J39" s="10">
        <v>48.347333333333331</v>
      </c>
      <c r="K39" t="s">
        <v>81</v>
      </c>
      <c r="L39" t="s">
        <v>635</v>
      </c>
      <c r="M39" s="10">
        <v>-45.8</v>
      </c>
      <c r="N39" t="s">
        <v>635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1"/>
  <sheetViews>
    <sheetView workbookViewId="0">
      <pane ySplit="2" topLeftCell="A3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23" customWidth="1"/>
    <col min="3" max="3" width="16.94921875" customWidth="1"/>
    <col min="4" max="4" width="16.0078125" customWidth="1"/>
    <col min="5" max="5" width="20.984375" customWidth="1"/>
    <col min="6" max="6" width="16.94921875" customWidth="1"/>
    <col min="7" max="7" width="18.96484375" customWidth="1"/>
    <col min="8" max="8" width="22.05859375" customWidth="1"/>
  </cols>
  <sheetData>
    <row r="1" spans="1:8" ht="29.1" customHeight="1" x14ac:dyDescent="0.2">
      <c r="A1" s="13" t="s">
        <v>653</v>
      </c>
      <c r="B1" s="13"/>
      <c r="C1" s="13"/>
      <c r="D1" s="13"/>
      <c r="E1" s="13"/>
      <c r="F1" s="13"/>
      <c r="G1" s="13"/>
      <c r="H1" s="13"/>
    </row>
    <row r="2" spans="1:8" x14ac:dyDescent="0.2">
      <c r="A2" t="s">
        <v>654</v>
      </c>
    </row>
    <row r="5" spans="1:8" ht="24" customHeight="1" x14ac:dyDescent="0.2">
      <c r="A5" s="13" t="s">
        <v>655</v>
      </c>
      <c r="B5" s="13"/>
      <c r="C5" s="13"/>
      <c r="D5" s="13"/>
      <c r="E5" s="13"/>
      <c r="F5" s="13"/>
      <c r="G5" s="13"/>
      <c r="H5" s="13"/>
    </row>
    <row r="6" spans="1:8" ht="22.15" customHeight="1" x14ac:dyDescent="0.2">
      <c r="A6" s="73" t="s">
        <v>63</v>
      </c>
      <c r="B6" s="73" t="s">
        <v>128</v>
      </c>
      <c r="C6" s="73" t="s">
        <v>656</v>
      </c>
      <c r="D6" s="73" t="s">
        <v>657</v>
      </c>
      <c r="E6" s="73" t="s">
        <v>658</v>
      </c>
      <c r="F6" s="73" t="s">
        <v>659</v>
      </c>
      <c r="G6" s="73" t="s">
        <v>660</v>
      </c>
    </row>
    <row r="7" spans="1:8" ht="19.149999999999999" customHeight="1" x14ac:dyDescent="0.2">
      <c r="A7">
        <f>1</f>
        <v>1</v>
      </c>
      <c r="B7" t="str">
        <f>INDEX('HOUSE DASHBOARD'!$A$31:$A$465,MATCH(A7,'HOUSE DASHBOARD'!$O$31:$O$465,0))</f>
        <v>OH-07</v>
      </c>
      <c r="C7" s="10">
        <f>INDEX('HOUSE DASHBOARD'!$H$31:$H$465,MATCH(A7,'HOUSE DASHBOARD'!$O$31:$O$465,0))</f>
        <v>-0.12870967741935874</v>
      </c>
      <c r="D7" t="str">
        <f>INDEX('HOUSE DASHBOARD'!$I$31:$I$465,MATCH(A7,'HOUSE DASHBOARD'!$O$31:$O$465,0))</f>
        <v>R</v>
      </c>
      <c r="E7" t="str">
        <f>INDEX('HOUSE DASHBOARD'!$J$31:$J$465,MATCH(A7,'HOUSE DASHBOARD'!$O$31:$O$465,0))</f>
        <v>R</v>
      </c>
      <c r="F7" t="str">
        <f>INDEX('HOUSE DASHBOARD'!$K$31:$K$465,MATCH(A7,'HOUSE DASHBOARD'!$O$31:$O$465,0))</f>
        <v>—</v>
      </c>
      <c r="G7" s="7">
        <f>INDEX('HOUSE DASHBOARD'!$N$31:$N$465,MATCH(A7,'HOUSE DASHBOARD'!$O$31:$O$465,0))</f>
        <v>0.12870967741935874</v>
      </c>
    </row>
    <row r="8" spans="1:8" ht="19.149999999999999" customHeight="1" x14ac:dyDescent="0.2">
      <c r="A8">
        <f>2</f>
        <v>2</v>
      </c>
      <c r="B8" t="str">
        <f>INDEX('HOUSE DASHBOARD'!$A$31:$A$465,MATCH(A8,'HOUSE DASHBOARD'!$O$31:$O$465,0))</f>
        <v>FL-04</v>
      </c>
      <c r="C8" s="10">
        <f>INDEX('HOUSE DASHBOARD'!$H$31:$H$465,MATCH(A8,'HOUSE DASHBOARD'!$O$31:$O$465,0))</f>
        <v>-0.15111111111110648</v>
      </c>
      <c r="D8" t="str">
        <f>INDEX('HOUSE DASHBOARD'!$I$31:$I$465,MATCH(A8,'HOUSE DASHBOARD'!$O$31:$O$465,0))</f>
        <v>R</v>
      </c>
      <c r="E8" t="str">
        <f>INDEX('HOUSE DASHBOARD'!$J$31:$J$465,MATCH(A8,'HOUSE DASHBOARD'!$O$31:$O$465,0))</f>
        <v>R</v>
      </c>
      <c r="F8" t="str">
        <f>INDEX('HOUSE DASHBOARD'!$K$31:$K$465,MATCH(A8,'HOUSE DASHBOARD'!$O$31:$O$465,0))</f>
        <v>—</v>
      </c>
      <c r="G8" s="7">
        <f>INDEX('HOUSE DASHBOARD'!$N$31:$N$465,MATCH(A8,'HOUSE DASHBOARD'!$O$31:$O$465,0))</f>
        <v>0.15111111111110648</v>
      </c>
    </row>
    <row r="9" spans="1:8" ht="19.149999999999999" customHeight="1" x14ac:dyDescent="0.2">
      <c r="A9">
        <f>3</f>
        <v>3</v>
      </c>
      <c r="B9" t="str">
        <f>INDEX('HOUSE DASHBOARD'!$A$31:$A$465,MATCH(A9,'HOUSE DASHBOARD'!$O$31:$O$465,0))</f>
        <v>FL-14</v>
      </c>
      <c r="C9" s="10">
        <f>INDEX('HOUSE DASHBOARD'!$H$31:$H$465,MATCH(A9,'HOUSE DASHBOARD'!$O$31:$O$465,0))</f>
        <v>-0.15111111111110648</v>
      </c>
      <c r="D9" t="str">
        <f>INDEX('HOUSE DASHBOARD'!$I$31:$I$465,MATCH(A9,'HOUSE DASHBOARD'!$O$31:$O$465,0))</f>
        <v>R</v>
      </c>
      <c r="E9" t="str">
        <f>INDEX('HOUSE DASHBOARD'!$J$31:$J$465,MATCH(A9,'HOUSE DASHBOARD'!$O$31:$O$465,0))</f>
        <v>D</v>
      </c>
      <c r="F9" t="str">
        <f>INDEX('HOUSE DASHBOARD'!$K$31:$K$465,MATCH(A9,'HOUSE DASHBOARD'!$O$31:$O$465,0))</f>
        <v>D → R</v>
      </c>
      <c r="G9" s="7">
        <f>INDEX('HOUSE DASHBOARD'!$N$31:$N$465,MATCH(A9,'HOUSE DASHBOARD'!$O$31:$O$465,0))</f>
        <v>0.15111111111110648</v>
      </c>
    </row>
    <row r="10" spans="1:8" ht="19.149999999999999" customHeight="1" x14ac:dyDescent="0.2">
      <c r="A10">
        <f>4</f>
        <v>4</v>
      </c>
      <c r="B10" t="str">
        <f>INDEX('HOUSE DASHBOARD'!$A$31:$A$465,MATCH(A10,'HOUSE DASHBOARD'!$O$31:$O$465,0))</f>
        <v>FL-22</v>
      </c>
      <c r="C10" s="10">
        <f>INDEX('HOUSE DASHBOARD'!$H$31:$H$465,MATCH(A10,'HOUSE DASHBOARD'!$O$31:$O$465,0))</f>
        <v>-0.15111111111110648</v>
      </c>
      <c r="D10" t="str">
        <f>INDEX('HOUSE DASHBOARD'!$I$31:$I$465,MATCH(A10,'HOUSE DASHBOARD'!$O$31:$O$465,0))</f>
        <v>R</v>
      </c>
      <c r="E10" t="str">
        <f>INDEX('HOUSE DASHBOARD'!$J$31:$J$465,MATCH(A10,'HOUSE DASHBOARD'!$O$31:$O$465,0))</f>
        <v>D</v>
      </c>
      <c r="F10" t="str">
        <f>INDEX('HOUSE DASHBOARD'!$K$31:$K$465,MATCH(A10,'HOUSE DASHBOARD'!$O$31:$O$465,0))</f>
        <v>D → R</v>
      </c>
      <c r="G10" s="7">
        <f>INDEX('HOUSE DASHBOARD'!$N$31:$N$465,MATCH(A10,'HOUSE DASHBOARD'!$O$31:$O$465,0))</f>
        <v>0.15111111111110648</v>
      </c>
    </row>
    <row r="11" spans="1:8" ht="19.149999999999999" customHeight="1" x14ac:dyDescent="0.2">
      <c r="A11">
        <f>5</f>
        <v>5</v>
      </c>
      <c r="B11" t="str">
        <f>INDEX('HOUSE DASHBOARD'!$A$31:$A$465,MATCH(A11,'HOUSE DASHBOARD'!$O$31:$O$465,0))</f>
        <v>NY-01</v>
      </c>
      <c r="C11" s="10">
        <f>INDEX('HOUSE DASHBOARD'!$H$31:$H$465,MATCH(A11,'HOUSE DASHBOARD'!$O$31:$O$465,0))</f>
        <v>0.5200000000000029</v>
      </c>
      <c r="D11" t="str">
        <f>INDEX('HOUSE DASHBOARD'!$I$31:$I$465,MATCH(A11,'HOUSE DASHBOARD'!$O$31:$O$465,0))</f>
        <v>D</v>
      </c>
      <c r="E11" t="str">
        <f>INDEX('HOUSE DASHBOARD'!$J$31:$J$465,MATCH(A11,'HOUSE DASHBOARD'!$O$31:$O$465,0))</f>
        <v>R</v>
      </c>
      <c r="F11" t="str">
        <f>INDEX('HOUSE DASHBOARD'!$K$31:$K$465,MATCH(A11,'HOUSE DASHBOARD'!$O$31:$O$465,0))</f>
        <v>R → D</v>
      </c>
      <c r="G11" s="7">
        <f>INDEX('HOUSE DASHBOARD'!$N$31:$N$465,MATCH(A11,'HOUSE DASHBOARD'!$O$31:$O$465,0))</f>
        <v>0.5200000000000029</v>
      </c>
    </row>
    <row r="12" spans="1:8" ht="19.149999999999999" customHeight="1" x14ac:dyDescent="0.2">
      <c r="A12">
        <f>6</f>
        <v>6</v>
      </c>
      <c r="B12" t="str">
        <f>INDEX('HOUSE DASHBOARD'!$A$31:$A$465,MATCH(A12,'HOUSE DASHBOARD'!$O$31:$O$465,0))</f>
        <v>WI-01</v>
      </c>
      <c r="C12" s="10">
        <f>INDEX('HOUSE DASHBOARD'!$H$31:$H$465,MATCH(A12,'HOUSE DASHBOARD'!$O$31:$O$465,0))</f>
        <v>0.53999999999999893</v>
      </c>
      <c r="D12" t="str">
        <f>INDEX('HOUSE DASHBOARD'!$I$31:$I$465,MATCH(A12,'HOUSE DASHBOARD'!$O$31:$O$465,0))</f>
        <v>D</v>
      </c>
      <c r="E12" t="str">
        <f>INDEX('HOUSE DASHBOARD'!$J$31:$J$465,MATCH(A12,'HOUSE DASHBOARD'!$O$31:$O$465,0))</f>
        <v>R</v>
      </c>
      <c r="F12" t="str">
        <f>INDEX('HOUSE DASHBOARD'!$K$31:$K$465,MATCH(A12,'HOUSE DASHBOARD'!$O$31:$O$465,0))</f>
        <v>R → D</v>
      </c>
      <c r="G12" s="7">
        <f>INDEX('HOUSE DASHBOARD'!$N$31:$N$465,MATCH(A12,'HOUSE DASHBOARD'!$O$31:$O$465,0))</f>
        <v>0.53999999999999893</v>
      </c>
    </row>
    <row r="13" spans="1:8" ht="19.149999999999999" customHeight="1" x14ac:dyDescent="0.2">
      <c r="A13">
        <f>7</f>
        <v>7</v>
      </c>
      <c r="B13" t="str">
        <f>INDEX('HOUSE DASHBOARD'!$A$31:$A$465,MATCH(A13,'HOUSE DASHBOARD'!$O$31:$O$465,0))</f>
        <v>IA-02</v>
      </c>
      <c r="C13" s="10">
        <f>INDEX('HOUSE DASHBOARD'!$H$31:$H$465,MATCH(A13,'HOUSE DASHBOARD'!$O$31:$O$465,0))</f>
        <v>0.5600000000000005</v>
      </c>
      <c r="D13" t="str">
        <f>INDEX('HOUSE DASHBOARD'!$I$31:$I$465,MATCH(A13,'HOUSE DASHBOARD'!$O$31:$O$465,0))</f>
        <v>D</v>
      </c>
      <c r="E13" t="str">
        <f>INDEX('HOUSE DASHBOARD'!$J$31:$J$465,MATCH(A13,'HOUSE DASHBOARD'!$O$31:$O$465,0))</f>
        <v>R</v>
      </c>
      <c r="F13" t="str">
        <f>INDEX('HOUSE DASHBOARD'!$K$31:$K$465,MATCH(A13,'HOUSE DASHBOARD'!$O$31:$O$465,0))</f>
        <v>R → D</v>
      </c>
      <c r="G13" s="7">
        <f>INDEX('HOUSE DASHBOARD'!$N$31:$N$465,MATCH(A13,'HOUSE DASHBOARD'!$O$31:$O$465,0))</f>
        <v>0.5600000000000005</v>
      </c>
    </row>
    <row r="14" spans="1:8" ht="19.149999999999999" customHeight="1" x14ac:dyDescent="0.2">
      <c r="A14">
        <f>8</f>
        <v>8</v>
      </c>
      <c r="B14" t="str">
        <f>INDEX('HOUSE DASHBOARD'!$A$31:$A$465,MATCH(A14,'HOUSE DASHBOARD'!$O$31:$O$465,0))</f>
        <v>NC-01</v>
      </c>
      <c r="C14" s="10">
        <f>INDEX('HOUSE DASHBOARD'!$H$31:$H$465,MATCH(A14,'HOUSE DASHBOARD'!$O$31:$O$465,0))</f>
        <v>-0.75717171717171561</v>
      </c>
      <c r="D14" t="str">
        <f>INDEX('HOUSE DASHBOARD'!$I$31:$I$465,MATCH(A14,'HOUSE DASHBOARD'!$O$31:$O$465,0))</f>
        <v>R</v>
      </c>
      <c r="E14" t="str">
        <f>INDEX('HOUSE DASHBOARD'!$J$31:$J$465,MATCH(A14,'HOUSE DASHBOARD'!$O$31:$O$465,0))</f>
        <v>D</v>
      </c>
      <c r="F14" t="str">
        <f>INDEX('HOUSE DASHBOARD'!$K$31:$K$465,MATCH(A14,'HOUSE DASHBOARD'!$O$31:$O$465,0))</f>
        <v>D → R</v>
      </c>
      <c r="G14" s="7">
        <f>INDEX('HOUSE DASHBOARD'!$N$31:$N$465,MATCH(A14,'HOUSE DASHBOARD'!$O$31:$O$465,0))</f>
        <v>0.75717171717171561</v>
      </c>
    </row>
    <row r="15" spans="1:8" ht="19.149999999999999" customHeight="1" x14ac:dyDescent="0.2">
      <c r="A15">
        <f>9</f>
        <v>9</v>
      </c>
      <c r="B15" t="str">
        <f>INDEX('HOUSE DASHBOARD'!$A$31:$A$465,MATCH(A15,'HOUSE DASHBOARD'!$O$31:$O$465,0))</f>
        <v>MI-04</v>
      </c>
      <c r="C15" s="10">
        <f>INDEX('HOUSE DASHBOARD'!$H$31:$H$465,MATCH(A15,'HOUSE DASHBOARD'!$O$31:$O$465,0))</f>
        <v>-0.94000000000000505</v>
      </c>
      <c r="D15" t="str">
        <f>INDEX('HOUSE DASHBOARD'!$I$31:$I$465,MATCH(A15,'HOUSE DASHBOARD'!$O$31:$O$465,0))</f>
        <v>R</v>
      </c>
      <c r="E15" t="str">
        <f>INDEX('HOUSE DASHBOARD'!$J$31:$J$465,MATCH(A15,'HOUSE DASHBOARD'!$O$31:$O$465,0))</f>
        <v>R</v>
      </c>
      <c r="F15" t="str">
        <f>INDEX('HOUSE DASHBOARD'!$K$31:$K$465,MATCH(A15,'HOUSE DASHBOARD'!$O$31:$O$465,0))</f>
        <v>—</v>
      </c>
      <c r="G15" s="7">
        <f>INDEX('HOUSE DASHBOARD'!$N$31:$N$465,MATCH(A15,'HOUSE DASHBOARD'!$O$31:$O$465,0))</f>
        <v>0.94000000000000505</v>
      </c>
    </row>
    <row r="16" spans="1:8" ht="19.149999999999999" customHeight="1" x14ac:dyDescent="0.2">
      <c r="A16">
        <f>10</f>
        <v>10</v>
      </c>
      <c r="B16" t="str">
        <f>INDEX('HOUSE DASHBOARD'!$A$31:$A$465,MATCH(A16,'HOUSE DASHBOARD'!$O$31:$O$465,0))</f>
        <v>MT-01</v>
      </c>
      <c r="C16" s="10">
        <f>INDEX('HOUSE DASHBOARD'!$H$31:$H$465,MATCH(A16,'HOUSE DASHBOARD'!$O$31:$O$465,0))</f>
        <v>-1</v>
      </c>
      <c r="D16" t="str">
        <f>INDEX('HOUSE DASHBOARD'!$I$31:$I$465,MATCH(A16,'HOUSE DASHBOARD'!$O$31:$O$465,0))</f>
        <v>R</v>
      </c>
      <c r="E16" t="str">
        <f>INDEX('HOUSE DASHBOARD'!$J$31:$J$465,MATCH(A16,'HOUSE DASHBOARD'!$O$31:$O$465,0))</f>
        <v>R</v>
      </c>
      <c r="F16" t="str">
        <f>INDEX('HOUSE DASHBOARD'!$K$31:$K$465,MATCH(A16,'HOUSE DASHBOARD'!$O$31:$O$465,0))</f>
        <v>—</v>
      </c>
      <c r="G16" s="7">
        <f>INDEX('HOUSE DASHBOARD'!$N$31:$N$465,MATCH(A16,'HOUSE DASHBOARD'!$O$31:$O$465,0))</f>
        <v>1</v>
      </c>
    </row>
    <row r="17" spans="1:7" ht="19.149999999999999" customHeight="1" x14ac:dyDescent="0.2">
      <c r="A17">
        <f>11</f>
        <v>11</v>
      </c>
      <c r="B17" t="str">
        <f>INDEX('HOUSE DASHBOARD'!$A$31:$A$465,MATCH(A17,'HOUSE DASHBOARD'!$O$31:$O$465,0))</f>
        <v>NC-11</v>
      </c>
      <c r="C17" s="10">
        <f>INDEX('HOUSE DASHBOARD'!$H$31:$H$465,MATCH(A17,'HOUSE DASHBOARD'!$O$31:$O$465,0))</f>
        <v>1.0500000000000007</v>
      </c>
      <c r="D17" t="str">
        <f>INDEX('HOUSE DASHBOARD'!$I$31:$I$465,MATCH(A17,'HOUSE DASHBOARD'!$O$31:$O$465,0))</f>
        <v>D</v>
      </c>
      <c r="E17" t="str">
        <f>INDEX('HOUSE DASHBOARD'!$J$31:$J$465,MATCH(A17,'HOUSE DASHBOARD'!$O$31:$O$465,0))</f>
        <v>R</v>
      </c>
      <c r="F17" t="str">
        <f>INDEX('HOUSE DASHBOARD'!$K$31:$K$465,MATCH(A17,'HOUSE DASHBOARD'!$O$31:$O$465,0))</f>
        <v>R → D</v>
      </c>
      <c r="G17" s="7">
        <f>INDEX('HOUSE DASHBOARD'!$N$31:$N$465,MATCH(A17,'HOUSE DASHBOARD'!$O$31:$O$465,0))</f>
        <v>1.0500000000000007</v>
      </c>
    </row>
    <row r="18" spans="1:7" ht="19.149999999999999" customHeight="1" x14ac:dyDescent="0.2">
      <c r="A18">
        <f>12</f>
        <v>12</v>
      </c>
      <c r="B18" t="str">
        <f>INDEX('HOUSE DASHBOARD'!$A$31:$A$465,MATCH(A18,'HOUSE DASHBOARD'!$O$31:$O$465,0))</f>
        <v>CO-04</v>
      </c>
      <c r="C18" s="10">
        <f>INDEX('HOUSE DASHBOARD'!$H$31:$H$465,MATCH(A18,'HOUSE DASHBOARD'!$O$31:$O$465,0))</f>
        <v>-1.1600000000000039</v>
      </c>
      <c r="D18" t="str">
        <f>INDEX('HOUSE DASHBOARD'!$I$31:$I$465,MATCH(A18,'HOUSE DASHBOARD'!$O$31:$O$465,0))</f>
        <v>R</v>
      </c>
      <c r="E18" t="str">
        <f>INDEX('HOUSE DASHBOARD'!$J$31:$J$465,MATCH(A18,'HOUSE DASHBOARD'!$O$31:$O$465,0))</f>
        <v>R</v>
      </c>
      <c r="F18" t="str">
        <f>INDEX('HOUSE DASHBOARD'!$K$31:$K$465,MATCH(A18,'HOUSE DASHBOARD'!$O$31:$O$465,0))</f>
        <v>—</v>
      </c>
      <c r="G18" s="7">
        <f>INDEX('HOUSE DASHBOARD'!$N$31:$N$465,MATCH(A18,'HOUSE DASHBOARD'!$O$31:$O$465,0))</f>
        <v>1.1600000000000039</v>
      </c>
    </row>
    <row r="19" spans="1:7" ht="19.149999999999999" customHeight="1" x14ac:dyDescent="0.2">
      <c r="A19">
        <f>13</f>
        <v>13</v>
      </c>
      <c r="B19" t="str">
        <f>INDEX('HOUSE DASHBOARD'!$A$31:$A$465,MATCH(A19,'HOUSE DASHBOARD'!$O$31:$O$465,0))</f>
        <v>MO-02</v>
      </c>
      <c r="C19" s="10">
        <f>INDEX('HOUSE DASHBOARD'!$H$31:$H$465,MATCH(A19,'HOUSE DASHBOARD'!$O$31:$O$465,0))</f>
        <v>-1.3999999999999988</v>
      </c>
      <c r="D19" t="str">
        <f>INDEX('HOUSE DASHBOARD'!$I$31:$I$465,MATCH(A19,'HOUSE DASHBOARD'!$O$31:$O$465,0))</f>
        <v>R</v>
      </c>
      <c r="E19" t="str">
        <f>INDEX('HOUSE DASHBOARD'!$J$31:$J$465,MATCH(A19,'HOUSE DASHBOARD'!$O$31:$O$465,0))</f>
        <v>R</v>
      </c>
      <c r="F19" t="str">
        <f>INDEX('HOUSE DASHBOARD'!$K$31:$K$465,MATCH(A19,'HOUSE DASHBOARD'!$O$31:$O$465,0))</f>
        <v>—</v>
      </c>
      <c r="G19" s="7">
        <f>INDEX('HOUSE DASHBOARD'!$N$31:$N$465,MATCH(A19,'HOUSE DASHBOARD'!$O$31:$O$465,0))</f>
        <v>1.3999999999999988</v>
      </c>
    </row>
    <row r="20" spans="1:7" ht="19.149999999999999" customHeight="1" x14ac:dyDescent="0.2">
      <c r="A20">
        <f>14</f>
        <v>14</v>
      </c>
      <c r="B20" t="str">
        <f>INDEX('HOUSE DASHBOARD'!$A$31:$A$465,MATCH(A20,'HOUSE DASHBOARD'!$O$31:$O$465,0))</f>
        <v>ME-02</v>
      </c>
      <c r="C20" s="10">
        <f>INDEX('HOUSE DASHBOARD'!$H$31:$H$465,MATCH(A20,'HOUSE DASHBOARD'!$O$31:$O$465,0))</f>
        <v>1.5</v>
      </c>
      <c r="D20" t="str">
        <f>INDEX('HOUSE DASHBOARD'!$I$31:$I$465,MATCH(A20,'HOUSE DASHBOARD'!$O$31:$O$465,0))</f>
        <v>D</v>
      </c>
      <c r="E20" t="str">
        <f>INDEX('HOUSE DASHBOARD'!$J$31:$J$465,MATCH(A20,'HOUSE DASHBOARD'!$O$31:$O$465,0))</f>
        <v>D</v>
      </c>
      <c r="F20" t="str">
        <f>INDEX('HOUSE DASHBOARD'!$K$31:$K$465,MATCH(A20,'HOUSE DASHBOARD'!$O$31:$O$465,0))</f>
        <v>—</v>
      </c>
      <c r="G20" s="7">
        <f>INDEX('HOUSE DASHBOARD'!$N$31:$N$465,MATCH(A20,'HOUSE DASHBOARD'!$O$31:$O$465,0))</f>
        <v>1.5</v>
      </c>
    </row>
    <row r="21" spans="1:7" ht="19.149999999999999" customHeight="1" x14ac:dyDescent="0.2">
      <c r="A21">
        <f>15</f>
        <v>15</v>
      </c>
      <c r="B21" t="str">
        <f>INDEX('HOUSE DASHBOARD'!$A$31:$A$465,MATCH(A21,'HOUSE DASHBOARD'!$O$31:$O$465,0))</f>
        <v>PA-01</v>
      </c>
      <c r="C21" s="10">
        <f>INDEX('HOUSE DASHBOARD'!$H$31:$H$465,MATCH(A21,'HOUSE DASHBOARD'!$O$31:$O$465,0))</f>
        <v>-1.8399999999999894</v>
      </c>
      <c r="D21" t="str">
        <f>INDEX('HOUSE DASHBOARD'!$I$31:$I$465,MATCH(A21,'HOUSE DASHBOARD'!$O$31:$O$465,0))</f>
        <v>R</v>
      </c>
      <c r="E21" t="str">
        <f>INDEX('HOUSE DASHBOARD'!$J$31:$J$465,MATCH(A21,'HOUSE DASHBOARD'!$O$31:$O$465,0))</f>
        <v>R</v>
      </c>
      <c r="F21" t="str">
        <f>INDEX('HOUSE DASHBOARD'!$K$31:$K$465,MATCH(A21,'HOUSE DASHBOARD'!$O$31:$O$465,0))</f>
        <v>—</v>
      </c>
      <c r="G21" s="7">
        <f>INDEX('HOUSE DASHBOARD'!$N$31:$N$465,MATCH(A21,'HOUSE DASHBOARD'!$O$31:$O$465,0))</f>
        <v>1.8399999999999894</v>
      </c>
    </row>
    <row r="22" spans="1:7" ht="19.149999999999999" customHeight="1" x14ac:dyDescent="0.2">
      <c r="A22">
        <f>16</f>
        <v>16</v>
      </c>
      <c r="B22" t="str">
        <f>INDEX('HOUSE DASHBOARD'!$A$31:$A$465,MATCH(A22,'HOUSE DASHBOARD'!$O$31:$O$465,0))</f>
        <v>VA-01</v>
      </c>
      <c r="C22" s="10">
        <f>INDEX('HOUSE DASHBOARD'!$H$31:$H$465,MATCH(A22,'HOUSE DASHBOARD'!$O$31:$O$465,0))</f>
        <v>-1.8399999999999894</v>
      </c>
      <c r="D22" t="str">
        <f>INDEX('HOUSE DASHBOARD'!$I$31:$I$465,MATCH(A22,'HOUSE DASHBOARD'!$O$31:$O$465,0))</f>
        <v>R</v>
      </c>
      <c r="E22" t="str">
        <f>INDEX('HOUSE DASHBOARD'!$J$31:$J$465,MATCH(A22,'HOUSE DASHBOARD'!$O$31:$O$465,0))</f>
        <v>R</v>
      </c>
      <c r="F22" t="str">
        <f>INDEX('HOUSE DASHBOARD'!$K$31:$K$465,MATCH(A22,'HOUSE DASHBOARD'!$O$31:$O$465,0))</f>
        <v>—</v>
      </c>
      <c r="G22" s="7">
        <f>INDEX('HOUSE DASHBOARD'!$N$31:$N$465,MATCH(A22,'HOUSE DASHBOARD'!$O$31:$O$465,0))</f>
        <v>1.8399999999999894</v>
      </c>
    </row>
    <row r="23" spans="1:7" ht="19.149999999999999" customHeight="1" x14ac:dyDescent="0.2">
      <c r="A23">
        <f>17</f>
        <v>17</v>
      </c>
      <c r="B23" t="str">
        <f>INDEX('HOUSE DASHBOARD'!$A$31:$A$465,MATCH(A23,'HOUSE DASHBOARD'!$O$31:$O$465,0))</f>
        <v>FL-25</v>
      </c>
      <c r="C23" s="10">
        <f>INDEX('HOUSE DASHBOARD'!$H$31:$H$465,MATCH(A23,'HOUSE DASHBOARD'!$O$31:$O$465,0))</f>
        <v>1.8690909090909074</v>
      </c>
      <c r="D23" t="str">
        <f>INDEX('HOUSE DASHBOARD'!$I$31:$I$465,MATCH(A23,'HOUSE DASHBOARD'!$O$31:$O$465,0))</f>
        <v>D</v>
      </c>
      <c r="E23" t="str">
        <f>INDEX('HOUSE DASHBOARD'!$J$31:$J$465,MATCH(A23,'HOUSE DASHBOARD'!$O$31:$O$465,0))</f>
        <v>D</v>
      </c>
      <c r="F23" t="str">
        <f>INDEX('HOUSE DASHBOARD'!$K$31:$K$465,MATCH(A23,'HOUSE DASHBOARD'!$O$31:$O$465,0))</f>
        <v>—</v>
      </c>
      <c r="G23" s="7">
        <f>INDEX('HOUSE DASHBOARD'!$N$31:$N$465,MATCH(A23,'HOUSE DASHBOARD'!$O$31:$O$465,0))</f>
        <v>1.8690909090909074</v>
      </c>
    </row>
    <row r="24" spans="1:7" ht="19.149999999999999" customHeight="1" x14ac:dyDescent="0.2">
      <c r="A24">
        <f>18</f>
        <v>18</v>
      </c>
      <c r="B24" t="str">
        <f>INDEX('HOUSE DASHBOARD'!$A$31:$A$465,MATCH(A24,'HOUSE DASHBOARD'!$O$31:$O$465,0))</f>
        <v>FL-07</v>
      </c>
      <c r="C24" s="10">
        <f>INDEX('HOUSE DASHBOARD'!$H$31:$H$465,MATCH(A24,'HOUSE DASHBOARD'!$O$31:$O$465,0))</f>
        <v>-1.9299999999999997</v>
      </c>
      <c r="D24" t="str">
        <f>INDEX('HOUSE DASHBOARD'!$I$31:$I$465,MATCH(A24,'HOUSE DASHBOARD'!$O$31:$O$465,0))</f>
        <v>R</v>
      </c>
      <c r="E24" t="str">
        <f>INDEX('HOUSE DASHBOARD'!$J$31:$J$465,MATCH(A24,'HOUSE DASHBOARD'!$O$31:$O$465,0))</f>
        <v>R</v>
      </c>
      <c r="F24" t="str">
        <f>INDEX('HOUSE DASHBOARD'!$K$31:$K$465,MATCH(A24,'HOUSE DASHBOARD'!$O$31:$O$465,0))</f>
        <v>—</v>
      </c>
      <c r="G24" s="7">
        <f>INDEX('HOUSE DASHBOARD'!$N$31:$N$465,MATCH(A24,'HOUSE DASHBOARD'!$O$31:$O$465,0))</f>
        <v>1.9299999999999997</v>
      </c>
    </row>
    <row r="25" spans="1:7" ht="19.149999999999999" customHeight="1" x14ac:dyDescent="0.2">
      <c r="A25">
        <f>19</f>
        <v>19</v>
      </c>
      <c r="B25" t="str">
        <f>INDEX('HOUSE DASHBOARD'!$A$31:$A$465,MATCH(A25,'HOUSE DASHBOARD'!$O$31:$O$465,0))</f>
        <v>AZ-02</v>
      </c>
      <c r="C25" s="10">
        <f>INDEX('HOUSE DASHBOARD'!$H$31:$H$465,MATCH(A25,'HOUSE DASHBOARD'!$O$31:$O$465,0))</f>
        <v>2</v>
      </c>
      <c r="D25" t="str">
        <f>INDEX('HOUSE DASHBOARD'!$I$31:$I$465,MATCH(A25,'HOUSE DASHBOARD'!$O$31:$O$465,0))</f>
        <v>D</v>
      </c>
      <c r="E25" t="str">
        <f>INDEX('HOUSE DASHBOARD'!$J$31:$J$465,MATCH(A25,'HOUSE DASHBOARD'!$O$31:$O$465,0))</f>
        <v>R</v>
      </c>
      <c r="F25" t="str">
        <f>INDEX('HOUSE DASHBOARD'!$K$31:$K$465,MATCH(A25,'HOUSE DASHBOARD'!$O$31:$O$465,0))</f>
        <v>R → D</v>
      </c>
      <c r="G25" s="7">
        <f>INDEX('HOUSE DASHBOARD'!$N$31:$N$465,MATCH(A25,'HOUSE DASHBOARD'!$O$31:$O$465,0))</f>
        <v>2</v>
      </c>
    </row>
    <row r="26" spans="1:7" ht="19.149999999999999" customHeight="1" x14ac:dyDescent="0.2">
      <c r="A26">
        <f>20</f>
        <v>20</v>
      </c>
      <c r="B26" t="str">
        <f>INDEX('HOUSE DASHBOARD'!$A$31:$A$465,MATCH(A26,'HOUSE DASHBOARD'!$O$31:$O$465,0))</f>
        <v>AZ-08</v>
      </c>
      <c r="C26" s="10">
        <f>INDEX('HOUSE DASHBOARD'!$H$31:$H$465,MATCH(A26,'HOUSE DASHBOARD'!$O$31:$O$465,0))</f>
        <v>-2.039999999999992</v>
      </c>
      <c r="D26" t="str">
        <f>INDEX('HOUSE DASHBOARD'!$I$31:$I$465,MATCH(A26,'HOUSE DASHBOARD'!$O$31:$O$465,0))</f>
        <v>R</v>
      </c>
      <c r="E26" t="str">
        <f>INDEX('HOUSE DASHBOARD'!$J$31:$J$465,MATCH(A26,'HOUSE DASHBOARD'!$O$31:$O$465,0))</f>
        <v>R</v>
      </c>
      <c r="F26" t="str">
        <f>INDEX('HOUSE DASHBOARD'!$K$31:$K$465,MATCH(A26,'HOUSE DASHBOARD'!$O$31:$O$465,0))</f>
        <v>—</v>
      </c>
      <c r="G26" s="7">
        <f>INDEX('HOUSE DASHBOARD'!$N$31:$N$465,MATCH(A26,'HOUSE DASHBOARD'!$O$31:$O$465,0))</f>
        <v>2.039999999999992</v>
      </c>
    </row>
    <row r="27" spans="1:7" ht="19.149999999999999" customHeight="1" x14ac:dyDescent="0.2">
      <c r="A27">
        <f>21</f>
        <v>21</v>
      </c>
      <c r="B27" t="str">
        <f>INDEX('HOUSE DASHBOARD'!$A$31:$A$465,MATCH(A27,'HOUSE DASHBOARD'!$O$31:$O$465,0))</f>
        <v>FL-13</v>
      </c>
      <c r="C27" s="10">
        <f>INDEX('HOUSE DASHBOARD'!$H$31:$H$465,MATCH(A27,'HOUSE DASHBOARD'!$O$31:$O$465,0))</f>
        <v>-2.1713131313131342</v>
      </c>
      <c r="D27" t="str">
        <f>INDEX('HOUSE DASHBOARD'!$I$31:$I$465,MATCH(A27,'HOUSE DASHBOARD'!$O$31:$O$465,0))</f>
        <v>R</v>
      </c>
      <c r="E27" t="str">
        <f>INDEX('HOUSE DASHBOARD'!$J$31:$J$465,MATCH(A27,'HOUSE DASHBOARD'!$O$31:$O$465,0))</f>
        <v>R</v>
      </c>
      <c r="F27" t="str">
        <f>INDEX('HOUSE DASHBOARD'!$K$31:$K$465,MATCH(A27,'HOUSE DASHBOARD'!$O$31:$O$465,0))</f>
        <v>—</v>
      </c>
      <c r="G27" s="7">
        <f>INDEX('HOUSE DASHBOARD'!$N$31:$N$465,MATCH(A27,'HOUSE DASHBOARD'!$O$31:$O$465,0))</f>
        <v>2.1713131313131342</v>
      </c>
    </row>
    <row r="28" spans="1:7" ht="19.149999999999999" customHeight="1" x14ac:dyDescent="0.2">
      <c r="A28">
        <f>22</f>
        <v>22</v>
      </c>
      <c r="B28" t="str">
        <f>INDEX('HOUSE DASHBOARD'!$A$31:$A$465,MATCH(A28,'HOUSE DASHBOARD'!$O$31:$O$465,0))</f>
        <v>TX-15</v>
      </c>
      <c r="C28" s="10">
        <f>INDEX('HOUSE DASHBOARD'!$H$31:$H$465,MATCH(A28,'HOUSE DASHBOARD'!$O$31:$O$465,0))</f>
        <v>-2.2399999999999949</v>
      </c>
      <c r="D28" t="str">
        <f>INDEX('HOUSE DASHBOARD'!$I$31:$I$465,MATCH(A28,'HOUSE DASHBOARD'!$O$31:$O$465,0))</f>
        <v>R</v>
      </c>
      <c r="E28" t="str">
        <f>INDEX('HOUSE DASHBOARD'!$J$31:$J$465,MATCH(A28,'HOUSE DASHBOARD'!$O$31:$O$465,0))</f>
        <v>R</v>
      </c>
      <c r="F28" t="str">
        <f>INDEX('HOUSE DASHBOARD'!$K$31:$K$465,MATCH(A28,'HOUSE DASHBOARD'!$O$31:$O$465,0))</f>
        <v>—</v>
      </c>
      <c r="G28" s="7">
        <f>INDEX('HOUSE DASHBOARD'!$N$31:$N$465,MATCH(A28,'HOUSE DASHBOARD'!$O$31:$O$465,0))</f>
        <v>2.2399999999999949</v>
      </c>
    </row>
    <row r="29" spans="1:7" ht="19.149999999999999" customHeight="1" x14ac:dyDescent="0.2">
      <c r="A29">
        <f>23</f>
        <v>23</v>
      </c>
      <c r="B29" t="str">
        <f>INDEX('HOUSE DASHBOARD'!$A$31:$A$465,MATCH(A29,'HOUSE DASHBOARD'!$O$31:$O$465,0))</f>
        <v>OH-15</v>
      </c>
      <c r="C29" s="10">
        <f>INDEX('HOUSE DASHBOARD'!$H$31:$H$465,MATCH(A29,'HOUSE DASHBOARD'!$O$31:$O$465,0))</f>
        <v>-2.3533133133133077</v>
      </c>
      <c r="D29" t="str">
        <f>INDEX('HOUSE DASHBOARD'!$I$31:$I$465,MATCH(A29,'HOUSE DASHBOARD'!$O$31:$O$465,0))</f>
        <v>R</v>
      </c>
      <c r="E29" t="str">
        <f>INDEX('HOUSE DASHBOARD'!$J$31:$J$465,MATCH(A29,'HOUSE DASHBOARD'!$O$31:$O$465,0))</f>
        <v>R</v>
      </c>
      <c r="F29" t="str">
        <f>INDEX('HOUSE DASHBOARD'!$K$31:$K$465,MATCH(A29,'HOUSE DASHBOARD'!$O$31:$O$465,0))</f>
        <v>—</v>
      </c>
      <c r="G29" s="7">
        <f>INDEX('HOUSE DASHBOARD'!$N$31:$N$465,MATCH(A29,'HOUSE DASHBOARD'!$O$31:$O$465,0))</f>
        <v>2.3533133133133077</v>
      </c>
    </row>
    <row r="30" spans="1:7" ht="19.149999999999999" customHeight="1" x14ac:dyDescent="0.2">
      <c r="A30">
        <f>24</f>
        <v>24</v>
      </c>
      <c r="B30" t="str">
        <f>INDEX('HOUSE DASHBOARD'!$A$31:$A$465,MATCH(A30,'HOUSE DASHBOARD'!$O$31:$O$465,0))</f>
        <v>TX-34</v>
      </c>
      <c r="C30" s="10">
        <f>INDEX('HOUSE DASHBOARD'!$H$31:$H$465,MATCH(A30,'HOUSE DASHBOARD'!$O$31:$O$465,0))</f>
        <v>2.3599999999999994</v>
      </c>
      <c r="D30" t="str">
        <f>INDEX('HOUSE DASHBOARD'!$I$31:$I$465,MATCH(A30,'HOUSE DASHBOARD'!$O$31:$O$465,0))</f>
        <v>D</v>
      </c>
      <c r="E30" t="str">
        <f>INDEX('HOUSE DASHBOARD'!$J$31:$J$465,MATCH(A30,'HOUSE DASHBOARD'!$O$31:$O$465,0))</f>
        <v>D</v>
      </c>
      <c r="F30" t="str">
        <f>INDEX('HOUSE DASHBOARD'!$K$31:$K$465,MATCH(A30,'HOUSE DASHBOARD'!$O$31:$O$465,0))</f>
        <v>—</v>
      </c>
      <c r="G30" s="7">
        <f>INDEX('HOUSE DASHBOARD'!$N$31:$N$465,MATCH(A30,'HOUSE DASHBOARD'!$O$31:$O$465,0))</f>
        <v>2.3599999999999994</v>
      </c>
    </row>
    <row r="31" spans="1:7" ht="19.149999999999999" customHeight="1" x14ac:dyDescent="0.2">
      <c r="A31">
        <f>25</f>
        <v>25</v>
      </c>
      <c r="B31" t="str">
        <f>INDEX('HOUSE DASHBOARD'!$A$31:$A$465,MATCH(A31,'HOUSE DASHBOARD'!$O$31:$O$465,0))</f>
        <v>SC-01</v>
      </c>
      <c r="C31" s="10">
        <f>INDEX('HOUSE DASHBOARD'!$H$31:$H$465,MATCH(A31,'HOUSE DASHBOARD'!$O$31:$O$465,0))</f>
        <v>-2.4599999999999991</v>
      </c>
      <c r="D31" t="str">
        <f>INDEX('HOUSE DASHBOARD'!$I$31:$I$465,MATCH(A31,'HOUSE DASHBOARD'!$O$31:$O$465,0))</f>
        <v>R</v>
      </c>
      <c r="E31" t="str">
        <f>INDEX('HOUSE DASHBOARD'!$J$31:$J$465,MATCH(A31,'HOUSE DASHBOARD'!$O$31:$O$465,0))</f>
        <v>R</v>
      </c>
      <c r="F31" t="str">
        <f>INDEX('HOUSE DASHBOARD'!$K$31:$K$465,MATCH(A31,'HOUSE DASHBOARD'!$O$31:$O$465,0))</f>
        <v>—</v>
      </c>
      <c r="G31" s="7">
        <f>INDEX('HOUSE DASHBOARD'!$N$31:$N$465,MATCH(A31,'HOUSE DASHBOARD'!$O$31:$O$465,0))</f>
        <v>2.4599999999999991</v>
      </c>
    </row>
    <row r="35" spans="1:8" ht="24" customHeight="1" x14ac:dyDescent="0.2">
      <c r="A35" s="13" t="s">
        <v>661</v>
      </c>
      <c r="B35" s="13"/>
      <c r="C35" s="13"/>
      <c r="D35" s="13"/>
      <c r="E35" s="13"/>
      <c r="F35" s="13"/>
      <c r="G35" s="13"/>
      <c r="H35" s="13"/>
    </row>
    <row r="36" spans="1:8" ht="22.15" customHeight="1" x14ac:dyDescent="0.2">
      <c r="A36" s="73" t="s">
        <v>63</v>
      </c>
      <c r="B36" s="73" t="s">
        <v>128</v>
      </c>
      <c r="C36" s="73" t="s">
        <v>656</v>
      </c>
      <c r="D36" s="73" t="s">
        <v>657</v>
      </c>
      <c r="E36" s="73" t="s">
        <v>658</v>
      </c>
      <c r="F36" s="73" t="s">
        <v>659</v>
      </c>
      <c r="G36" s="73" t="s">
        <v>660</v>
      </c>
    </row>
    <row r="37" spans="1:8" ht="19.149999999999999" customHeight="1" x14ac:dyDescent="0.2">
      <c r="A37">
        <f>1</f>
        <v>1</v>
      </c>
      <c r="B37" t="str">
        <f>INDEX('SENATE DASHBOARD'!$A$32:$A$66,MATCH(A37,'SENATE DASHBOARD'!$O$32:$O$66,0))</f>
        <v>Alaska</v>
      </c>
      <c r="C37" s="10">
        <f>INDEX('SENATE DASHBOARD'!$H$32:$H$66,MATCH(A37,'SENATE DASHBOARD'!$O$32:$O$66,0))</f>
        <v>1.0000000000000004</v>
      </c>
      <c r="D37" t="str">
        <f>INDEX('SENATE DASHBOARD'!$I$32:$I$66,MATCH(A37,'SENATE DASHBOARD'!$O$32:$O$66,0))</f>
        <v>D</v>
      </c>
      <c r="E37" t="str">
        <f>INDEX('SENATE DASHBOARD'!$J$32:$J$66,MATCH(A37,'SENATE DASHBOARD'!$O$32:$O$66,0))</f>
        <v>R</v>
      </c>
      <c r="F37" t="str">
        <f>INDEX('SENATE DASHBOARD'!$K$32:$K$66,MATCH(A37,'SENATE DASHBOARD'!$O$32:$O$66,0))</f>
        <v>R → D</v>
      </c>
      <c r="G37" s="7">
        <f>INDEX('SENATE DASHBOARD'!$N$32:$N$66,MATCH(A37,'SENATE DASHBOARD'!$O$32:$O$66,0))</f>
        <v>1.0000000000000004</v>
      </c>
    </row>
    <row r="38" spans="1:8" ht="19.149999999999999" customHeight="1" x14ac:dyDescent="0.2">
      <c r="A38">
        <f>2</f>
        <v>2</v>
      </c>
      <c r="B38" t="str">
        <f>INDEX('SENATE DASHBOARD'!$A$32:$A$66,MATCH(A38,'SENATE DASHBOARD'!$O$32:$O$66,0))</f>
        <v>Maine</v>
      </c>
      <c r="C38" s="10">
        <f>INDEX('SENATE DASHBOARD'!$H$32:$H$66,MATCH(A38,'SENATE DASHBOARD'!$O$32:$O$66,0))</f>
        <v>2.791764705882354</v>
      </c>
      <c r="D38" t="str">
        <f>INDEX('SENATE DASHBOARD'!$I$32:$I$66,MATCH(A38,'SENATE DASHBOARD'!$O$32:$O$66,0))</f>
        <v>D</v>
      </c>
      <c r="E38" t="str">
        <f>INDEX('SENATE DASHBOARD'!$J$32:$J$66,MATCH(A38,'SENATE DASHBOARD'!$O$32:$O$66,0))</f>
        <v>R</v>
      </c>
      <c r="F38" t="str">
        <f>INDEX('SENATE DASHBOARD'!$K$32:$K$66,MATCH(A38,'SENATE DASHBOARD'!$O$32:$O$66,0))</f>
        <v>R → D</v>
      </c>
      <c r="G38" s="7">
        <f>INDEX('SENATE DASHBOARD'!$N$32:$N$66,MATCH(A38,'SENATE DASHBOARD'!$O$32:$O$66,0))</f>
        <v>2.791764705882354</v>
      </c>
    </row>
    <row r="39" spans="1:8" ht="19.149999999999999" customHeight="1" x14ac:dyDescent="0.2">
      <c r="A39">
        <f>3</f>
        <v>3</v>
      </c>
      <c r="B39" t="str">
        <f>INDEX('SENATE DASHBOARD'!$A$32:$A$66,MATCH(A39,'SENATE DASHBOARD'!$O$32:$O$66,0))</f>
        <v>Nebraska</v>
      </c>
      <c r="C39" s="10">
        <f>INDEX('SENATE DASHBOARD'!$H$32:$H$66,MATCH(A39,'SENATE DASHBOARD'!$O$32:$O$66,0))</f>
        <v>3.1953120417419782</v>
      </c>
      <c r="D39" t="str">
        <f>INDEX('SENATE DASHBOARD'!$I$32:$I$66,MATCH(A39,'SENATE DASHBOARD'!$O$32:$O$66,0))</f>
        <v>D</v>
      </c>
      <c r="E39" t="str">
        <f>INDEX('SENATE DASHBOARD'!$J$32:$J$66,MATCH(A39,'SENATE DASHBOARD'!$O$32:$O$66,0))</f>
        <v>R</v>
      </c>
      <c r="F39" t="str">
        <f>INDEX('SENATE DASHBOARD'!$K$32:$K$66,MATCH(A39,'SENATE DASHBOARD'!$O$32:$O$66,0))</f>
        <v>R → D</v>
      </c>
      <c r="G39" s="7">
        <f>INDEX('SENATE DASHBOARD'!$N$32:$N$66,MATCH(A39,'SENATE DASHBOARD'!$O$32:$O$66,0))</f>
        <v>3.1953120417419782</v>
      </c>
    </row>
    <row r="40" spans="1:8" ht="19.149999999999999" customHeight="1" x14ac:dyDescent="0.2">
      <c r="A40">
        <f>4</f>
        <v>4</v>
      </c>
      <c r="B40" t="str">
        <f>INDEX('SENATE DASHBOARD'!$A$32:$A$66,MATCH(A40,'SENATE DASHBOARD'!$O$32:$O$66,0))</f>
        <v>Florida</v>
      </c>
      <c r="C40" s="10">
        <f>INDEX('SENATE DASHBOARD'!$H$32:$H$66,MATCH(A40,'SENATE DASHBOARD'!$O$32:$O$66,0))</f>
        <v>-3.2299999999999986</v>
      </c>
      <c r="D40" t="str">
        <f>INDEX('SENATE DASHBOARD'!$I$32:$I$66,MATCH(A40,'SENATE DASHBOARD'!$O$32:$O$66,0))</f>
        <v>R</v>
      </c>
      <c r="E40" t="str">
        <f>INDEX('SENATE DASHBOARD'!$J$32:$J$66,MATCH(A40,'SENATE DASHBOARD'!$O$32:$O$66,0))</f>
        <v>R</v>
      </c>
      <c r="F40" t="str">
        <f>INDEX('SENATE DASHBOARD'!$K$32:$K$66,MATCH(A40,'SENATE DASHBOARD'!$O$32:$O$66,0))</f>
        <v>—</v>
      </c>
      <c r="G40" s="7">
        <f>INDEX('SENATE DASHBOARD'!$N$32:$N$66,MATCH(A40,'SENATE DASHBOARD'!$O$32:$O$66,0))</f>
        <v>3.2299999999999986</v>
      </c>
    </row>
    <row r="41" spans="1:8" ht="19.149999999999999" customHeight="1" x14ac:dyDescent="0.2">
      <c r="A41">
        <f>5</f>
        <v>5</v>
      </c>
      <c r="B41" t="str">
        <f>INDEX('SENATE DASHBOARD'!$A$32:$A$66,MATCH(A41,'SENATE DASHBOARD'!$O$32:$O$66,0))</f>
        <v>Iowa</v>
      </c>
      <c r="C41" s="10">
        <f>INDEX('SENATE DASHBOARD'!$H$32:$H$66,MATCH(A41,'SENATE DASHBOARD'!$O$32:$O$66,0))</f>
        <v>-3.34</v>
      </c>
      <c r="D41" t="str">
        <f>INDEX('SENATE DASHBOARD'!$I$32:$I$66,MATCH(A41,'SENATE DASHBOARD'!$O$32:$O$66,0))</f>
        <v>R</v>
      </c>
      <c r="E41" t="str">
        <f>INDEX('SENATE DASHBOARD'!$J$32:$J$66,MATCH(A41,'SENATE DASHBOARD'!$O$32:$O$66,0))</f>
        <v>R</v>
      </c>
      <c r="F41" t="str">
        <f>INDEX('SENATE DASHBOARD'!$K$32:$K$66,MATCH(A41,'SENATE DASHBOARD'!$O$32:$O$66,0))</f>
        <v>—</v>
      </c>
      <c r="G41" s="7">
        <f>INDEX('SENATE DASHBOARD'!$N$32:$N$66,MATCH(A41,'SENATE DASHBOARD'!$O$32:$O$66,0))</f>
        <v>3.34</v>
      </c>
    </row>
    <row r="42" spans="1:8" ht="19.149999999999999" customHeight="1" x14ac:dyDescent="0.2">
      <c r="A42">
        <f>6</f>
        <v>6</v>
      </c>
      <c r="B42" t="str">
        <f>INDEX('SENATE DASHBOARD'!$A$32:$A$66,MATCH(A42,'SENATE DASHBOARD'!$O$32:$O$66,0))</f>
        <v>Texas</v>
      </c>
      <c r="C42" s="10">
        <f>INDEX('SENATE DASHBOARD'!$H$32:$H$66,MATCH(A42,'SENATE DASHBOARD'!$O$32:$O$66,0))</f>
        <v>-3.8099999999999987</v>
      </c>
      <c r="D42" t="str">
        <f>INDEX('SENATE DASHBOARD'!$I$32:$I$66,MATCH(A42,'SENATE DASHBOARD'!$O$32:$O$66,0))</f>
        <v>R</v>
      </c>
      <c r="E42" t="str">
        <f>INDEX('SENATE DASHBOARD'!$J$32:$J$66,MATCH(A42,'SENATE DASHBOARD'!$O$32:$O$66,0))</f>
        <v>R</v>
      </c>
      <c r="F42" t="str">
        <f>INDEX('SENATE DASHBOARD'!$K$32:$K$66,MATCH(A42,'SENATE DASHBOARD'!$O$32:$O$66,0))</f>
        <v>—</v>
      </c>
      <c r="G42" s="7">
        <f>INDEX('SENATE DASHBOARD'!$N$32:$N$66,MATCH(A42,'SENATE DASHBOARD'!$O$32:$O$66,0))</f>
        <v>3.8099999999999987</v>
      </c>
    </row>
    <row r="43" spans="1:8" ht="19.149999999999999" customHeight="1" x14ac:dyDescent="0.2">
      <c r="A43">
        <f>7</f>
        <v>7</v>
      </c>
      <c r="B43" t="str">
        <f>INDEX('SENATE DASHBOARD'!$A$32:$A$66,MATCH(A43,'SENATE DASHBOARD'!$O$32:$O$66,0))</f>
        <v>Georgia</v>
      </c>
      <c r="C43" s="10">
        <f>INDEX('SENATE DASHBOARD'!$H$32:$H$66,MATCH(A43,'SENATE DASHBOARD'!$O$32:$O$66,0))</f>
        <v>5.1751000000000005</v>
      </c>
      <c r="D43" t="str">
        <f>INDEX('SENATE DASHBOARD'!$I$32:$I$66,MATCH(A43,'SENATE DASHBOARD'!$O$32:$O$66,0))</f>
        <v>D</v>
      </c>
      <c r="E43" t="str">
        <f>INDEX('SENATE DASHBOARD'!$J$32:$J$66,MATCH(A43,'SENATE DASHBOARD'!$O$32:$O$66,0))</f>
        <v>D</v>
      </c>
      <c r="F43" t="str">
        <f>INDEX('SENATE DASHBOARD'!$K$32:$K$66,MATCH(A43,'SENATE DASHBOARD'!$O$32:$O$66,0))</f>
        <v>—</v>
      </c>
      <c r="G43" s="7">
        <f>INDEX('SENATE DASHBOARD'!$N$32:$N$66,MATCH(A43,'SENATE DASHBOARD'!$O$32:$O$66,0))</f>
        <v>5.1751000000000005</v>
      </c>
    </row>
    <row r="44" spans="1:8" ht="19.149999999999999" customHeight="1" x14ac:dyDescent="0.2">
      <c r="A44">
        <f>8</f>
        <v>8</v>
      </c>
      <c r="B44" t="str">
        <f>INDEX('SENATE DASHBOARD'!$A$32:$A$66,MATCH(A44,'SENATE DASHBOARD'!$O$32:$O$66,0))</f>
        <v>Mississippi</v>
      </c>
      <c r="C44" s="10">
        <f>INDEX('SENATE DASHBOARD'!$H$32:$H$66,MATCH(A44,'SENATE DASHBOARD'!$O$32:$O$66,0))</f>
        <v>-6.05</v>
      </c>
      <c r="D44" t="str">
        <f>INDEX('SENATE DASHBOARD'!$I$32:$I$66,MATCH(A44,'SENATE DASHBOARD'!$O$32:$O$66,0))</f>
        <v>R</v>
      </c>
      <c r="E44" t="str">
        <f>INDEX('SENATE DASHBOARD'!$J$32:$J$66,MATCH(A44,'SENATE DASHBOARD'!$O$32:$O$66,0))</f>
        <v>R</v>
      </c>
      <c r="F44" t="str">
        <f>INDEX('SENATE DASHBOARD'!$K$32:$K$66,MATCH(A44,'SENATE DASHBOARD'!$O$32:$O$66,0))</f>
        <v>—</v>
      </c>
      <c r="G44" s="7">
        <f>INDEX('SENATE DASHBOARD'!$N$32:$N$66,MATCH(A44,'SENATE DASHBOARD'!$O$32:$O$66,0))</f>
        <v>6.05</v>
      </c>
    </row>
    <row r="45" spans="1:8" ht="19.149999999999999" customHeight="1" x14ac:dyDescent="0.2">
      <c r="A45">
        <f>9</f>
        <v>9</v>
      </c>
      <c r="B45" t="str">
        <f>INDEX('SENATE DASHBOARD'!$A$32:$A$66,MATCH(A45,'SENATE DASHBOARD'!$O$32:$O$66,0))</f>
        <v>Ohio</v>
      </c>
      <c r="C45" s="10">
        <f>INDEX('SENATE DASHBOARD'!$H$32:$H$66,MATCH(A45,'SENATE DASHBOARD'!$O$32:$O$66,0))</f>
        <v>6.2512839417875341</v>
      </c>
      <c r="D45" t="str">
        <f>INDEX('SENATE DASHBOARD'!$I$32:$I$66,MATCH(A45,'SENATE DASHBOARD'!$O$32:$O$66,0))</f>
        <v>D</v>
      </c>
      <c r="E45" t="str">
        <f>INDEX('SENATE DASHBOARD'!$J$32:$J$66,MATCH(A45,'SENATE DASHBOARD'!$O$32:$O$66,0))</f>
        <v>R</v>
      </c>
      <c r="F45" t="str">
        <f>INDEX('SENATE DASHBOARD'!$K$32:$K$66,MATCH(A45,'SENATE DASHBOARD'!$O$32:$O$66,0))</f>
        <v>R → D</v>
      </c>
      <c r="G45" s="7">
        <f>INDEX('SENATE DASHBOARD'!$N$32:$N$66,MATCH(A45,'SENATE DASHBOARD'!$O$32:$O$66,0))</f>
        <v>6.2512839417875341</v>
      </c>
    </row>
    <row r="46" spans="1:8" ht="19.149999999999999" customHeight="1" x14ac:dyDescent="0.2">
      <c r="A46">
        <f>10</f>
        <v>10</v>
      </c>
      <c r="B46" t="str">
        <f>INDEX('SENATE DASHBOARD'!$A$32:$A$66,MATCH(A46,'SENATE DASHBOARD'!$O$32:$O$66,0))</f>
        <v>North Carolina</v>
      </c>
      <c r="C46" s="10">
        <f>INDEX('SENATE DASHBOARD'!$H$32:$H$66,MATCH(A46,'SENATE DASHBOARD'!$O$32:$O$66,0))</f>
        <v>6.660000000000001</v>
      </c>
      <c r="D46" t="str">
        <f>INDEX('SENATE DASHBOARD'!$I$32:$I$66,MATCH(A46,'SENATE DASHBOARD'!$O$32:$O$66,0))</f>
        <v>D</v>
      </c>
      <c r="E46" t="str">
        <f>INDEX('SENATE DASHBOARD'!$J$32:$J$66,MATCH(A46,'SENATE DASHBOARD'!$O$32:$O$66,0))</f>
        <v>R</v>
      </c>
      <c r="F46" t="str">
        <f>INDEX('SENATE DASHBOARD'!$K$32:$K$66,MATCH(A46,'SENATE DASHBOARD'!$O$32:$O$66,0))</f>
        <v>R → D</v>
      </c>
      <c r="G46" s="7">
        <f>INDEX('SENATE DASHBOARD'!$N$32:$N$66,MATCH(A46,'SENATE DASHBOARD'!$O$32:$O$66,0))</f>
        <v>6.660000000000001</v>
      </c>
    </row>
    <row r="47" spans="1:8" ht="19.149999999999999" customHeight="1" x14ac:dyDescent="0.2">
      <c r="A47">
        <f>11</f>
        <v>11</v>
      </c>
      <c r="B47" t="str">
        <f>INDEX('SENATE DASHBOARD'!$A$32:$A$66,MATCH(A47,'SENATE DASHBOARD'!$O$32:$O$66,0))</f>
        <v>Kansas</v>
      </c>
      <c r="C47" s="10">
        <f>INDEX('SENATE DASHBOARD'!$H$32:$H$66,MATCH(A47,'SENATE DASHBOARD'!$O$32:$O$66,0))</f>
        <v>-7.45</v>
      </c>
      <c r="D47" t="str">
        <f>INDEX('SENATE DASHBOARD'!$I$32:$I$66,MATCH(A47,'SENATE DASHBOARD'!$O$32:$O$66,0))</f>
        <v>R</v>
      </c>
      <c r="E47" t="str">
        <f>INDEX('SENATE DASHBOARD'!$J$32:$J$66,MATCH(A47,'SENATE DASHBOARD'!$O$32:$O$66,0))</f>
        <v>R</v>
      </c>
      <c r="F47" t="str">
        <f>INDEX('SENATE DASHBOARD'!$K$32:$K$66,MATCH(A47,'SENATE DASHBOARD'!$O$32:$O$66,0))</f>
        <v>—</v>
      </c>
      <c r="G47" s="7">
        <f>INDEX('SENATE DASHBOARD'!$N$32:$N$66,MATCH(A47,'SENATE DASHBOARD'!$O$32:$O$66,0))</f>
        <v>7.45</v>
      </c>
    </row>
    <row r="48" spans="1:8" ht="19.149999999999999" customHeight="1" x14ac:dyDescent="0.2">
      <c r="A48">
        <f>12</f>
        <v>12</v>
      </c>
      <c r="B48" t="str">
        <f>INDEX('SENATE DASHBOARD'!$A$32:$A$66,MATCH(A48,'SENATE DASHBOARD'!$O$32:$O$66,0))</f>
        <v>South Carolina</v>
      </c>
      <c r="C48" s="10">
        <f>INDEX('SENATE DASHBOARD'!$H$32:$H$66,MATCH(A48,'SENATE DASHBOARD'!$O$32:$O$66,0))</f>
        <v>-8</v>
      </c>
      <c r="D48" t="str">
        <f>INDEX('SENATE DASHBOARD'!$I$32:$I$66,MATCH(A48,'SENATE DASHBOARD'!$O$32:$O$66,0))</f>
        <v>R</v>
      </c>
      <c r="E48" t="str">
        <f>INDEX('SENATE DASHBOARD'!$J$32:$J$66,MATCH(A48,'SENATE DASHBOARD'!$O$32:$O$66,0))</f>
        <v>R</v>
      </c>
      <c r="F48" t="str">
        <f>INDEX('SENATE DASHBOARD'!$K$32:$K$66,MATCH(A48,'SENATE DASHBOARD'!$O$32:$O$66,0))</f>
        <v>—</v>
      </c>
      <c r="G48" s="7">
        <f>INDEX('SENATE DASHBOARD'!$N$32:$N$66,MATCH(A48,'SENATE DASHBOARD'!$O$32:$O$66,0))</f>
        <v>8</v>
      </c>
    </row>
    <row r="49" spans="1:8" ht="19.149999999999999" customHeight="1" x14ac:dyDescent="0.2">
      <c r="A49">
        <f>13</f>
        <v>13</v>
      </c>
      <c r="B49" t="str">
        <f>INDEX('SENATE DASHBOARD'!$A$32:$A$66,MATCH(A49,'SENATE DASHBOARD'!$O$32:$O$66,0))</f>
        <v>Michigan</v>
      </c>
      <c r="C49" s="10">
        <f>INDEX('SENATE DASHBOARD'!$H$32:$H$66,MATCH(A49,'SENATE DASHBOARD'!$O$32:$O$66,0))</f>
        <v>8.4500000000000011</v>
      </c>
      <c r="D49" t="str">
        <f>INDEX('SENATE DASHBOARD'!$I$32:$I$66,MATCH(A49,'SENATE DASHBOARD'!$O$32:$O$66,0))</f>
        <v>D</v>
      </c>
      <c r="E49" t="str">
        <f>INDEX('SENATE DASHBOARD'!$J$32:$J$66,MATCH(A49,'SENATE DASHBOARD'!$O$32:$O$66,0))</f>
        <v>D</v>
      </c>
      <c r="F49" t="str">
        <f>INDEX('SENATE DASHBOARD'!$K$32:$K$66,MATCH(A49,'SENATE DASHBOARD'!$O$32:$O$66,0))</f>
        <v>—</v>
      </c>
      <c r="G49" s="7">
        <f>INDEX('SENATE DASHBOARD'!$N$32:$N$66,MATCH(A49,'SENATE DASHBOARD'!$O$32:$O$66,0))</f>
        <v>8.4500000000000011</v>
      </c>
    </row>
    <row r="50" spans="1:8" ht="19.149999999999999" customHeight="1" x14ac:dyDescent="0.2">
      <c r="A50">
        <f>14</f>
        <v>14</v>
      </c>
      <c r="B50" t="str">
        <f>INDEX('SENATE DASHBOARD'!$A$32:$A$66,MATCH(A50,'SENATE DASHBOARD'!$O$32:$O$66,0))</f>
        <v>New Mexico</v>
      </c>
      <c r="C50" s="10">
        <f>INDEX('SENATE DASHBOARD'!$H$32:$H$66,MATCH(A50,'SENATE DASHBOARD'!$O$32:$O$66,0))</f>
        <v>10.049999999999999</v>
      </c>
      <c r="D50" t="str">
        <f>INDEX('SENATE DASHBOARD'!$I$32:$I$66,MATCH(A50,'SENATE DASHBOARD'!$O$32:$O$66,0))</f>
        <v>D</v>
      </c>
      <c r="E50" t="str">
        <f>INDEX('SENATE DASHBOARD'!$J$32:$J$66,MATCH(A50,'SENATE DASHBOARD'!$O$32:$O$66,0))</f>
        <v>D</v>
      </c>
      <c r="F50" t="str">
        <f>INDEX('SENATE DASHBOARD'!$K$32:$K$66,MATCH(A50,'SENATE DASHBOARD'!$O$32:$O$66,0))</f>
        <v>—</v>
      </c>
      <c r="G50" s="7">
        <f>INDEX('SENATE DASHBOARD'!$N$32:$N$66,MATCH(A50,'SENATE DASHBOARD'!$O$32:$O$66,0))</f>
        <v>10.049999999999999</v>
      </c>
    </row>
    <row r="51" spans="1:8" ht="19.149999999999999" customHeight="1" x14ac:dyDescent="0.2">
      <c r="A51">
        <f>15</f>
        <v>15</v>
      </c>
      <c r="B51" t="str">
        <f>INDEX('SENATE DASHBOARD'!$A$32:$A$66,MATCH(A51,'SENATE DASHBOARD'!$O$32:$O$66,0))</f>
        <v>Montana</v>
      </c>
      <c r="C51" s="10">
        <f>INDEX('SENATE DASHBOARD'!$H$32:$H$66,MATCH(A51,'SENATE DASHBOARD'!$O$32:$O$66,0))</f>
        <v>-10.059999999999999</v>
      </c>
      <c r="D51" t="str">
        <f>INDEX('SENATE DASHBOARD'!$I$32:$I$66,MATCH(A51,'SENATE DASHBOARD'!$O$32:$O$66,0))</f>
        <v>R</v>
      </c>
      <c r="E51" t="str">
        <f>INDEX('SENATE DASHBOARD'!$J$32:$J$66,MATCH(A51,'SENATE DASHBOARD'!$O$32:$O$66,0))</f>
        <v>R</v>
      </c>
      <c r="F51" t="str">
        <f>INDEX('SENATE DASHBOARD'!$K$32:$K$66,MATCH(A51,'SENATE DASHBOARD'!$O$32:$O$66,0))</f>
        <v>—</v>
      </c>
      <c r="G51" s="7">
        <f>INDEX('SENATE DASHBOARD'!$N$32:$N$66,MATCH(A51,'SENATE DASHBOARD'!$O$32:$O$66,0))</f>
        <v>10.059999999999999</v>
      </c>
    </row>
    <row r="52" spans="1:8" ht="19.149999999999999" customHeight="1" x14ac:dyDescent="0.2">
      <c r="A52">
        <f>16</f>
        <v>16</v>
      </c>
      <c r="B52" t="str">
        <f>INDEX('SENATE DASHBOARD'!$A$32:$A$66,MATCH(A52,'SENATE DASHBOARD'!$O$32:$O$66,0))</f>
        <v>Idaho</v>
      </c>
      <c r="C52" s="10">
        <f>INDEX('SENATE DASHBOARD'!$H$32:$H$66,MATCH(A52,'SENATE DASHBOARD'!$O$32:$O$66,0))</f>
        <v>-11.549999999999995</v>
      </c>
      <c r="D52" t="str">
        <f>INDEX('SENATE DASHBOARD'!$I$32:$I$66,MATCH(A52,'SENATE DASHBOARD'!$O$32:$O$66,0))</f>
        <v>R</v>
      </c>
      <c r="E52" t="str">
        <f>INDEX('SENATE DASHBOARD'!$J$32:$J$66,MATCH(A52,'SENATE DASHBOARD'!$O$32:$O$66,0))</f>
        <v>R</v>
      </c>
      <c r="F52" t="str">
        <f>INDEX('SENATE DASHBOARD'!$K$32:$K$66,MATCH(A52,'SENATE DASHBOARD'!$O$32:$O$66,0))</f>
        <v>—</v>
      </c>
      <c r="G52" s="7">
        <f>INDEX('SENATE DASHBOARD'!$N$32:$N$66,MATCH(A52,'SENATE DASHBOARD'!$O$32:$O$66,0))</f>
        <v>11.549999999999995</v>
      </c>
    </row>
    <row r="53" spans="1:8" ht="19.149999999999999" customHeight="1" x14ac:dyDescent="0.2">
      <c r="A53">
        <f>17</f>
        <v>17</v>
      </c>
      <c r="B53" t="str">
        <f>INDEX('SENATE DASHBOARD'!$A$32:$A$66,MATCH(A53,'SENATE DASHBOARD'!$O$32:$O$66,0))</f>
        <v>Louisiana</v>
      </c>
      <c r="C53" s="10">
        <f>INDEX('SENATE DASHBOARD'!$H$32:$H$66,MATCH(A53,'SENATE DASHBOARD'!$O$32:$O$66,0))</f>
        <v>-12.14</v>
      </c>
      <c r="D53" t="str">
        <f>INDEX('SENATE DASHBOARD'!$I$32:$I$66,MATCH(A53,'SENATE DASHBOARD'!$O$32:$O$66,0))</f>
        <v>R</v>
      </c>
      <c r="E53" t="str">
        <f>INDEX('SENATE DASHBOARD'!$J$32:$J$66,MATCH(A53,'SENATE DASHBOARD'!$O$32:$O$66,0))</f>
        <v>R</v>
      </c>
      <c r="F53" t="str">
        <f>INDEX('SENATE DASHBOARD'!$K$32:$K$66,MATCH(A53,'SENATE DASHBOARD'!$O$32:$O$66,0))</f>
        <v>—</v>
      </c>
      <c r="G53" s="7">
        <f>INDEX('SENATE DASHBOARD'!$N$32:$N$66,MATCH(A53,'SENATE DASHBOARD'!$O$32:$O$66,0))</f>
        <v>12.14</v>
      </c>
    </row>
    <row r="54" spans="1:8" ht="19.149999999999999" customHeight="1" x14ac:dyDescent="0.2">
      <c r="A54">
        <f>18</f>
        <v>18</v>
      </c>
      <c r="B54" t="str">
        <f>INDEX('SENATE DASHBOARD'!$A$32:$A$66,MATCH(A54,'SENATE DASHBOARD'!$O$32:$O$66,0))</f>
        <v>New Hampshire</v>
      </c>
      <c r="C54" s="10">
        <f>INDEX('SENATE DASHBOARD'!$H$32:$H$66,MATCH(A54,'SENATE DASHBOARD'!$O$32:$O$66,0))</f>
        <v>12.65</v>
      </c>
      <c r="D54" t="str">
        <f>INDEX('SENATE DASHBOARD'!$I$32:$I$66,MATCH(A54,'SENATE DASHBOARD'!$O$32:$O$66,0))</f>
        <v>D</v>
      </c>
      <c r="E54" t="str">
        <f>INDEX('SENATE DASHBOARD'!$J$32:$J$66,MATCH(A54,'SENATE DASHBOARD'!$O$32:$O$66,0))</f>
        <v>D</v>
      </c>
      <c r="F54" t="str">
        <f>INDEX('SENATE DASHBOARD'!$K$32:$K$66,MATCH(A54,'SENATE DASHBOARD'!$O$32:$O$66,0))</f>
        <v>—</v>
      </c>
      <c r="G54" s="7">
        <f>INDEX('SENATE DASHBOARD'!$N$32:$N$66,MATCH(A54,'SENATE DASHBOARD'!$O$32:$O$66,0))</f>
        <v>12.65</v>
      </c>
    </row>
    <row r="55" spans="1:8" ht="19.149999999999999" customHeight="1" x14ac:dyDescent="0.2">
      <c r="A55">
        <f>19</f>
        <v>19</v>
      </c>
      <c r="B55" t="str">
        <f>INDEX('SENATE DASHBOARD'!$A$32:$A$66,MATCH(A55,'SENATE DASHBOARD'!$O$32:$O$66,0))</f>
        <v>Colorado</v>
      </c>
      <c r="C55" s="10">
        <f>INDEX('SENATE DASHBOARD'!$H$32:$H$66,MATCH(A55,'SENATE DASHBOARD'!$O$32:$O$66,0))</f>
        <v>13.250000000000002</v>
      </c>
      <c r="D55" t="str">
        <f>INDEX('SENATE DASHBOARD'!$I$32:$I$66,MATCH(A55,'SENATE DASHBOARD'!$O$32:$O$66,0))</f>
        <v>D</v>
      </c>
      <c r="E55" t="str">
        <f>INDEX('SENATE DASHBOARD'!$J$32:$J$66,MATCH(A55,'SENATE DASHBOARD'!$O$32:$O$66,0))</f>
        <v>D</v>
      </c>
      <c r="F55" t="str">
        <f>INDEX('SENATE DASHBOARD'!$K$32:$K$66,MATCH(A55,'SENATE DASHBOARD'!$O$32:$O$66,0))</f>
        <v>—</v>
      </c>
      <c r="G55" s="7">
        <f>INDEX('SENATE DASHBOARD'!$N$32:$N$66,MATCH(A55,'SENATE DASHBOARD'!$O$32:$O$66,0))</f>
        <v>13.250000000000002</v>
      </c>
    </row>
    <row r="56" spans="1:8" ht="19.149999999999999" customHeight="1" x14ac:dyDescent="0.2">
      <c r="A56">
        <f>20</f>
        <v>20</v>
      </c>
      <c r="B56" t="str">
        <f>INDEX('SENATE DASHBOARD'!$A$32:$A$66,MATCH(A56,'SENATE DASHBOARD'!$O$32:$O$66,0))</f>
        <v>South Dakota</v>
      </c>
      <c r="C56" s="10">
        <f>INDEX('SENATE DASHBOARD'!$H$32:$H$66,MATCH(A56,'SENATE DASHBOARD'!$O$32:$O$66,0))</f>
        <v>-13.549999999999995</v>
      </c>
      <c r="D56" t="str">
        <f>INDEX('SENATE DASHBOARD'!$I$32:$I$66,MATCH(A56,'SENATE DASHBOARD'!$O$32:$O$66,0))</f>
        <v>R</v>
      </c>
      <c r="E56" t="str">
        <f>INDEX('SENATE DASHBOARD'!$J$32:$J$66,MATCH(A56,'SENATE DASHBOARD'!$O$32:$O$66,0))</f>
        <v>R</v>
      </c>
      <c r="F56" t="str">
        <f>INDEX('SENATE DASHBOARD'!$K$32:$K$66,MATCH(A56,'SENATE DASHBOARD'!$O$32:$O$66,0))</f>
        <v>—</v>
      </c>
      <c r="G56" s="7">
        <f>INDEX('SENATE DASHBOARD'!$N$32:$N$66,MATCH(A56,'SENATE DASHBOARD'!$O$32:$O$66,0))</f>
        <v>13.549999999999995</v>
      </c>
    </row>
    <row r="60" spans="1:8" ht="24" customHeight="1" x14ac:dyDescent="0.2">
      <c r="A60" s="13" t="s">
        <v>662</v>
      </c>
      <c r="B60" s="13"/>
      <c r="C60" s="13"/>
      <c r="D60" s="13"/>
      <c r="E60" s="13"/>
      <c r="F60" s="13"/>
      <c r="G60" s="13"/>
      <c r="H60" s="13"/>
    </row>
    <row r="61" spans="1:8" ht="22.15" customHeight="1" x14ac:dyDescent="0.2">
      <c r="A61" s="73" t="s">
        <v>63</v>
      </c>
      <c r="B61" s="73" t="s">
        <v>128</v>
      </c>
      <c r="C61" s="73" t="s">
        <v>656</v>
      </c>
      <c r="D61" s="73" t="s">
        <v>657</v>
      </c>
      <c r="E61" s="73" t="s">
        <v>658</v>
      </c>
      <c r="F61" s="73" t="s">
        <v>659</v>
      </c>
      <c r="G61" s="73" t="s">
        <v>660</v>
      </c>
    </row>
    <row r="62" spans="1:8" ht="19.149999999999999" customHeight="1" x14ac:dyDescent="0.2">
      <c r="A62">
        <f>1</f>
        <v>1</v>
      </c>
      <c r="B62" t="str">
        <f>INDEX('GOVERNOR DASHBOARD'!$A$36:$A$71,MATCH(A62,'GOVERNOR DASHBOARD'!$O$36:$O$71,0))</f>
        <v>Texas</v>
      </c>
      <c r="C62" s="10">
        <f>INDEX('GOVERNOR DASHBOARD'!$H$36:$H$71,MATCH(A62,'GOVERNOR DASHBOARD'!$O$36:$O$71,0))</f>
        <v>0.30000000000000071</v>
      </c>
      <c r="D62" t="str">
        <f>INDEX('GOVERNOR DASHBOARD'!$I$36:$I$71,MATCH(A62,'GOVERNOR DASHBOARD'!$O$36:$O$71,0))</f>
        <v>D</v>
      </c>
      <c r="E62" t="str">
        <f>INDEX('GOVERNOR DASHBOARD'!$J$36:$J$71,MATCH(A62,'GOVERNOR DASHBOARD'!$O$36:$O$71,0))</f>
        <v>D</v>
      </c>
      <c r="F62" t="str">
        <f>INDEX('GOVERNOR DASHBOARD'!$K$36:$K$71,MATCH(A62,'GOVERNOR DASHBOARD'!$O$36:$O$71,0))</f>
        <v>—</v>
      </c>
      <c r="G62" s="7">
        <f>INDEX('GOVERNOR DASHBOARD'!$N$36:$N$71,MATCH(A62,'GOVERNOR DASHBOARD'!$O$36:$O$71,0))</f>
        <v>0.30000000000000071</v>
      </c>
    </row>
    <row r="63" spans="1:8" ht="19.149999999999999" customHeight="1" x14ac:dyDescent="0.2">
      <c r="A63">
        <f>2</f>
        <v>2</v>
      </c>
      <c r="B63" t="str">
        <f>INDEX('GOVERNOR DASHBOARD'!$A$36:$A$71,MATCH(A63,'GOVERNOR DASHBOARD'!$O$36:$O$71,0))</f>
        <v>New Hampshire</v>
      </c>
      <c r="C63" s="10">
        <f>INDEX('GOVERNOR DASHBOARD'!$H$36:$H$71,MATCH(A63,'GOVERNOR DASHBOARD'!$O$36:$O$71,0))</f>
        <v>0.54000000000000092</v>
      </c>
      <c r="D63" t="str">
        <f>INDEX('GOVERNOR DASHBOARD'!$I$36:$I$71,MATCH(A63,'GOVERNOR DASHBOARD'!$O$36:$O$71,0))</f>
        <v>D</v>
      </c>
      <c r="E63" t="str">
        <f>INDEX('GOVERNOR DASHBOARD'!$J$36:$J$71,MATCH(A63,'GOVERNOR DASHBOARD'!$O$36:$O$71,0))</f>
        <v>R</v>
      </c>
      <c r="F63" t="str">
        <f>INDEX('GOVERNOR DASHBOARD'!$K$36:$K$71,MATCH(A63,'GOVERNOR DASHBOARD'!$O$36:$O$71,0))</f>
        <v>R → D</v>
      </c>
      <c r="G63" s="7">
        <f>INDEX('GOVERNOR DASHBOARD'!$N$36:$N$71,MATCH(A63,'GOVERNOR DASHBOARD'!$O$36:$O$71,0))</f>
        <v>0.54000000000000092</v>
      </c>
    </row>
    <row r="64" spans="1:8" ht="19.149999999999999" customHeight="1" x14ac:dyDescent="0.2">
      <c r="A64">
        <f>3</f>
        <v>3</v>
      </c>
      <c r="B64" t="str">
        <f>INDEX('GOVERNOR DASHBOARD'!$A$36:$A$71,MATCH(A64,'GOVERNOR DASHBOARD'!$O$36:$O$71,0))</f>
        <v>Ohio</v>
      </c>
      <c r="C64" s="10">
        <f>INDEX('GOVERNOR DASHBOARD'!$H$36:$H$71,MATCH(A64,'GOVERNOR DASHBOARD'!$O$36:$O$71,0))</f>
        <v>-1.3199999999999985</v>
      </c>
      <c r="D64" t="str">
        <f>INDEX('GOVERNOR DASHBOARD'!$I$36:$I$71,MATCH(A64,'GOVERNOR DASHBOARD'!$O$36:$O$71,0))</f>
        <v>R</v>
      </c>
      <c r="E64" t="str">
        <f>INDEX('GOVERNOR DASHBOARD'!$J$36:$J$71,MATCH(A64,'GOVERNOR DASHBOARD'!$O$36:$O$71,0))</f>
        <v>R</v>
      </c>
      <c r="F64" t="str">
        <f>INDEX('GOVERNOR DASHBOARD'!$K$36:$K$71,MATCH(A64,'GOVERNOR DASHBOARD'!$O$36:$O$71,0))</f>
        <v>—</v>
      </c>
      <c r="G64" s="7">
        <f>INDEX('GOVERNOR DASHBOARD'!$N$36:$N$71,MATCH(A64,'GOVERNOR DASHBOARD'!$O$36:$O$71,0))</f>
        <v>1.3199999999999985</v>
      </c>
    </row>
    <row r="65" spans="1:7" ht="19.149999999999999" customHeight="1" x14ac:dyDescent="0.2">
      <c r="A65">
        <f>4</f>
        <v>4</v>
      </c>
      <c r="B65" t="str">
        <f>INDEX('GOVERNOR DASHBOARD'!$A$36:$A$71,MATCH(A65,'GOVERNOR DASHBOARD'!$O$36:$O$71,0))</f>
        <v>Alaska</v>
      </c>
      <c r="C65" s="10">
        <f>INDEX('GOVERNOR DASHBOARD'!$H$36:$H$71,MATCH(A65,'GOVERNOR DASHBOARD'!$O$36:$O$71,0))</f>
        <v>-3.2199999999999989</v>
      </c>
      <c r="D65" t="str">
        <f>INDEX('GOVERNOR DASHBOARD'!$I$36:$I$71,MATCH(A65,'GOVERNOR DASHBOARD'!$O$36:$O$71,0))</f>
        <v>R</v>
      </c>
      <c r="E65" t="str">
        <f>INDEX('GOVERNOR DASHBOARD'!$J$36:$J$71,MATCH(A65,'GOVERNOR DASHBOARD'!$O$36:$O$71,0))</f>
        <v>R</v>
      </c>
      <c r="F65" t="str">
        <f>INDEX('GOVERNOR DASHBOARD'!$K$36:$K$71,MATCH(A65,'GOVERNOR DASHBOARD'!$O$36:$O$71,0))</f>
        <v>—</v>
      </c>
      <c r="G65" s="7">
        <f>INDEX('GOVERNOR DASHBOARD'!$N$36:$N$71,MATCH(A65,'GOVERNOR DASHBOARD'!$O$36:$O$71,0))</f>
        <v>3.2199999999999989</v>
      </c>
    </row>
    <row r="66" spans="1:7" ht="19.149999999999999" customHeight="1" x14ac:dyDescent="0.2">
      <c r="A66">
        <f>5</f>
        <v>5</v>
      </c>
      <c r="B66" t="str">
        <f>INDEX('GOVERNOR DASHBOARD'!$A$36:$A$71,MATCH(A66,'GOVERNOR DASHBOARD'!$O$36:$O$71,0))</f>
        <v>Florida</v>
      </c>
      <c r="C66" s="10">
        <f>INDEX('GOVERNOR DASHBOARD'!$H$36:$H$71,MATCH(A66,'GOVERNOR DASHBOARD'!$O$36:$O$71,0))</f>
        <v>-3.2199999999999989</v>
      </c>
      <c r="D66" t="str">
        <f>INDEX('GOVERNOR DASHBOARD'!$I$36:$I$71,MATCH(A66,'GOVERNOR DASHBOARD'!$O$36:$O$71,0))</f>
        <v>R</v>
      </c>
      <c r="E66" t="str">
        <f>INDEX('GOVERNOR DASHBOARD'!$J$36:$J$71,MATCH(A66,'GOVERNOR DASHBOARD'!$O$36:$O$71,0))</f>
        <v>R</v>
      </c>
      <c r="F66" t="str">
        <f>INDEX('GOVERNOR DASHBOARD'!$K$36:$K$71,MATCH(A66,'GOVERNOR DASHBOARD'!$O$36:$O$71,0))</f>
        <v>—</v>
      </c>
      <c r="G66" s="7">
        <f>INDEX('GOVERNOR DASHBOARD'!$N$36:$N$71,MATCH(A66,'GOVERNOR DASHBOARD'!$O$36:$O$71,0))</f>
        <v>3.2199999999999989</v>
      </c>
    </row>
    <row r="67" spans="1:7" ht="19.149999999999999" customHeight="1" x14ac:dyDescent="0.2">
      <c r="A67">
        <f>6</f>
        <v>6</v>
      </c>
      <c r="B67" t="str">
        <f>INDEX('GOVERNOR DASHBOARD'!$A$36:$A$71,MATCH(A67,'GOVERNOR DASHBOARD'!$O$36:$O$71,0))</f>
        <v>Iowa</v>
      </c>
      <c r="C67" s="10">
        <f>INDEX('GOVERNOR DASHBOARD'!$H$36:$H$71,MATCH(A67,'GOVERNOR DASHBOARD'!$O$36:$O$71,0))</f>
        <v>-3.3199999999999985</v>
      </c>
      <c r="D67" t="str">
        <f>INDEX('GOVERNOR DASHBOARD'!$I$36:$I$71,MATCH(A67,'GOVERNOR DASHBOARD'!$O$36:$O$71,0))</f>
        <v>R</v>
      </c>
      <c r="E67" t="str">
        <f>INDEX('GOVERNOR DASHBOARD'!$J$36:$J$71,MATCH(A67,'GOVERNOR DASHBOARD'!$O$36:$O$71,0))</f>
        <v>R</v>
      </c>
      <c r="F67" t="str">
        <f>INDEX('GOVERNOR DASHBOARD'!$K$36:$K$71,MATCH(A67,'GOVERNOR DASHBOARD'!$O$36:$O$71,0))</f>
        <v>—</v>
      </c>
      <c r="G67" s="7">
        <f>INDEX('GOVERNOR DASHBOARD'!$N$36:$N$71,MATCH(A67,'GOVERNOR DASHBOARD'!$O$36:$O$71,0))</f>
        <v>3.3199999999999985</v>
      </c>
    </row>
    <row r="68" spans="1:7" ht="19.149999999999999" customHeight="1" x14ac:dyDescent="0.2">
      <c r="A68">
        <f>7</f>
        <v>7</v>
      </c>
      <c r="B68" t="str">
        <f>INDEX('GOVERNOR DASHBOARD'!$A$36:$A$71,MATCH(A68,'GOVERNOR DASHBOARD'!$O$36:$O$71,0))</f>
        <v>Kansas</v>
      </c>
      <c r="C68" s="10">
        <f>INDEX('GOVERNOR DASHBOARD'!$H$36:$H$71,MATCH(A68,'GOVERNOR DASHBOARD'!$O$36:$O$71,0))</f>
        <v>-6.2200000000000006</v>
      </c>
      <c r="D68" t="str">
        <f>INDEX('GOVERNOR DASHBOARD'!$I$36:$I$71,MATCH(A68,'GOVERNOR DASHBOARD'!$O$36:$O$71,0))</f>
        <v>R</v>
      </c>
      <c r="E68" t="str">
        <f>INDEX('GOVERNOR DASHBOARD'!$J$36:$J$71,MATCH(A68,'GOVERNOR DASHBOARD'!$O$36:$O$71,0))</f>
        <v>R</v>
      </c>
      <c r="F68" t="str">
        <f>INDEX('GOVERNOR DASHBOARD'!$K$36:$K$71,MATCH(A68,'GOVERNOR DASHBOARD'!$O$36:$O$71,0))</f>
        <v>—</v>
      </c>
      <c r="G68" s="7">
        <f>INDEX('GOVERNOR DASHBOARD'!$N$36:$N$71,MATCH(A68,'GOVERNOR DASHBOARD'!$O$36:$O$71,0))</f>
        <v>6.2200000000000006</v>
      </c>
    </row>
    <row r="69" spans="1:7" ht="19.149999999999999" customHeight="1" x14ac:dyDescent="0.2">
      <c r="A69">
        <f>8</f>
        <v>8</v>
      </c>
      <c r="B69" t="str">
        <f>INDEX('GOVERNOR DASHBOARD'!$A$36:$A$71,MATCH(A69,'GOVERNOR DASHBOARD'!$O$36:$O$71,0))</f>
        <v>Georgia</v>
      </c>
      <c r="C69" s="10">
        <f>INDEX('GOVERNOR DASHBOARD'!$H$36:$H$71,MATCH(A69,'GOVERNOR DASHBOARD'!$O$36:$O$71,0))</f>
        <v>7.6800000000000006</v>
      </c>
      <c r="D69" t="str">
        <f>INDEX('GOVERNOR DASHBOARD'!$I$36:$I$71,MATCH(A69,'GOVERNOR DASHBOARD'!$O$36:$O$71,0))</f>
        <v>D</v>
      </c>
      <c r="E69" t="str">
        <f>INDEX('GOVERNOR DASHBOARD'!$J$36:$J$71,MATCH(A69,'GOVERNOR DASHBOARD'!$O$36:$O$71,0))</f>
        <v>D</v>
      </c>
      <c r="F69" t="str">
        <f>INDEX('GOVERNOR DASHBOARD'!$K$36:$K$71,MATCH(A69,'GOVERNOR DASHBOARD'!$O$36:$O$71,0))</f>
        <v>—</v>
      </c>
      <c r="G69" s="7">
        <f>INDEX('GOVERNOR DASHBOARD'!$N$36:$N$71,MATCH(A69,'GOVERNOR DASHBOARD'!$O$36:$O$71,0))</f>
        <v>7.6800000000000006</v>
      </c>
    </row>
    <row r="70" spans="1:7" ht="19.149999999999999" customHeight="1" x14ac:dyDescent="0.2">
      <c r="A70">
        <f>9</f>
        <v>9</v>
      </c>
      <c r="B70" t="str">
        <f>INDEX('GOVERNOR DASHBOARD'!$A$36:$A$71,MATCH(A70,'GOVERNOR DASHBOARD'!$O$36:$O$71,0))</f>
        <v>South Carolina</v>
      </c>
      <c r="C70" s="10">
        <f>INDEX('GOVERNOR DASHBOARD'!$H$36:$H$71,MATCH(A70,'GOVERNOR DASHBOARD'!$O$36:$O$71,0))</f>
        <v>-8.0199999999999978</v>
      </c>
      <c r="D70" t="str">
        <f>INDEX('GOVERNOR DASHBOARD'!$I$36:$I$71,MATCH(A70,'GOVERNOR DASHBOARD'!$O$36:$O$71,0))</f>
        <v>R</v>
      </c>
      <c r="E70" t="str">
        <f>INDEX('GOVERNOR DASHBOARD'!$J$36:$J$71,MATCH(A70,'GOVERNOR DASHBOARD'!$O$36:$O$71,0))</f>
        <v>R</v>
      </c>
      <c r="F70" t="str">
        <f>INDEX('GOVERNOR DASHBOARD'!$K$36:$K$71,MATCH(A70,'GOVERNOR DASHBOARD'!$O$36:$O$71,0))</f>
        <v>—</v>
      </c>
      <c r="G70" s="7">
        <f>INDEX('GOVERNOR DASHBOARD'!$N$36:$N$71,MATCH(A70,'GOVERNOR DASHBOARD'!$O$36:$O$71,0))</f>
        <v>8.0199999999999978</v>
      </c>
    </row>
    <row r="71" spans="1:7" ht="19.149999999999999" customHeight="1" x14ac:dyDescent="0.2">
      <c r="A71">
        <f>10</f>
        <v>10</v>
      </c>
      <c r="B71" t="str">
        <f>INDEX('GOVERNOR DASHBOARD'!$A$36:$A$71,MATCH(A71,'GOVERNOR DASHBOARD'!$O$36:$O$71,0))</f>
        <v>Michigan</v>
      </c>
      <c r="C71" s="10">
        <f>INDEX('GOVERNOR DASHBOARD'!$H$36:$H$71,MATCH(A71,'GOVERNOR DASHBOARD'!$O$36:$O$71,0))</f>
        <v>8.48</v>
      </c>
      <c r="D71" t="str">
        <f>INDEX('GOVERNOR DASHBOARD'!$I$36:$I$71,MATCH(A71,'GOVERNOR DASHBOARD'!$O$36:$O$71,0))</f>
        <v>D</v>
      </c>
      <c r="E71" t="str">
        <f>INDEX('GOVERNOR DASHBOARD'!$J$36:$J$71,MATCH(A71,'GOVERNOR DASHBOARD'!$O$36:$O$71,0))</f>
        <v>D</v>
      </c>
      <c r="F71" t="str">
        <f>INDEX('GOVERNOR DASHBOARD'!$K$36:$K$71,MATCH(A71,'GOVERNOR DASHBOARD'!$O$36:$O$71,0))</f>
        <v>—</v>
      </c>
      <c r="G71" s="7">
        <f>INDEX('GOVERNOR DASHBOARD'!$N$36:$N$71,MATCH(A71,'GOVERNOR DASHBOARD'!$O$36:$O$71,0))</f>
        <v>8.48</v>
      </c>
    </row>
    <row r="72" spans="1:7" ht="19.149999999999999" customHeight="1" x14ac:dyDescent="0.2">
      <c r="A72">
        <f>11</f>
        <v>11</v>
      </c>
      <c r="B72" t="str">
        <f>INDEX('GOVERNOR DASHBOARD'!$A$36:$A$71,MATCH(A72,'GOVERNOR DASHBOARD'!$O$36:$O$71,0))</f>
        <v>Wisconsin</v>
      </c>
      <c r="C72" s="10">
        <f>INDEX('GOVERNOR DASHBOARD'!$H$36:$H$71,MATCH(A72,'GOVERNOR DASHBOARD'!$O$36:$O$71,0))</f>
        <v>8.98</v>
      </c>
      <c r="D72" t="str">
        <f>INDEX('GOVERNOR DASHBOARD'!$I$36:$I$71,MATCH(A72,'GOVERNOR DASHBOARD'!$O$36:$O$71,0))</f>
        <v>D</v>
      </c>
      <c r="E72" t="str">
        <f>INDEX('GOVERNOR DASHBOARD'!$J$36:$J$71,MATCH(A72,'GOVERNOR DASHBOARD'!$O$36:$O$71,0))</f>
        <v>D</v>
      </c>
      <c r="F72" t="str">
        <f>INDEX('GOVERNOR DASHBOARD'!$K$36:$K$71,MATCH(A72,'GOVERNOR DASHBOARD'!$O$36:$O$71,0))</f>
        <v>—</v>
      </c>
      <c r="G72" s="7">
        <f>INDEX('GOVERNOR DASHBOARD'!$N$36:$N$71,MATCH(A72,'GOVERNOR DASHBOARD'!$O$36:$O$71,0))</f>
        <v>8.98</v>
      </c>
    </row>
    <row r="73" spans="1:7" ht="19.149999999999999" customHeight="1" x14ac:dyDescent="0.2">
      <c r="A73">
        <f>12</f>
        <v>12</v>
      </c>
      <c r="B73" t="str">
        <f>INDEX('GOVERNOR DASHBOARD'!$A$36:$A$71,MATCH(A73,'GOVERNOR DASHBOARD'!$O$36:$O$71,0))</f>
        <v>Nevada</v>
      </c>
      <c r="C73" s="10">
        <f>INDEX('GOVERNOR DASHBOARD'!$H$36:$H$71,MATCH(A73,'GOVERNOR DASHBOARD'!$O$36:$O$71,0))</f>
        <v>9.7000000000000011</v>
      </c>
      <c r="D73" t="str">
        <f>INDEX('GOVERNOR DASHBOARD'!$I$36:$I$71,MATCH(A73,'GOVERNOR DASHBOARD'!$O$36:$O$71,0))</f>
        <v>D</v>
      </c>
      <c r="E73" t="str">
        <f>INDEX('GOVERNOR DASHBOARD'!$J$36:$J$71,MATCH(A73,'GOVERNOR DASHBOARD'!$O$36:$O$71,0))</f>
        <v>D</v>
      </c>
      <c r="F73" t="str">
        <f>INDEX('GOVERNOR DASHBOARD'!$K$36:$K$71,MATCH(A73,'GOVERNOR DASHBOARD'!$O$36:$O$71,0))</f>
        <v>—</v>
      </c>
      <c r="G73" s="7">
        <f>INDEX('GOVERNOR DASHBOARD'!$N$36:$N$71,MATCH(A73,'GOVERNOR DASHBOARD'!$O$36:$O$71,0))</f>
        <v>9.7000000000000011</v>
      </c>
    </row>
    <row r="74" spans="1:7" ht="19.149999999999999" customHeight="1" x14ac:dyDescent="0.2">
      <c r="A74">
        <f>13</f>
        <v>13</v>
      </c>
      <c r="B74" t="str">
        <f>INDEX('GOVERNOR DASHBOARD'!$A$36:$A$71,MATCH(A74,'GOVERNOR DASHBOARD'!$O$36:$O$71,0))</f>
        <v>Arizona</v>
      </c>
      <c r="C74" s="10">
        <f>INDEX('GOVERNOR DASHBOARD'!$H$36:$H$71,MATCH(A74,'GOVERNOR DASHBOARD'!$O$36:$O$71,0))</f>
        <v>11.870000000000001</v>
      </c>
      <c r="D74" t="str">
        <f>INDEX('GOVERNOR DASHBOARD'!$I$36:$I$71,MATCH(A74,'GOVERNOR DASHBOARD'!$O$36:$O$71,0))</f>
        <v>D</v>
      </c>
      <c r="E74" t="str">
        <f>INDEX('GOVERNOR DASHBOARD'!$J$36:$J$71,MATCH(A74,'GOVERNOR DASHBOARD'!$O$36:$O$71,0))</f>
        <v>D</v>
      </c>
      <c r="F74" t="str">
        <f>INDEX('GOVERNOR DASHBOARD'!$K$36:$K$71,MATCH(A74,'GOVERNOR DASHBOARD'!$O$36:$O$71,0))</f>
        <v>—</v>
      </c>
      <c r="G74" s="7">
        <f>INDEX('GOVERNOR DASHBOARD'!$N$36:$N$71,MATCH(A74,'GOVERNOR DASHBOARD'!$O$36:$O$71,0))</f>
        <v>11.870000000000001</v>
      </c>
    </row>
    <row r="75" spans="1:7" ht="19.149999999999999" customHeight="1" x14ac:dyDescent="0.2">
      <c r="A75">
        <f>14</f>
        <v>14</v>
      </c>
      <c r="B75" t="str">
        <f>INDEX('GOVERNOR DASHBOARD'!$A$36:$A$71,MATCH(A75,'GOVERNOR DASHBOARD'!$O$36:$O$71,0))</f>
        <v>Nebraska</v>
      </c>
      <c r="C75" s="10">
        <f>INDEX('GOVERNOR DASHBOARD'!$H$36:$H$71,MATCH(A75,'GOVERNOR DASHBOARD'!$O$36:$O$71,0))</f>
        <v>-12.199999999999998</v>
      </c>
      <c r="D75" t="str">
        <f>INDEX('GOVERNOR DASHBOARD'!$I$36:$I$71,MATCH(A75,'GOVERNOR DASHBOARD'!$O$36:$O$71,0))</f>
        <v>R</v>
      </c>
      <c r="E75" t="str">
        <f>INDEX('GOVERNOR DASHBOARD'!$J$36:$J$71,MATCH(A75,'GOVERNOR DASHBOARD'!$O$36:$O$71,0))</f>
        <v>R</v>
      </c>
      <c r="F75" t="str">
        <f>INDEX('GOVERNOR DASHBOARD'!$K$36:$K$71,MATCH(A75,'GOVERNOR DASHBOARD'!$O$36:$O$71,0))</f>
        <v>—</v>
      </c>
      <c r="G75" s="7">
        <f>INDEX('GOVERNOR DASHBOARD'!$N$36:$N$71,MATCH(A75,'GOVERNOR DASHBOARD'!$O$36:$O$71,0))</f>
        <v>12.199999999999998</v>
      </c>
    </row>
    <row r="76" spans="1:7" ht="19.149999999999999" customHeight="1" x14ac:dyDescent="0.2">
      <c r="A76">
        <f>15</f>
        <v>15</v>
      </c>
      <c r="B76" t="str">
        <f>INDEX('GOVERNOR DASHBOARD'!$A$36:$A$71,MATCH(A76,'GOVERNOR DASHBOARD'!$O$36:$O$71,0))</f>
        <v>Minnesota</v>
      </c>
      <c r="C76" s="10">
        <f>INDEX('GOVERNOR DASHBOARD'!$H$36:$H$71,MATCH(A76,'GOVERNOR DASHBOARD'!$O$36:$O$71,0))</f>
        <v>14.08</v>
      </c>
      <c r="D76" t="str">
        <f>INDEX('GOVERNOR DASHBOARD'!$I$36:$I$71,MATCH(A76,'GOVERNOR DASHBOARD'!$O$36:$O$71,0))</f>
        <v>D</v>
      </c>
      <c r="E76" t="str">
        <f>INDEX('GOVERNOR DASHBOARD'!$J$36:$J$71,MATCH(A76,'GOVERNOR DASHBOARD'!$O$36:$O$71,0))</f>
        <v>D</v>
      </c>
      <c r="F76" t="str">
        <f>INDEX('GOVERNOR DASHBOARD'!$K$36:$K$71,MATCH(A76,'GOVERNOR DASHBOARD'!$O$36:$O$71,0))</f>
        <v>—</v>
      </c>
      <c r="G76" s="7">
        <f>INDEX('GOVERNOR DASHBOARD'!$N$36:$N$71,MATCH(A76,'GOVERNOR DASHBOARD'!$O$36:$O$71,0))</f>
        <v>14.08</v>
      </c>
    </row>
    <row r="77" spans="1:7" ht="19.149999999999999" customHeight="1" x14ac:dyDescent="0.2">
      <c r="A77">
        <f>16</f>
        <v>16</v>
      </c>
      <c r="B77" t="str">
        <f>INDEX('GOVERNOR DASHBOARD'!$A$36:$A$71,MATCH(A77,'GOVERNOR DASHBOARD'!$O$36:$O$71,0))</f>
        <v>Oregon</v>
      </c>
      <c r="C77" s="10">
        <f>INDEX('GOVERNOR DASHBOARD'!$H$36:$H$71,MATCH(A77,'GOVERNOR DASHBOARD'!$O$36:$O$71,0))</f>
        <v>14.600000000000001</v>
      </c>
      <c r="D77" t="str">
        <f>INDEX('GOVERNOR DASHBOARD'!$I$36:$I$71,MATCH(A77,'GOVERNOR DASHBOARD'!$O$36:$O$71,0))</f>
        <v>D</v>
      </c>
      <c r="E77" t="str">
        <f>INDEX('GOVERNOR DASHBOARD'!$J$36:$J$71,MATCH(A77,'GOVERNOR DASHBOARD'!$O$36:$O$71,0))</f>
        <v>D</v>
      </c>
      <c r="F77" t="str">
        <f>INDEX('GOVERNOR DASHBOARD'!$K$36:$K$71,MATCH(A77,'GOVERNOR DASHBOARD'!$O$36:$O$71,0))</f>
        <v>—</v>
      </c>
      <c r="G77" s="7">
        <f>INDEX('GOVERNOR DASHBOARD'!$N$36:$N$71,MATCH(A77,'GOVERNOR DASHBOARD'!$O$36:$O$71,0))</f>
        <v>14.600000000000001</v>
      </c>
    </row>
    <row r="78" spans="1:7" ht="19.149999999999999" customHeight="1" x14ac:dyDescent="0.2">
      <c r="A78">
        <f>17</f>
        <v>17</v>
      </c>
      <c r="B78" t="str">
        <f>INDEX('GOVERNOR DASHBOARD'!$A$36:$A$71,MATCH(A78,'GOVERNOR DASHBOARD'!$O$36:$O$71,0))</f>
        <v>New Mexico</v>
      </c>
      <c r="C78" s="10">
        <f>INDEX('GOVERNOR DASHBOARD'!$H$36:$H$71,MATCH(A78,'GOVERNOR DASHBOARD'!$O$36:$O$71,0))</f>
        <v>15.88</v>
      </c>
      <c r="D78" t="str">
        <f>INDEX('GOVERNOR DASHBOARD'!$I$36:$I$71,MATCH(A78,'GOVERNOR DASHBOARD'!$O$36:$O$71,0))</f>
        <v>D</v>
      </c>
      <c r="E78" t="str">
        <f>INDEX('GOVERNOR DASHBOARD'!$J$36:$J$71,MATCH(A78,'GOVERNOR DASHBOARD'!$O$36:$O$71,0))</f>
        <v>D</v>
      </c>
      <c r="F78" t="str">
        <f>INDEX('GOVERNOR DASHBOARD'!$K$36:$K$71,MATCH(A78,'GOVERNOR DASHBOARD'!$O$36:$O$71,0))</f>
        <v>—</v>
      </c>
      <c r="G78" s="7">
        <f>INDEX('GOVERNOR DASHBOARD'!$N$36:$N$71,MATCH(A78,'GOVERNOR DASHBOARD'!$O$36:$O$71,0))</f>
        <v>15.88</v>
      </c>
    </row>
    <row r="79" spans="1:7" ht="19.149999999999999" customHeight="1" x14ac:dyDescent="0.2">
      <c r="A79">
        <f>18</f>
        <v>18</v>
      </c>
      <c r="B79" t="str">
        <f>INDEX('GOVERNOR DASHBOARD'!$A$36:$A$71,MATCH(A79,'GOVERNOR DASHBOARD'!$O$36:$O$71,0))</f>
        <v>Arkansas</v>
      </c>
      <c r="C79" s="10">
        <f>INDEX('GOVERNOR DASHBOARD'!$H$36:$H$71,MATCH(A79,'GOVERNOR DASHBOARD'!$O$36:$O$71,0))</f>
        <v>-16.600000000000001</v>
      </c>
      <c r="D79" t="str">
        <f>INDEX('GOVERNOR DASHBOARD'!$I$36:$I$71,MATCH(A79,'GOVERNOR DASHBOARD'!$O$36:$O$71,0))</f>
        <v>R</v>
      </c>
      <c r="E79" t="str">
        <f>INDEX('GOVERNOR DASHBOARD'!$J$36:$J$71,MATCH(A79,'GOVERNOR DASHBOARD'!$O$36:$O$71,0))</f>
        <v>R</v>
      </c>
      <c r="F79" t="str">
        <f>INDEX('GOVERNOR DASHBOARD'!$K$36:$K$71,MATCH(A79,'GOVERNOR DASHBOARD'!$O$36:$O$71,0))</f>
        <v>—</v>
      </c>
      <c r="G79" s="7">
        <f>INDEX('GOVERNOR DASHBOARD'!$N$36:$N$71,MATCH(A79,'GOVERNOR DASHBOARD'!$O$36:$O$71,0))</f>
        <v>16.600000000000001</v>
      </c>
    </row>
    <row r="80" spans="1:7" ht="19.149999999999999" customHeight="1" x14ac:dyDescent="0.2">
      <c r="A80">
        <f>19</f>
        <v>19</v>
      </c>
      <c r="B80" t="str">
        <f>INDEX('GOVERNOR DASHBOARD'!$A$36:$A$71,MATCH(A80,'GOVERNOR DASHBOARD'!$O$36:$O$71,0))</f>
        <v>Maine</v>
      </c>
      <c r="C80" s="10">
        <f>INDEX('GOVERNOR DASHBOARD'!$H$36:$H$71,MATCH(A80,'GOVERNOR DASHBOARD'!$O$36:$O$71,0))</f>
        <v>16.78</v>
      </c>
      <c r="D80" t="str">
        <f>INDEX('GOVERNOR DASHBOARD'!$I$36:$I$71,MATCH(A80,'GOVERNOR DASHBOARD'!$O$36:$O$71,0))</f>
        <v>D</v>
      </c>
      <c r="E80" t="str">
        <f>INDEX('GOVERNOR DASHBOARD'!$J$36:$J$71,MATCH(A80,'GOVERNOR DASHBOARD'!$O$36:$O$71,0))</f>
        <v>D</v>
      </c>
      <c r="F80" t="str">
        <f>INDEX('GOVERNOR DASHBOARD'!$K$36:$K$71,MATCH(A80,'GOVERNOR DASHBOARD'!$O$36:$O$71,0))</f>
        <v>—</v>
      </c>
      <c r="G80" s="7">
        <f>INDEX('GOVERNOR DASHBOARD'!$N$36:$N$71,MATCH(A80,'GOVERNOR DASHBOARD'!$O$36:$O$71,0))</f>
        <v>16.78</v>
      </c>
    </row>
    <row r="81" spans="1:7" ht="19.149999999999999" customHeight="1" x14ac:dyDescent="0.2">
      <c r="A81">
        <f>20</f>
        <v>20</v>
      </c>
      <c r="B81" t="str">
        <f>INDEX('GOVERNOR DASHBOARD'!$A$36:$A$71,MATCH(A81,'GOVERNOR DASHBOARD'!$O$36:$O$71,0))</f>
        <v>New York</v>
      </c>
      <c r="C81" s="10">
        <f>INDEX('GOVERNOR DASHBOARD'!$H$36:$H$71,MATCH(A81,'GOVERNOR DASHBOARD'!$O$36:$O$71,0))</f>
        <v>17.600000000000001</v>
      </c>
      <c r="D81" t="str">
        <f>INDEX('GOVERNOR DASHBOARD'!$I$36:$I$71,MATCH(A81,'GOVERNOR DASHBOARD'!$O$36:$O$71,0))</f>
        <v>D</v>
      </c>
      <c r="E81" t="str">
        <f>INDEX('GOVERNOR DASHBOARD'!$J$36:$J$71,MATCH(A81,'GOVERNOR DASHBOARD'!$O$36:$O$71,0))</f>
        <v>D</v>
      </c>
      <c r="F81" t="str">
        <f>INDEX('GOVERNOR DASHBOARD'!$K$36:$K$71,MATCH(A81,'GOVERNOR DASHBOARD'!$O$36:$O$71,0))</f>
        <v>—</v>
      </c>
      <c r="G81" s="7">
        <f>INDEX('GOVERNOR DASHBOARD'!$N$36:$N$71,MATCH(A81,'GOVERNOR DASHBOARD'!$O$36:$O$71,0))</f>
        <v>17.600000000000001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4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25.01953125" customWidth="1"/>
    <col min="2" max="4" width="43.046875" customWidth="1"/>
  </cols>
  <sheetData>
    <row r="1" spans="1:4" ht="30" customHeight="1" x14ac:dyDescent="0.2">
      <c r="A1" s="13" t="s">
        <v>663</v>
      </c>
      <c r="B1" s="13"/>
      <c r="C1" s="13"/>
      <c r="D1" s="13"/>
    </row>
    <row r="3" spans="1:4" ht="22.15" customHeight="1" x14ac:dyDescent="0.2">
      <c r="A3" s="82" t="s">
        <v>818</v>
      </c>
      <c r="B3" s="82" t="s">
        <v>819</v>
      </c>
      <c r="C3" s="82" t="s">
        <v>820</v>
      </c>
      <c r="D3" s="82" t="s">
        <v>821</v>
      </c>
    </row>
    <row r="4" spans="1:4" ht="30" customHeight="1" x14ac:dyDescent="0.2">
      <c r="A4" s="11" t="s">
        <v>822</v>
      </c>
      <c r="B4" s="11" t="s">
        <v>823</v>
      </c>
      <c r="C4" s="11" t="s">
        <v>824</v>
      </c>
      <c r="D4" s="11" t="s">
        <v>825</v>
      </c>
    </row>
    <row r="5" spans="1:4" ht="30" customHeight="1" x14ac:dyDescent="0.2">
      <c r="A5" s="11" t="s">
        <v>826</v>
      </c>
      <c r="B5" s="11" t="s">
        <v>827</v>
      </c>
      <c r="C5" s="11" t="s">
        <v>828</v>
      </c>
      <c r="D5" s="11" t="s">
        <v>829</v>
      </c>
    </row>
    <row r="6" spans="1:4" ht="30" customHeight="1" x14ac:dyDescent="0.2">
      <c r="A6" s="11" t="s">
        <v>830</v>
      </c>
      <c r="B6" s="11" t="s">
        <v>831</v>
      </c>
      <c r="C6" s="11" t="s">
        <v>832</v>
      </c>
      <c r="D6" s="11" t="s">
        <v>833</v>
      </c>
    </row>
    <row r="7" spans="1:4" ht="30" customHeight="1" x14ac:dyDescent="0.2">
      <c r="A7" s="11" t="s">
        <v>834</v>
      </c>
      <c r="B7" s="11" t="s">
        <v>835</v>
      </c>
      <c r="C7" s="11" t="s">
        <v>836</v>
      </c>
      <c r="D7" s="11" t="s">
        <v>837</v>
      </c>
    </row>
    <row r="8" spans="1:4" ht="30" customHeight="1" x14ac:dyDescent="0.2">
      <c r="A8" s="11" t="s">
        <v>838</v>
      </c>
      <c r="B8" s="11" t="s">
        <v>839</v>
      </c>
      <c r="C8" s="11" t="s">
        <v>840</v>
      </c>
      <c r="D8" s="11" t="s">
        <v>841</v>
      </c>
    </row>
    <row r="9" spans="1:4" ht="30" customHeight="1" x14ac:dyDescent="0.2">
      <c r="A9" s="11" t="s">
        <v>842</v>
      </c>
      <c r="B9" s="11" t="s">
        <v>843</v>
      </c>
      <c r="C9" s="11" t="s">
        <v>844</v>
      </c>
      <c r="D9" s="11" t="s">
        <v>845</v>
      </c>
    </row>
    <row r="10" spans="1:4" ht="30" customHeight="1" x14ac:dyDescent="0.2">
      <c r="A10" s="11" t="s">
        <v>846</v>
      </c>
      <c r="B10" s="11" t="s">
        <v>847</v>
      </c>
      <c r="C10" s="11" t="s">
        <v>848</v>
      </c>
      <c r="D10" s="11" t="s">
        <v>849</v>
      </c>
    </row>
    <row r="11" spans="1:4" ht="30" customHeight="1" x14ac:dyDescent="0.2">
      <c r="A11" s="14" t="s">
        <v>850</v>
      </c>
      <c r="B11" s="14" t="s">
        <v>851</v>
      </c>
      <c r="C11" s="14" t="s">
        <v>852</v>
      </c>
      <c r="D11" s="14" t="s">
        <v>853</v>
      </c>
    </row>
    <row r="12" spans="1:4" ht="30" customHeight="1" x14ac:dyDescent="0.2">
      <c r="A12" s="11" t="s">
        <v>664</v>
      </c>
      <c r="B12" s="11" t="s">
        <v>665</v>
      </c>
      <c r="C12" s="11" t="s">
        <v>666</v>
      </c>
      <c r="D12" s="11" t="s">
        <v>667</v>
      </c>
    </row>
    <row r="13" spans="1:4" ht="30" customHeight="1" x14ac:dyDescent="0.2">
      <c r="A13" s="83" t="s">
        <v>854</v>
      </c>
      <c r="B13" s="83" t="s">
        <v>855</v>
      </c>
      <c r="C13" s="83" t="s">
        <v>856</v>
      </c>
      <c r="D13" s="83" t="s">
        <v>857</v>
      </c>
    </row>
    <row r="14" spans="1:4" ht="30" customHeight="1" x14ac:dyDescent="0.2">
      <c r="A14" t="s">
        <v>858</v>
      </c>
      <c r="B14" s="11" t="s">
        <v>859</v>
      </c>
      <c r="C14" s="11" t="s">
        <v>860</v>
      </c>
      <c r="D14" t="s">
        <v>861</v>
      </c>
    </row>
    <row r="15" spans="1:4" ht="30" customHeight="1" x14ac:dyDescent="0.2">
      <c r="A15" t="s">
        <v>862</v>
      </c>
      <c r="B15" s="11" t="s">
        <v>863</v>
      </c>
      <c r="C15" s="11" t="s">
        <v>864</v>
      </c>
      <c r="D15" t="s">
        <v>865</v>
      </c>
    </row>
    <row r="16" spans="1:4" ht="30" customHeight="1" x14ac:dyDescent="0.2">
      <c r="A16" t="s">
        <v>866</v>
      </c>
      <c r="B16" s="11" t="s">
        <v>867</v>
      </c>
      <c r="C16" s="11" t="s">
        <v>868</v>
      </c>
      <c r="D16" t="s">
        <v>869</v>
      </c>
    </row>
    <row r="17" spans="1:4" ht="30" customHeight="1" x14ac:dyDescent="0.2">
      <c r="A17" t="s">
        <v>870</v>
      </c>
      <c r="B17" s="11" t="s">
        <v>871</v>
      </c>
      <c r="C17" s="11" t="s">
        <v>872</v>
      </c>
      <c r="D17" t="s">
        <v>873</v>
      </c>
    </row>
    <row r="18" spans="1:4" ht="30" customHeight="1" x14ac:dyDescent="0.2">
      <c r="A18" t="s">
        <v>668</v>
      </c>
      <c r="B18" s="11" t="s">
        <v>669</v>
      </c>
      <c r="C18" s="11" t="s">
        <v>670</v>
      </c>
      <c r="D18" t="s">
        <v>671</v>
      </c>
    </row>
    <row r="19" spans="1:4" ht="30" customHeight="1" x14ac:dyDescent="0.2">
      <c r="A19" t="s">
        <v>672</v>
      </c>
      <c r="B19" s="11" t="s">
        <v>673</v>
      </c>
      <c r="C19" s="11" t="s">
        <v>674</v>
      </c>
      <c r="D19" t="s">
        <v>671</v>
      </c>
    </row>
    <row r="20" spans="1:4" ht="30" customHeight="1" x14ac:dyDescent="0.2">
      <c r="A20" t="s">
        <v>675</v>
      </c>
      <c r="B20" s="11" t="s">
        <v>676</v>
      </c>
      <c r="C20" s="11" t="s">
        <v>677</v>
      </c>
      <c r="D20" t="s">
        <v>678</v>
      </c>
    </row>
    <row r="21" spans="1:4" ht="30" customHeight="1" x14ac:dyDescent="0.2">
      <c r="A21" t="s">
        <v>679</v>
      </c>
      <c r="B21" s="11" t="s">
        <v>680</v>
      </c>
      <c r="C21" s="11" t="s">
        <v>681</v>
      </c>
      <c r="D21" t="s">
        <v>682</v>
      </c>
    </row>
    <row r="22" spans="1:4" ht="30" customHeight="1" x14ac:dyDescent="0.2">
      <c r="A22" t="s">
        <v>683</v>
      </c>
      <c r="B22" s="11" t="s">
        <v>684</v>
      </c>
      <c r="C22" s="11" t="s">
        <v>685</v>
      </c>
      <c r="D22" t="s">
        <v>686</v>
      </c>
    </row>
    <row r="23" spans="1:4" ht="30" customHeight="1" x14ac:dyDescent="0.2">
      <c r="A23" t="s">
        <v>687</v>
      </c>
      <c r="B23" s="11" t="s">
        <v>688</v>
      </c>
      <c r="C23" s="11" t="s">
        <v>689</v>
      </c>
      <c r="D23" t="s">
        <v>690</v>
      </c>
    </row>
    <row r="24" spans="1:4" ht="30" customHeight="1" x14ac:dyDescent="0.2">
      <c r="A24" t="s">
        <v>691</v>
      </c>
      <c r="B24" s="11" t="s">
        <v>692</v>
      </c>
      <c r="C24" s="11" t="s">
        <v>693</v>
      </c>
      <c r="D24" t="s">
        <v>682</v>
      </c>
    </row>
    <row r="25" spans="1:4" ht="30" customHeight="1" x14ac:dyDescent="0.2">
      <c r="A25" t="s">
        <v>694</v>
      </c>
      <c r="B25" s="11" t="s">
        <v>695</v>
      </c>
      <c r="C25" s="11" t="s">
        <v>696</v>
      </c>
      <c r="D25" t="s">
        <v>697</v>
      </c>
    </row>
    <row r="26" spans="1:4" ht="30" customHeight="1" x14ac:dyDescent="0.2">
      <c r="A26" t="s">
        <v>698</v>
      </c>
      <c r="B26" s="11" t="s">
        <v>699</v>
      </c>
      <c r="C26" s="11" t="s">
        <v>700</v>
      </c>
      <c r="D26" t="s">
        <v>701</v>
      </c>
    </row>
    <row r="27" spans="1:4" ht="30" customHeight="1" x14ac:dyDescent="0.2">
      <c r="A27" t="s">
        <v>702</v>
      </c>
      <c r="B27" s="11" t="s">
        <v>703</v>
      </c>
      <c r="C27" s="11" t="s">
        <v>704</v>
      </c>
      <c r="D27" t="s">
        <v>705</v>
      </c>
    </row>
    <row r="28" spans="1:4" ht="30" customHeight="1" x14ac:dyDescent="0.2">
      <c r="A28" t="s">
        <v>706</v>
      </c>
      <c r="B28" s="11" t="s">
        <v>707</v>
      </c>
      <c r="C28" s="11" t="s">
        <v>708</v>
      </c>
      <c r="D28" t="s">
        <v>709</v>
      </c>
    </row>
    <row r="29" spans="1:4" ht="30" customHeight="1" x14ac:dyDescent="0.2">
      <c r="A29" t="s">
        <v>710</v>
      </c>
      <c r="B29" s="11" t="s">
        <v>711</v>
      </c>
      <c r="C29" s="11" t="s">
        <v>712</v>
      </c>
      <c r="D29" t="s">
        <v>713</v>
      </c>
    </row>
    <row r="30" spans="1:4" ht="30" customHeight="1" x14ac:dyDescent="0.2">
      <c r="A30" t="s">
        <v>714</v>
      </c>
      <c r="B30" s="11" t="s">
        <v>715</v>
      </c>
      <c r="C30" s="11" t="s">
        <v>716</v>
      </c>
      <c r="D30" t="s">
        <v>717</v>
      </c>
    </row>
    <row r="31" spans="1:4" ht="28.15" customHeight="1" x14ac:dyDescent="0.2">
      <c r="A31" s="12" t="s">
        <v>718</v>
      </c>
      <c r="B31" t="s">
        <v>719</v>
      </c>
      <c r="C31" t="s">
        <v>720</v>
      </c>
      <c r="D31" t="s">
        <v>682</v>
      </c>
    </row>
    <row r="32" spans="1:4" ht="41.1" customHeight="1" x14ac:dyDescent="0.2">
      <c r="A32" s="12" t="s">
        <v>721</v>
      </c>
      <c r="B32" s="11" t="s">
        <v>722</v>
      </c>
      <c r="C32" s="11" t="s">
        <v>723</v>
      </c>
      <c r="D32" s="11" t="s">
        <v>724</v>
      </c>
    </row>
    <row r="33" spans="1:4" ht="41.1" customHeight="1" x14ac:dyDescent="0.2">
      <c r="A33" s="12" t="s">
        <v>725</v>
      </c>
      <c r="B33" s="11" t="s">
        <v>726</v>
      </c>
      <c r="C33" s="11" t="s">
        <v>727</v>
      </c>
      <c r="D33" s="11" t="s">
        <v>728</v>
      </c>
    </row>
    <row r="34" spans="1:4" ht="41.1" customHeight="1" x14ac:dyDescent="0.2">
      <c r="A34" s="12" t="s">
        <v>729</v>
      </c>
      <c r="B34" s="11" t="s">
        <v>730</v>
      </c>
      <c r="C34" s="11" t="s">
        <v>731</v>
      </c>
      <c r="D34" s="11" t="s">
        <v>732</v>
      </c>
    </row>
    <row r="35" spans="1:4" ht="41.1" customHeight="1" x14ac:dyDescent="0.2">
      <c r="A35" s="12" t="s">
        <v>733</v>
      </c>
      <c r="B35" s="11" t="s">
        <v>734</v>
      </c>
      <c r="C35" s="11" t="s">
        <v>735</v>
      </c>
      <c r="D35" s="11" t="s">
        <v>736</v>
      </c>
    </row>
    <row r="36" spans="1:4" ht="41.1" customHeight="1" x14ac:dyDescent="0.2">
      <c r="A36" s="12" t="s">
        <v>737</v>
      </c>
      <c r="B36" s="11" t="s">
        <v>738</v>
      </c>
      <c r="C36" s="11" t="s">
        <v>739</v>
      </c>
      <c r="D36" s="11" t="s">
        <v>740</v>
      </c>
    </row>
    <row r="37" spans="1:4" ht="41.1" customHeight="1" x14ac:dyDescent="0.2">
      <c r="A37" s="12" t="s">
        <v>741</v>
      </c>
      <c r="B37" s="11" t="s">
        <v>742</v>
      </c>
      <c r="C37" s="11" t="s">
        <v>743</v>
      </c>
      <c r="D37" s="11" t="s">
        <v>744</v>
      </c>
    </row>
    <row r="38" spans="1:4" ht="41.1" customHeight="1" x14ac:dyDescent="0.2">
      <c r="A38" s="12" t="s">
        <v>745</v>
      </c>
      <c r="B38" s="11" t="s">
        <v>746</v>
      </c>
      <c r="C38" s="11" t="s">
        <v>747</v>
      </c>
      <c r="D38" s="11" t="s">
        <v>748</v>
      </c>
    </row>
    <row r="39" spans="1:4" ht="41.1" customHeight="1" x14ac:dyDescent="0.2">
      <c r="A39" s="12" t="s">
        <v>749</v>
      </c>
      <c r="B39" s="11" t="s">
        <v>750</v>
      </c>
      <c r="C39" s="11" t="s">
        <v>751</v>
      </c>
      <c r="D39" s="11" t="s">
        <v>752</v>
      </c>
    </row>
    <row r="40" spans="1:4" ht="41.1" customHeight="1" x14ac:dyDescent="0.2">
      <c r="A40" s="12" t="s">
        <v>753</v>
      </c>
      <c r="B40" s="11" t="s">
        <v>754</v>
      </c>
      <c r="C40" s="11" t="s">
        <v>755</v>
      </c>
      <c r="D40" s="11" t="s">
        <v>756</v>
      </c>
    </row>
    <row r="41" spans="1:4" ht="41.1" customHeight="1" x14ac:dyDescent="0.2">
      <c r="A41" s="12" t="s">
        <v>757</v>
      </c>
      <c r="B41" s="11" t="s">
        <v>758</v>
      </c>
      <c r="C41" s="11" t="s">
        <v>759</v>
      </c>
      <c r="D41" s="11" t="s">
        <v>760</v>
      </c>
    </row>
    <row r="42" spans="1:4" ht="41.1" customHeight="1" x14ac:dyDescent="0.2">
      <c r="A42" s="12" t="s">
        <v>761</v>
      </c>
      <c r="B42" s="11" t="s">
        <v>762</v>
      </c>
      <c r="C42" s="11" t="s">
        <v>763</v>
      </c>
      <c r="D42" s="11" t="s">
        <v>764</v>
      </c>
    </row>
    <row r="43" spans="1:4" x14ac:dyDescent="0.2">
      <c r="A43" s="15" t="s">
        <v>765</v>
      </c>
      <c r="B43" t="s">
        <v>766</v>
      </c>
      <c r="C43" t="s">
        <v>767</v>
      </c>
      <c r="D43" t="s">
        <v>768</v>
      </c>
    </row>
    <row r="44" spans="1:4" x14ac:dyDescent="0.2">
      <c r="A44" t="s">
        <v>769</v>
      </c>
      <c r="B44" t="s">
        <v>770</v>
      </c>
      <c r="C44" t="s">
        <v>771</v>
      </c>
      <c r="D44" t="s">
        <v>772</v>
      </c>
    </row>
    <row r="45" spans="1:4" x14ac:dyDescent="0.2">
      <c r="A45" t="s">
        <v>773</v>
      </c>
      <c r="B45" t="s">
        <v>774</v>
      </c>
      <c r="C45" t="s">
        <v>775</v>
      </c>
      <c r="D45" t="s">
        <v>776</v>
      </c>
    </row>
    <row r="46" spans="1:4" x14ac:dyDescent="0.2">
      <c r="A46" t="s">
        <v>777</v>
      </c>
      <c r="B46" t="s">
        <v>778</v>
      </c>
      <c r="C46" t="s">
        <v>779</v>
      </c>
      <c r="D46" t="s">
        <v>780</v>
      </c>
    </row>
    <row r="47" spans="1:4" x14ac:dyDescent="0.2">
      <c r="A47" t="s">
        <v>781</v>
      </c>
      <c r="B47" t="s">
        <v>782</v>
      </c>
      <c r="C47" t="s">
        <v>783</v>
      </c>
      <c r="D47" t="s">
        <v>784</v>
      </c>
    </row>
    <row r="48" spans="1:4" x14ac:dyDescent="0.2">
      <c r="A48" t="s">
        <v>785</v>
      </c>
    </row>
    <row r="49" spans="1:1" x14ac:dyDescent="0.2">
      <c r="A49" t="s">
        <v>786</v>
      </c>
    </row>
    <row r="50" spans="1:1" x14ac:dyDescent="0.2">
      <c r="A50" t="s">
        <v>787</v>
      </c>
    </row>
    <row r="51" spans="1:1" x14ac:dyDescent="0.2">
      <c r="A51" t="s">
        <v>788</v>
      </c>
    </row>
    <row r="52" spans="1:1" x14ac:dyDescent="0.2">
      <c r="A52" t="s">
        <v>789</v>
      </c>
    </row>
    <row r="53" spans="1:1" x14ac:dyDescent="0.2">
      <c r="A53" t="s">
        <v>790</v>
      </c>
    </row>
    <row r="54" spans="1:1" x14ac:dyDescent="0.2">
      <c r="A54" t="s">
        <v>791</v>
      </c>
    </row>
    <row r="55" spans="1:1" x14ac:dyDescent="0.2">
      <c r="A55" t="s">
        <v>792</v>
      </c>
    </row>
    <row r="56" spans="1:1" x14ac:dyDescent="0.2">
      <c r="A56" s="15" t="s">
        <v>793</v>
      </c>
    </row>
    <row r="57" spans="1:1" x14ac:dyDescent="0.2">
      <c r="A57" s="15" t="s">
        <v>794</v>
      </c>
    </row>
    <row r="58" spans="1:1" x14ac:dyDescent="0.2">
      <c r="A58" t="s">
        <v>795</v>
      </c>
    </row>
    <row r="59" spans="1:1" x14ac:dyDescent="0.2">
      <c r="A59" t="s">
        <v>796</v>
      </c>
    </row>
    <row r="60" spans="1:1" x14ac:dyDescent="0.2">
      <c r="A60" t="s">
        <v>797</v>
      </c>
    </row>
    <row r="61" spans="1:1" x14ac:dyDescent="0.2">
      <c r="A61" t="s">
        <v>798</v>
      </c>
    </row>
    <row r="62" spans="1:1" x14ac:dyDescent="0.2">
      <c r="A62" t="s">
        <v>799</v>
      </c>
    </row>
    <row r="63" spans="1:1" x14ac:dyDescent="0.2">
      <c r="A63" t="s">
        <v>800</v>
      </c>
    </row>
    <row r="64" spans="1:1" x14ac:dyDescent="0.2">
      <c r="A64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HOUSE DASHBOARD</vt:lpstr>
      <vt:lpstr>SENATE DASHBOARD</vt:lpstr>
      <vt:lpstr>GOVERNOR DASHBOARD</vt:lpstr>
      <vt:lpstr>HOUSE DATA</vt:lpstr>
      <vt:lpstr>SENATE DATA</vt:lpstr>
      <vt:lpstr>GOVERNOR DATA</vt:lpstr>
      <vt:lpstr>CLOSE RACES</vt:lpstr>
      <vt:lpstr>METHODS AND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Fuzaylov</dc:creator>
  <cp:lastModifiedBy>Ruben Fuzaylov</cp:lastModifiedBy>
  <dcterms:created xsi:type="dcterms:W3CDTF">2026-10-26T03:33:53Z</dcterms:created>
  <dcterms:modified xsi:type="dcterms:W3CDTF">2026-10-26T04:02:22Z</dcterms:modified>
</cp:coreProperties>
</file>